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1. 공급량_판매량_비율자료_전체\"/>
    </mc:Choice>
  </mc:AlternateContent>
  <xr:revisionPtr revIDLastSave="0" documentId="13_ncr:1_{A97D63FF-3EE5-40C3-901D-83A95DD8AEAE}" xr6:coauthVersionLast="36" xr6:coauthVersionMax="47" xr10:uidLastSave="{00000000-0000-0000-0000-000000000000}"/>
  <bookViews>
    <workbookView xWindow="0" yWindow="0" windowWidth="28800" windowHeight="11400" xr2:uid="{B507BD70-4D25-4689-9D44-8F066B49CCC7}"/>
  </bookViews>
  <sheets>
    <sheet name="4월검증" sheetId="23" r:id="rId1"/>
    <sheet name="4월계산내역" sheetId="1" r:id="rId2"/>
  </sheets>
  <definedNames>
    <definedName name="_xlnm._FilterDatabase" localSheetId="1" hidden="1">'4월계산내역'!$A$9:$S$9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3" l="1"/>
  <c r="E15" i="23"/>
  <c r="D5" i="23" l="1"/>
  <c r="D6" i="23" s="1"/>
  <c r="C5" i="23"/>
  <c r="B5" i="23"/>
  <c r="B6" i="23" s="1"/>
  <c r="J11" i="1"/>
  <c r="K11" i="1" s="1"/>
  <c r="L11" i="1" s="1"/>
  <c r="M11" i="1"/>
  <c r="N11" i="1"/>
  <c r="J12" i="1"/>
  <c r="K12" i="1" s="1"/>
  <c r="N12" i="1"/>
  <c r="J13" i="1"/>
  <c r="K13" i="1" s="1"/>
  <c r="J14" i="1"/>
  <c r="K14" i="1"/>
  <c r="J15" i="1"/>
  <c r="K15" i="1" s="1"/>
  <c r="M15" i="1" s="1"/>
  <c r="J16" i="1"/>
  <c r="K16" i="1"/>
  <c r="M16" i="1" s="1"/>
  <c r="L16" i="1"/>
  <c r="N16" i="1"/>
  <c r="J17" i="1"/>
  <c r="K17" i="1" s="1"/>
  <c r="J18" i="1"/>
  <c r="K18" i="1"/>
  <c r="J19" i="1"/>
  <c r="K19" i="1" s="1"/>
  <c r="J20" i="1"/>
  <c r="K20" i="1" s="1"/>
  <c r="L20" i="1" s="1"/>
  <c r="J21" i="1"/>
  <c r="K21" i="1" s="1"/>
  <c r="N21" i="1" s="1"/>
  <c r="L21" i="1"/>
  <c r="M21" i="1"/>
  <c r="J22" i="1"/>
  <c r="K22" i="1" s="1"/>
  <c r="J23" i="1"/>
  <c r="K23" i="1" s="1"/>
  <c r="J24" i="1"/>
  <c r="K24" i="1"/>
  <c r="M24" i="1" s="1"/>
  <c r="L24" i="1"/>
  <c r="N24" i="1"/>
  <c r="J25" i="1"/>
  <c r="K25" i="1" s="1"/>
  <c r="J26" i="1"/>
  <c r="K26" i="1"/>
  <c r="M26" i="1"/>
  <c r="J27" i="1"/>
  <c r="K27" i="1" s="1"/>
  <c r="M27" i="1" s="1"/>
  <c r="J28" i="1"/>
  <c r="K28" i="1" s="1"/>
  <c r="L28" i="1"/>
  <c r="J29" i="1"/>
  <c r="K29" i="1" s="1"/>
  <c r="L29" i="1" s="1"/>
  <c r="N29" i="1"/>
  <c r="J30" i="1"/>
  <c r="K30" i="1" s="1"/>
  <c r="J31" i="1"/>
  <c r="K31" i="1"/>
  <c r="M31" i="1"/>
  <c r="J32" i="1"/>
  <c r="K32" i="1"/>
  <c r="M32" i="1" s="1"/>
  <c r="L32" i="1"/>
  <c r="N32" i="1"/>
  <c r="J33" i="1"/>
  <c r="K33" i="1"/>
  <c r="L33" i="1"/>
  <c r="J34" i="1"/>
  <c r="K34" i="1" s="1"/>
  <c r="M34" i="1" s="1"/>
  <c r="J35" i="1"/>
  <c r="K35" i="1" s="1"/>
  <c r="J36" i="1"/>
  <c r="K36" i="1"/>
  <c r="L36" i="1"/>
  <c r="M36" i="1"/>
  <c r="N36" i="1"/>
  <c r="J37" i="1"/>
  <c r="K37" i="1" s="1"/>
  <c r="L37" i="1" s="1"/>
  <c r="N37" i="1"/>
  <c r="J38" i="1"/>
  <c r="K38" i="1"/>
  <c r="J39" i="1"/>
  <c r="K39" i="1"/>
  <c r="L39" i="1" s="1"/>
  <c r="J40" i="1"/>
  <c r="K40" i="1" s="1"/>
  <c r="J41" i="1"/>
  <c r="K41" i="1"/>
  <c r="L41" i="1"/>
  <c r="J42" i="1"/>
  <c r="K42" i="1" s="1"/>
  <c r="J43" i="1"/>
  <c r="K43" i="1" s="1"/>
  <c r="M43" i="1" s="1"/>
  <c r="L43" i="1"/>
  <c r="J44" i="1"/>
  <c r="K44" i="1"/>
  <c r="L44" i="1"/>
  <c r="M44" i="1"/>
  <c r="N44" i="1"/>
  <c r="J45" i="1"/>
  <c r="K45" i="1" s="1"/>
  <c r="L45" i="1"/>
  <c r="M45" i="1"/>
  <c r="N45" i="1"/>
  <c r="J46" i="1"/>
  <c r="K46" i="1"/>
  <c r="J47" i="1"/>
  <c r="K47" i="1" s="1"/>
  <c r="N47" i="1"/>
  <c r="J48" i="1"/>
  <c r="K48" i="1"/>
  <c r="M48" i="1" s="1"/>
  <c r="L48" i="1"/>
  <c r="N48" i="1"/>
  <c r="O48" i="1"/>
  <c r="J49" i="1"/>
  <c r="K49" i="1" s="1"/>
  <c r="J50" i="1"/>
  <c r="K50" i="1"/>
  <c r="L50" i="1"/>
  <c r="M50" i="1"/>
  <c r="N50" i="1"/>
  <c r="J51" i="1"/>
  <c r="K51" i="1" s="1"/>
  <c r="J52" i="1"/>
  <c r="K52" i="1" s="1"/>
  <c r="L52" i="1"/>
  <c r="J53" i="1"/>
  <c r="K53" i="1" s="1"/>
  <c r="L53" i="1" s="1"/>
  <c r="M53" i="1"/>
  <c r="J54" i="1"/>
  <c r="K54" i="1"/>
  <c r="J55" i="1"/>
  <c r="K55" i="1" s="1"/>
  <c r="N55" i="1"/>
  <c r="J56" i="1"/>
  <c r="K56" i="1" s="1"/>
  <c r="L56" i="1"/>
  <c r="J57" i="1"/>
  <c r="K57" i="1" s="1"/>
  <c r="J58" i="1"/>
  <c r="K58" i="1" s="1"/>
  <c r="L58" i="1" s="1"/>
  <c r="J59" i="1"/>
  <c r="K59" i="1" s="1"/>
  <c r="L59" i="1"/>
  <c r="M59" i="1"/>
  <c r="N59" i="1"/>
  <c r="J60" i="1"/>
  <c r="K60" i="1" s="1"/>
  <c r="L60" i="1" s="1"/>
  <c r="M60" i="1"/>
  <c r="N60" i="1"/>
  <c r="O60" i="1"/>
  <c r="R60" i="1" s="1"/>
  <c r="J61" i="1"/>
  <c r="K61" i="1" s="1"/>
  <c r="M61" i="1" s="1"/>
  <c r="N61" i="1"/>
  <c r="J62" i="1"/>
  <c r="K62" i="1"/>
  <c r="N62" i="1"/>
  <c r="J63" i="1"/>
  <c r="K63" i="1"/>
  <c r="N63" i="1" s="1"/>
  <c r="L63" i="1"/>
  <c r="M63" i="1"/>
  <c r="J64" i="1"/>
  <c r="K64" i="1" s="1"/>
  <c r="N64" i="1"/>
  <c r="J65" i="1"/>
  <c r="K65" i="1" s="1"/>
  <c r="J66" i="1"/>
  <c r="K66" i="1" s="1"/>
  <c r="L66" i="1" s="1"/>
  <c r="M66" i="1"/>
  <c r="N66" i="1"/>
  <c r="O66" i="1"/>
  <c r="P66" i="1"/>
  <c r="R66" i="1"/>
  <c r="J67" i="1"/>
  <c r="K67" i="1"/>
  <c r="L67" i="1"/>
  <c r="M67" i="1"/>
  <c r="N67" i="1"/>
  <c r="J68" i="1"/>
  <c r="K68" i="1"/>
  <c r="L68" i="1" s="1"/>
  <c r="M68" i="1"/>
  <c r="N68" i="1"/>
  <c r="J69" i="1"/>
  <c r="K69" i="1" s="1"/>
  <c r="N69" i="1"/>
  <c r="J70" i="1"/>
  <c r="K70" i="1" s="1"/>
  <c r="J71" i="1"/>
  <c r="K71" i="1" s="1"/>
  <c r="M71" i="1"/>
  <c r="J72" i="1"/>
  <c r="K72" i="1" s="1"/>
  <c r="J73" i="1"/>
  <c r="K73" i="1"/>
  <c r="N73" i="1" s="1"/>
  <c r="L73" i="1"/>
  <c r="O73" i="1" s="1"/>
  <c r="R73" i="1" s="1"/>
  <c r="M73" i="1"/>
  <c r="Q73" i="1" s="1"/>
  <c r="P73" i="1"/>
  <c r="S73" i="1" s="1"/>
  <c r="J74" i="1"/>
  <c r="K74" i="1"/>
  <c r="M74" i="1" s="1"/>
  <c r="L74" i="1"/>
  <c r="N74" i="1"/>
  <c r="J75" i="1"/>
  <c r="K75" i="1"/>
  <c r="L75" i="1"/>
  <c r="M75" i="1"/>
  <c r="N75" i="1"/>
  <c r="J76" i="1"/>
  <c r="K76" i="1"/>
  <c r="M76" i="1"/>
  <c r="J77" i="1"/>
  <c r="K77" i="1" s="1"/>
  <c r="J78" i="1"/>
  <c r="K78" i="1" s="1"/>
  <c r="J79" i="1"/>
  <c r="K79" i="1" s="1"/>
  <c r="L79" i="1"/>
  <c r="J80" i="1"/>
  <c r="K80" i="1" s="1"/>
  <c r="J81" i="1"/>
  <c r="K81" i="1"/>
  <c r="J82" i="1"/>
  <c r="K82" i="1"/>
  <c r="J83" i="1"/>
  <c r="K83" i="1" s="1"/>
  <c r="N83" i="1" s="1"/>
  <c r="J84" i="1"/>
  <c r="K84" i="1"/>
  <c r="J85" i="1"/>
  <c r="K85" i="1" s="1"/>
  <c r="J86" i="1"/>
  <c r="K86" i="1"/>
  <c r="N86" i="1"/>
  <c r="J87" i="1"/>
  <c r="K87" i="1" s="1"/>
  <c r="J88" i="1"/>
  <c r="K88" i="1"/>
  <c r="J89" i="1"/>
  <c r="K89" i="1"/>
  <c r="N89" i="1" s="1"/>
  <c r="L89" i="1"/>
  <c r="M89" i="1"/>
  <c r="J90" i="1"/>
  <c r="K90" i="1" s="1"/>
  <c r="J91" i="1"/>
  <c r="K91" i="1" s="1"/>
  <c r="L91" i="1"/>
  <c r="O91" i="1" s="1"/>
  <c r="M91" i="1"/>
  <c r="N91" i="1"/>
  <c r="P91" i="1"/>
  <c r="Q91" i="1"/>
  <c r="R91" i="1"/>
  <c r="S91" i="1"/>
  <c r="J92" i="1"/>
  <c r="K92" i="1" s="1"/>
  <c r="J93" i="1"/>
  <c r="K93" i="1" s="1"/>
  <c r="L93" i="1"/>
  <c r="M93" i="1"/>
  <c r="N93" i="1"/>
  <c r="J94" i="1"/>
  <c r="K94" i="1" s="1"/>
  <c r="J95" i="1"/>
  <c r="K95" i="1"/>
  <c r="N95" i="1" s="1"/>
  <c r="L95" i="1"/>
  <c r="M95" i="1"/>
  <c r="J96" i="1"/>
  <c r="K96" i="1" s="1"/>
  <c r="J97" i="1"/>
  <c r="K97" i="1" s="1"/>
  <c r="J98" i="1"/>
  <c r="K98" i="1" s="1"/>
  <c r="J99" i="1"/>
  <c r="K99" i="1" s="1"/>
  <c r="L99" i="1" s="1"/>
  <c r="J100" i="1"/>
  <c r="K100" i="1"/>
  <c r="L100" i="1"/>
  <c r="M100" i="1"/>
  <c r="N100" i="1"/>
  <c r="J101" i="1"/>
  <c r="K101" i="1" s="1"/>
  <c r="L101" i="1"/>
  <c r="J102" i="1"/>
  <c r="K102" i="1"/>
  <c r="J103" i="1"/>
  <c r="K103" i="1"/>
  <c r="J104" i="1"/>
  <c r="K104" i="1"/>
  <c r="M104" i="1" s="1"/>
  <c r="L104" i="1"/>
  <c r="N104" i="1"/>
  <c r="O104" i="1"/>
  <c r="J105" i="1"/>
  <c r="K105" i="1"/>
  <c r="N105" i="1" s="1"/>
  <c r="L105" i="1"/>
  <c r="J106" i="1"/>
  <c r="K106" i="1"/>
  <c r="L106" i="1"/>
  <c r="M106" i="1"/>
  <c r="N106" i="1"/>
  <c r="J107" i="1"/>
  <c r="K107" i="1" s="1"/>
  <c r="N107" i="1" s="1"/>
  <c r="J108" i="1"/>
  <c r="K108" i="1" s="1"/>
  <c r="L108" i="1"/>
  <c r="J109" i="1"/>
  <c r="K109" i="1" s="1"/>
  <c r="L109" i="1"/>
  <c r="O109" i="1" s="1"/>
  <c r="M109" i="1"/>
  <c r="N109" i="1"/>
  <c r="J110" i="1"/>
  <c r="K110" i="1"/>
  <c r="J111" i="1"/>
  <c r="K111" i="1" s="1"/>
  <c r="J112" i="1"/>
  <c r="K112" i="1" s="1"/>
  <c r="J113" i="1"/>
  <c r="K113" i="1"/>
  <c r="J114" i="1"/>
  <c r="K114" i="1" s="1"/>
  <c r="J115" i="1"/>
  <c r="K115" i="1" s="1"/>
  <c r="L115" i="1"/>
  <c r="M115" i="1"/>
  <c r="N115" i="1"/>
  <c r="J116" i="1"/>
  <c r="K116" i="1" s="1"/>
  <c r="N116" i="1"/>
  <c r="J117" i="1"/>
  <c r="K117" i="1" s="1"/>
  <c r="L117" i="1"/>
  <c r="M117" i="1"/>
  <c r="N117" i="1"/>
  <c r="J118" i="1"/>
  <c r="K118" i="1"/>
  <c r="N118" i="1"/>
  <c r="J119" i="1"/>
  <c r="K119" i="1"/>
  <c r="J120" i="1"/>
  <c r="K120" i="1" s="1"/>
  <c r="N120" i="1"/>
  <c r="J121" i="1"/>
  <c r="K121" i="1"/>
  <c r="J122" i="1"/>
  <c r="K122" i="1" s="1"/>
  <c r="J123" i="1"/>
  <c r="K123" i="1" s="1"/>
  <c r="L123" i="1"/>
  <c r="J124" i="1"/>
  <c r="K124" i="1"/>
  <c r="L124" i="1" s="1"/>
  <c r="N124" i="1"/>
  <c r="J125" i="1"/>
  <c r="K125" i="1" s="1"/>
  <c r="L125" i="1"/>
  <c r="J126" i="1"/>
  <c r="K126" i="1"/>
  <c r="J127" i="1"/>
  <c r="K127" i="1" s="1"/>
  <c r="J128" i="1"/>
  <c r="K128" i="1"/>
  <c r="M128" i="1" s="1"/>
  <c r="L128" i="1"/>
  <c r="N128" i="1"/>
  <c r="J129" i="1"/>
  <c r="K129" i="1" s="1"/>
  <c r="J130" i="1"/>
  <c r="K130" i="1"/>
  <c r="L130" i="1"/>
  <c r="J131" i="1"/>
  <c r="K131" i="1" s="1"/>
  <c r="L131" i="1"/>
  <c r="M131" i="1"/>
  <c r="N131" i="1"/>
  <c r="J132" i="1"/>
  <c r="K132" i="1"/>
  <c r="L132" i="1"/>
  <c r="J133" i="1"/>
  <c r="K133" i="1" s="1"/>
  <c r="L133" i="1"/>
  <c r="M133" i="1"/>
  <c r="N133" i="1"/>
  <c r="J134" i="1"/>
  <c r="K134" i="1"/>
  <c r="J135" i="1"/>
  <c r="K135" i="1"/>
  <c r="L135" i="1"/>
  <c r="M135" i="1"/>
  <c r="N135" i="1"/>
  <c r="J136" i="1"/>
  <c r="K136" i="1" s="1"/>
  <c r="J137" i="1"/>
  <c r="K137" i="1"/>
  <c r="M137" i="1"/>
  <c r="J138" i="1"/>
  <c r="K138" i="1" s="1"/>
  <c r="N138" i="1"/>
  <c r="J139" i="1"/>
  <c r="K139" i="1" s="1"/>
  <c r="J140" i="1"/>
  <c r="K140" i="1"/>
  <c r="N140" i="1"/>
  <c r="J141" i="1"/>
  <c r="K141" i="1" s="1"/>
  <c r="M141" i="1"/>
  <c r="J142" i="1"/>
  <c r="K142" i="1"/>
  <c r="J143" i="1"/>
  <c r="K143" i="1"/>
  <c r="N143" i="1"/>
  <c r="J144" i="1"/>
  <c r="K144" i="1"/>
  <c r="L144" i="1"/>
  <c r="J145" i="1"/>
  <c r="K145" i="1"/>
  <c r="L145" i="1"/>
  <c r="M145" i="1"/>
  <c r="N145" i="1"/>
  <c r="J146" i="1"/>
  <c r="K146" i="1" s="1"/>
  <c r="M146" i="1"/>
  <c r="J147" i="1"/>
  <c r="K147" i="1" s="1"/>
  <c r="J148" i="1"/>
  <c r="K148" i="1" s="1"/>
  <c r="J149" i="1"/>
  <c r="K149" i="1"/>
  <c r="L149" i="1"/>
  <c r="J150" i="1"/>
  <c r="K150" i="1" s="1"/>
  <c r="N150" i="1"/>
  <c r="J151" i="1"/>
  <c r="K151" i="1"/>
  <c r="J152" i="1"/>
  <c r="K152" i="1"/>
  <c r="N152" i="1" s="1"/>
  <c r="M152" i="1"/>
  <c r="J153" i="1"/>
  <c r="K153" i="1" s="1"/>
  <c r="N153" i="1" s="1"/>
  <c r="L153" i="1"/>
  <c r="M153" i="1"/>
  <c r="J154" i="1"/>
  <c r="K154" i="1" s="1"/>
  <c r="J155" i="1"/>
  <c r="K155" i="1" s="1"/>
  <c r="L155" i="1" s="1"/>
  <c r="M155" i="1"/>
  <c r="N155" i="1"/>
  <c r="O155" i="1" s="1"/>
  <c r="J156" i="1"/>
  <c r="K156" i="1" s="1"/>
  <c r="J157" i="1"/>
  <c r="K157" i="1" s="1"/>
  <c r="L157" i="1"/>
  <c r="J158" i="1"/>
  <c r="K158" i="1" s="1"/>
  <c r="L158" i="1" s="1"/>
  <c r="M158" i="1"/>
  <c r="N158" i="1"/>
  <c r="J159" i="1"/>
  <c r="K159" i="1"/>
  <c r="J160" i="1"/>
  <c r="K160" i="1" s="1"/>
  <c r="M160" i="1"/>
  <c r="J161" i="1"/>
  <c r="K161" i="1" s="1"/>
  <c r="J162" i="1"/>
  <c r="K162" i="1" s="1"/>
  <c r="L162" i="1" s="1"/>
  <c r="M162" i="1"/>
  <c r="N162" i="1"/>
  <c r="J163" i="1"/>
  <c r="K163" i="1"/>
  <c r="N163" i="1" s="1"/>
  <c r="L163" i="1"/>
  <c r="M163" i="1"/>
  <c r="J164" i="1"/>
  <c r="K164" i="1"/>
  <c r="M164" i="1" s="1"/>
  <c r="L164" i="1"/>
  <c r="N164" i="1"/>
  <c r="J165" i="1"/>
  <c r="K165" i="1"/>
  <c r="J166" i="1"/>
  <c r="K166" i="1" s="1"/>
  <c r="N166" i="1"/>
  <c r="J167" i="1"/>
  <c r="K167" i="1"/>
  <c r="L167" i="1" s="1"/>
  <c r="M167" i="1"/>
  <c r="N167" i="1"/>
  <c r="O167" i="1"/>
  <c r="P167" i="1"/>
  <c r="Q167" i="1"/>
  <c r="R167" i="1"/>
  <c r="J168" i="1"/>
  <c r="K168" i="1"/>
  <c r="J169" i="1"/>
  <c r="K169" i="1"/>
  <c r="L169" i="1"/>
  <c r="J170" i="1"/>
  <c r="K170" i="1" s="1"/>
  <c r="L170" i="1" s="1"/>
  <c r="M170" i="1"/>
  <c r="N170" i="1"/>
  <c r="J171" i="1"/>
  <c r="K171" i="1"/>
  <c r="J172" i="1"/>
  <c r="K172" i="1"/>
  <c r="L172" i="1" s="1"/>
  <c r="M172" i="1"/>
  <c r="N172" i="1"/>
  <c r="J173" i="1"/>
  <c r="K173" i="1" s="1"/>
  <c r="L173" i="1"/>
  <c r="J174" i="1"/>
  <c r="K174" i="1"/>
  <c r="J175" i="1"/>
  <c r="K175" i="1"/>
  <c r="N175" i="1"/>
  <c r="J176" i="1"/>
  <c r="K176" i="1" s="1"/>
  <c r="L176" i="1" s="1"/>
  <c r="J177" i="1"/>
  <c r="K177" i="1"/>
  <c r="L177" i="1"/>
  <c r="J178" i="1"/>
  <c r="K178" i="1" s="1"/>
  <c r="L178" i="1" s="1"/>
  <c r="M178" i="1"/>
  <c r="N178" i="1"/>
  <c r="O178" i="1" s="1"/>
  <c r="J179" i="1"/>
  <c r="K179" i="1" s="1"/>
  <c r="L179" i="1"/>
  <c r="M179" i="1"/>
  <c r="N179" i="1"/>
  <c r="J180" i="1"/>
  <c r="K180" i="1" s="1"/>
  <c r="J181" i="1"/>
  <c r="K181" i="1" s="1"/>
  <c r="J182" i="1"/>
  <c r="K182" i="1" s="1"/>
  <c r="N182" i="1"/>
  <c r="J183" i="1"/>
  <c r="K183" i="1"/>
  <c r="L183" i="1"/>
  <c r="J184" i="1"/>
  <c r="K184" i="1"/>
  <c r="L184" i="1"/>
  <c r="J185" i="1"/>
  <c r="K185" i="1" s="1"/>
  <c r="J186" i="1"/>
  <c r="K186" i="1" s="1"/>
  <c r="M186" i="1"/>
  <c r="J187" i="1"/>
  <c r="K187" i="1"/>
  <c r="J188" i="1"/>
  <c r="K188" i="1" s="1"/>
  <c r="J189" i="1"/>
  <c r="K189" i="1"/>
  <c r="L189" i="1" s="1"/>
  <c r="J190" i="1"/>
  <c r="K190" i="1"/>
  <c r="L190" i="1" s="1"/>
  <c r="N190" i="1"/>
  <c r="J191" i="1"/>
  <c r="K191" i="1"/>
  <c r="L191" i="1"/>
  <c r="M191" i="1"/>
  <c r="N191" i="1"/>
  <c r="J192" i="1"/>
  <c r="K192" i="1" s="1"/>
  <c r="J193" i="1"/>
  <c r="K193" i="1" s="1"/>
  <c r="J194" i="1"/>
  <c r="K194" i="1"/>
  <c r="N194" i="1" s="1"/>
  <c r="J195" i="1"/>
  <c r="K195" i="1" s="1"/>
  <c r="L195" i="1"/>
  <c r="J196" i="1"/>
  <c r="K196" i="1"/>
  <c r="L196" i="1" s="1"/>
  <c r="M196" i="1"/>
  <c r="O196" i="1" s="1"/>
  <c r="N196" i="1"/>
  <c r="J197" i="1"/>
  <c r="K197" i="1"/>
  <c r="N197" i="1"/>
  <c r="J198" i="1"/>
  <c r="K198" i="1"/>
  <c r="J199" i="1"/>
  <c r="K199" i="1"/>
  <c r="M199" i="1" s="1"/>
  <c r="L199" i="1"/>
  <c r="N199" i="1"/>
  <c r="J200" i="1"/>
  <c r="K200" i="1" s="1"/>
  <c r="M200" i="1" s="1"/>
  <c r="J201" i="1"/>
  <c r="K201" i="1" s="1"/>
  <c r="M201" i="1"/>
  <c r="J202" i="1"/>
  <c r="K202" i="1" s="1"/>
  <c r="J203" i="1"/>
  <c r="K203" i="1" s="1"/>
  <c r="J204" i="1"/>
  <c r="K204" i="1"/>
  <c r="L204" i="1"/>
  <c r="J205" i="1"/>
  <c r="K205" i="1"/>
  <c r="J206" i="1"/>
  <c r="K206" i="1"/>
  <c r="N206" i="1"/>
  <c r="J207" i="1"/>
  <c r="K207" i="1" s="1"/>
  <c r="J208" i="1"/>
  <c r="K208" i="1"/>
  <c r="J209" i="1"/>
  <c r="K209" i="1"/>
  <c r="N209" i="1" s="1"/>
  <c r="J210" i="1"/>
  <c r="K210" i="1" s="1"/>
  <c r="N210" i="1" s="1"/>
  <c r="L210" i="1"/>
  <c r="M210" i="1"/>
  <c r="O210" i="1" s="1"/>
  <c r="P210" i="1" s="1"/>
  <c r="Q210" i="1"/>
  <c r="J211" i="1"/>
  <c r="K211" i="1" s="1"/>
  <c r="L211" i="1" s="1"/>
  <c r="M211" i="1"/>
  <c r="N211" i="1"/>
  <c r="O211" i="1"/>
  <c r="R211" i="1" s="1"/>
  <c r="J212" i="1"/>
  <c r="K212" i="1" s="1"/>
  <c r="M212" i="1" s="1"/>
  <c r="J213" i="1"/>
  <c r="K213" i="1" s="1"/>
  <c r="N213" i="1"/>
  <c r="J214" i="1"/>
  <c r="K214" i="1" s="1"/>
  <c r="N214" i="1"/>
  <c r="J215" i="1"/>
  <c r="K215" i="1" s="1"/>
  <c r="J216" i="1"/>
  <c r="K216" i="1"/>
  <c r="L216" i="1" s="1"/>
  <c r="J217" i="1"/>
  <c r="K217" i="1" s="1"/>
  <c r="J218" i="1"/>
  <c r="K218" i="1" s="1"/>
  <c r="N218" i="1" s="1"/>
  <c r="L218" i="1"/>
  <c r="M218" i="1"/>
  <c r="J219" i="1"/>
  <c r="K219" i="1" s="1"/>
  <c r="L219" i="1"/>
  <c r="J220" i="1"/>
  <c r="K220" i="1" s="1"/>
  <c r="J221" i="1"/>
  <c r="K221" i="1" s="1"/>
  <c r="N221" i="1" s="1"/>
  <c r="J222" i="1"/>
  <c r="K222" i="1" s="1"/>
  <c r="J223" i="1"/>
  <c r="K223" i="1"/>
  <c r="M223" i="1" s="1"/>
  <c r="L223" i="1"/>
  <c r="N223" i="1"/>
  <c r="O223" i="1"/>
  <c r="P223" i="1" s="1"/>
  <c r="J224" i="1"/>
  <c r="K224" i="1"/>
  <c r="N224" i="1" s="1"/>
  <c r="L224" i="1"/>
  <c r="M224" i="1"/>
  <c r="J225" i="1"/>
  <c r="K225" i="1" s="1"/>
  <c r="M225" i="1" s="1"/>
  <c r="J226" i="1"/>
  <c r="K226" i="1" s="1"/>
  <c r="L226" i="1"/>
  <c r="M226" i="1"/>
  <c r="N226" i="1"/>
  <c r="J227" i="1"/>
  <c r="K227" i="1" s="1"/>
  <c r="N227" i="1" s="1"/>
  <c r="L227" i="1"/>
  <c r="M227" i="1"/>
  <c r="J228" i="1"/>
  <c r="K228" i="1" s="1"/>
  <c r="L228" i="1" s="1"/>
  <c r="M228" i="1"/>
  <c r="N228" i="1"/>
  <c r="J229" i="1"/>
  <c r="K229" i="1" s="1"/>
  <c r="N229" i="1"/>
  <c r="J230" i="1"/>
  <c r="K230" i="1" s="1"/>
  <c r="N230" i="1"/>
  <c r="J231" i="1"/>
  <c r="K231" i="1"/>
  <c r="J232" i="1"/>
  <c r="K232" i="1" s="1"/>
  <c r="J233" i="1"/>
  <c r="K233" i="1"/>
  <c r="L233" i="1"/>
  <c r="J234" i="1"/>
  <c r="K234" i="1" s="1"/>
  <c r="J235" i="1"/>
  <c r="K235" i="1" s="1"/>
  <c r="M235" i="1" s="1"/>
  <c r="N235" i="1"/>
  <c r="J236" i="1"/>
  <c r="K236" i="1"/>
  <c r="J237" i="1"/>
  <c r="K237" i="1"/>
  <c r="J238" i="1"/>
  <c r="K238" i="1" s="1"/>
  <c r="J239" i="1"/>
  <c r="K239" i="1"/>
  <c r="L239" i="1" s="1"/>
  <c r="J240" i="1"/>
  <c r="K240" i="1" s="1"/>
  <c r="J241" i="1"/>
  <c r="K241" i="1" s="1"/>
  <c r="N241" i="1" s="1"/>
  <c r="L241" i="1"/>
  <c r="M241" i="1"/>
  <c r="O241" i="1" s="1"/>
  <c r="P241" i="1"/>
  <c r="R241" i="1"/>
  <c r="J242" i="1"/>
  <c r="K242" i="1"/>
  <c r="L242" i="1"/>
  <c r="M242" i="1"/>
  <c r="N242" i="1"/>
  <c r="J243" i="1"/>
  <c r="K243" i="1" s="1"/>
  <c r="M243" i="1" s="1"/>
  <c r="N243" i="1"/>
  <c r="J244" i="1"/>
  <c r="K244" i="1"/>
  <c r="L244" i="1" s="1"/>
  <c r="M244" i="1"/>
  <c r="N244" i="1"/>
  <c r="J245" i="1"/>
  <c r="K245" i="1"/>
  <c r="L245" i="1" s="1"/>
  <c r="J246" i="1"/>
  <c r="K246" i="1" s="1"/>
  <c r="J247" i="1"/>
  <c r="K247" i="1" s="1"/>
  <c r="J248" i="1"/>
  <c r="K248" i="1" s="1"/>
  <c r="M248" i="1" s="1"/>
  <c r="L248" i="1"/>
  <c r="N248" i="1"/>
  <c r="J249" i="1"/>
  <c r="K249" i="1" s="1"/>
  <c r="M249" i="1"/>
  <c r="J250" i="1"/>
  <c r="K250" i="1"/>
  <c r="N250" i="1" s="1"/>
  <c r="L250" i="1"/>
  <c r="M250" i="1"/>
  <c r="J251" i="1"/>
  <c r="K251" i="1" s="1"/>
  <c r="N251" i="1"/>
  <c r="J252" i="1"/>
  <c r="K252" i="1" s="1"/>
  <c r="N252" i="1"/>
  <c r="J253" i="1"/>
  <c r="K253" i="1"/>
  <c r="J254" i="1"/>
  <c r="K254" i="1"/>
  <c r="L254" i="1"/>
  <c r="M254" i="1"/>
  <c r="N254" i="1"/>
  <c r="J255" i="1"/>
  <c r="K255" i="1" s="1"/>
  <c r="N255" i="1" s="1"/>
  <c r="L255" i="1"/>
  <c r="M255" i="1"/>
  <c r="J256" i="1"/>
  <c r="K256" i="1" s="1"/>
  <c r="M256" i="1" s="1"/>
  <c r="O256" i="1" s="1"/>
  <c r="P256" i="1" s="1"/>
  <c r="L256" i="1"/>
  <c r="N256" i="1"/>
  <c r="Q256" i="1"/>
  <c r="J257" i="1"/>
  <c r="K257" i="1" s="1"/>
  <c r="J258" i="1"/>
  <c r="K258" i="1"/>
  <c r="J259" i="1"/>
  <c r="K259" i="1" s="1"/>
  <c r="J260" i="1"/>
  <c r="K260" i="1"/>
  <c r="J261" i="1"/>
  <c r="K261" i="1" s="1"/>
  <c r="N261" i="1" s="1"/>
  <c r="L261" i="1"/>
  <c r="J262" i="1"/>
  <c r="K262" i="1" s="1"/>
  <c r="J263" i="1"/>
  <c r="K263" i="1"/>
  <c r="L263" i="1"/>
  <c r="M263" i="1"/>
  <c r="N263" i="1"/>
  <c r="O263" i="1" s="1"/>
  <c r="J264" i="1"/>
  <c r="K264" i="1" s="1"/>
  <c r="L264" i="1" s="1"/>
  <c r="N264" i="1"/>
  <c r="J265" i="1"/>
  <c r="K265" i="1"/>
  <c r="M265" i="1" s="1"/>
  <c r="N265" i="1"/>
  <c r="J266" i="1"/>
  <c r="K266" i="1"/>
  <c r="J267" i="1"/>
  <c r="K267" i="1"/>
  <c r="M267" i="1" s="1"/>
  <c r="L267" i="1"/>
  <c r="N267" i="1"/>
  <c r="J268" i="1"/>
  <c r="K268" i="1" s="1"/>
  <c r="M268" i="1"/>
  <c r="J269" i="1"/>
  <c r="K269" i="1"/>
  <c r="J270" i="1"/>
  <c r="K270" i="1"/>
  <c r="J271" i="1"/>
  <c r="K271" i="1"/>
  <c r="J272" i="1"/>
  <c r="K272" i="1"/>
  <c r="J273" i="1"/>
  <c r="K273" i="1" s="1"/>
  <c r="N273" i="1"/>
  <c r="J274" i="1"/>
  <c r="K274" i="1" s="1"/>
  <c r="M274" i="1"/>
  <c r="J275" i="1"/>
  <c r="K275" i="1"/>
  <c r="L275" i="1" s="1"/>
  <c r="N275" i="1"/>
  <c r="J276" i="1"/>
  <c r="K276" i="1" s="1"/>
  <c r="L276" i="1" s="1"/>
  <c r="J277" i="1"/>
  <c r="K277" i="1" s="1"/>
  <c r="J278" i="1"/>
  <c r="K278" i="1"/>
  <c r="J279" i="1"/>
  <c r="K279" i="1"/>
  <c r="L279" i="1"/>
  <c r="M279" i="1"/>
  <c r="N279" i="1"/>
  <c r="J280" i="1"/>
  <c r="K280" i="1"/>
  <c r="L280" i="1"/>
  <c r="J281" i="1"/>
  <c r="K281" i="1"/>
  <c r="J282" i="1"/>
  <c r="K282" i="1" s="1"/>
  <c r="J283" i="1"/>
  <c r="K283" i="1" s="1"/>
  <c r="J284" i="1"/>
  <c r="K284" i="1" s="1"/>
  <c r="J285" i="1"/>
  <c r="K285" i="1"/>
  <c r="J286" i="1"/>
  <c r="K286" i="1" s="1"/>
  <c r="J287" i="1"/>
  <c r="K287" i="1"/>
  <c r="L287" i="1"/>
  <c r="M287" i="1"/>
  <c r="N287" i="1"/>
  <c r="J288" i="1"/>
  <c r="K288" i="1"/>
  <c r="N288" i="1" s="1"/>
  <c r="L288" i="1"/>
  <c r="M288" i="1"/>
  <c r="J289" i="1"/>
  <c r="K289" i="1"/>
  <c r="L289" i="1"/>
  <c r="M289" i="1"/>
  <c r="N289" i="1"/>
  <c r="J290" i="1"/>
  <c r="K290" i="1" s="1"/>
  <c r="L290" i="1" s="1"/>
  <c r="M290" i="1"/>
  <c r="J291" i="1"/>
  <c r="K291" i="1"/>
  <c r="J292" i="1"/>
  <c r="K292" i="1"/>
  <c r="N292" i="1" s="1"/>
  <c r="L292" i="1"/>
  <c r="M292" i="1"/>
  <c r="J293" i="1"/>
  <c r="K293" i="1"/>
  <c r="J294" i="1"/>
  <c r="K294" i="1"/>
  <c r="N294" i="1" s="1"/>
  <c r="M294" i="1"/>
  <c r="J295" i="1"/>
  <c r="K295" i="1"/>
  <c r="N295" i="1"/>
  <c r="J296" i="1"/>
  <c r="K296" i="1"/>
  <c r="J297" i="1"/>
  <c r="K297" i="1" s="1"/>
  <c r="M297" i="1" s="1"/>
  <c r="J298" i="1"/>
  <c r="K298" i="1" s="1"/>
  <c r="J299" i="1"/>
  <c r="K299" i="1"/>
  <c r="L299" i="1" s="1"/>
  <c r="M299" i="1"/>
  <c r="N299" i="1"/>
  <c r="J300" i="1"/>
  <c r="K300" i="1" s="1"/>
  <c r="M300" i="1" s="1"/>
  <c r="L300" i="1"/>
  <c r="J301" i="1"/>
  <c r="K301" i="1"/>
  <c r="L301" i="1"/>
  <c r="J302" i="1"/>
  <c r="K302" i="1"/>
  <c r="J303" i="1"/>
  <c r="K303" i="1"/>
  <c r="L303" i="1"/>
  <c r="M303" i="1"/>
  <c r="N303" i="1"/>
  <c r="J304" i="1"/>
  <c r="K304" i="1"/>
  <c r="J305" i="1"/>
  <c r="K305" i="1" s="1"/>
  <c r="N305" i="1"/>
  <c r="J306" i="1"/>
  <c r="K306" i="1" s="1"/>
  <c r="J307" i="1"/>
  <c r="K307" i="1"/>
  <c r="L307" i="1" s="1"/>
  <c r="N307" i="1"/>
  <c r="J308" i="1"/>
  <c r="K308" i="1"/>
  <c r="J309" i="1"/>
  <c r="K309" i="1"/>
  <c r="L309" i="1" s="1"/>
  <c r="J310" i="1"/>
  <c r="K310" i="1" s="1"/>
  <c r="J311" i="1"/>
  <c r="K311" i="1"/>
  <c r="L311" i="1" s="1"/>
  <c r="M311" i="1"/>
  <c r="N311" i="1"/>
  <c r="J312" i="1"/>
  <c r="K312" i="1"/>
  <c r="L312" i="1"/>
  <c r="J313" i="1"/>
  <c r="K313" i="1"/>
  <c r="L313" i="1"/>
  <c r="M313" i="1"/>
  <c r="N313" i="1"/>
  <c r="J314" i="1"/>
  <c r="K314" i="1" s="1"/>
  <c r="M314" i="1"/>
  <c r="J315" i="1"/>
  <c r="K315" i="1"/>
  <c r="J316" i="1"/>
  <c r="K316" i="1"/>
  <c r="L316" i="1" s="1"/>
  <c r="J317" i="1"/>
  <c r="K317" i="1" s="1"/>
  <c r="J318" i="1"/>
  <c r="K318" i="1"/>
  <c r="J319" i="1"/>
  <c r="K319" i="1"/>
  <c r="L319" i="1"/>
  <c r="J320" i="1"/>
  <c r="K320" i="1"/>
  <c r="L320" i="1"/>
  <c r="M320" i="1"/>
  <c r="N320" i="1"/>
  <c r="J321" i="1"/>
  <c r="K321" i="1" s="1"/>
  <c r="J322" i="1"/>
  <c r="K322" i="1" s="1"/>
  <c r="L322" i="1" s="1"/>
  <c r="P322" i="1" s="1"/>
  <c r="M322" i="1"/>
  <c r="O322" i="1" s="1"/>
  <c r="R322" i="1" s="1"/>
  <c r="N322" i="1"/>
  <c r="J323" i="1"/>
  <c r="K323" i="1"/>
  <c r="L323" i="1" s="1"/>
  <c r="N323" i="1"/>
  <c r="J324" i="1"/>
  <c r="K324" i="1"/>
  <c r="L324" i="1"/>
  <c r="O324" i="1" s="1"/>
  <c r="Q324" i="1" s="1"/>
  <c r="M324" i="1"/>
  <c r="N324" i="1"/>
  <c r="J325" i="1"/>
  <c r="K325" i="1" s="1"/>
  <c r="J326" i="1"/>
  <c r="K326" i="1"/>
  <c r="J327" i="1"/>
  <c r="K327" i="1"/>
  <c r="L327" i="1"/>
  <c r="M327" i="1"/>
  <c r="N327" i="1"/>
  <c r="J328" i="1"/>
  <c r="K328" i="1"/>
  <c r="L328" i="1" s="1"/>
  <c r="M328" i="1"/>
  <c r="N328" i="1"/>
  <c r="J329" i="1"/>
  <c r="K329" i="1"/>
  <c r="J330" i="1"/>
  <c r="K330" i="1" s="1"/>
  <c r="N330" i="1" s="1"/>
  <c r="J331" i="1"/>
  <c r="K331" i="1" s="1"/>
  <c r="J332" i="1"/>
  <c r="K332" i="1"/>
  <c r="L332" i="1" s="1"/>
  <c r="M332" i="1"/>
  <c r="N332" i="1"/>
  <c r="J333" i="1"/>
  <c r="K333" i="1"/>
  <c r="J334" i="1"/>
  <c r="K334" i="1" s="1"/>
  <c r="J335" i="1"/>
  <c r="K335" i="1"/>
  <c r="N335" i="1" s="1"/>
  <c r="L335" i="1"/>
  <c r="O335" i="1" s="1"/>
  <c r="M335" i="1"/>
  <c r="P335" i="1"/>
  <c r="R335" i="1"/>
  <c r="J336" i="1"/>
  <c r="K336" i="1"/>
  <c r="N336" i="1" s="1"/>
  <c r="L336" i="1"/>
  <c r="M336" i="1"/>
  <c r="J337" i="1"/>
  <c r="K337" i="1" s="1"/>
  <c r="J338" i="1"/>
  <c r="K338" i="1" s="1"/>
  <c r="J339" i="1"/>
  <c r="K339" i="1" s="1"/>
  <c r="J340" i="1"/>
  <c r="K340" i="1" s="1"/>
  <c r="N340" i="1" s="1"/>
  <c r="J341" i="1"/>
  <c r="K341" i="1" s="1"/>
  <c r="J342" i="1"/>
  <c r="K342" i="1" s="1"/>
  <c r="M342" i="1" s="1"/>
  <c r="J343" i="1"/>
  <c r="K343" i="1"/>
  <c r="L343" i="1"/>
  <c r="M343" i="1"/>
  <c r="O343" i="1" s="1"/>
  <c r="R343" i="1" s="1"/>
  <c r="N343" i="1"/>
  <c r="J344" i="1"/>
  <c r="K344" i="1"/>
  <c r="L344" i="1"/>
  <c r="M344" i="1"/>
  <c r="N344" i="1"/>
  <c r="J345" i="1"/>
  <c r="K345" i="1"/>
  <c r="J346" i="1"/>
  <c r="K346" i="1" s="1"/>
  <c r="L346" i="1" s="1"/>
  <c r="M346" i="1"/>
  <c r="J347" i="1"/>
  <c r="K347" i="1" s="1"/>
  <c r="M347" i="1" s="1"/>
  <c r="J348" i="1"/>
  <c r="K348" i="1" s="1"/>
  <c r="J349" i="1"/>
  <c r="K349" i="1" s="1"/>
  <c r="L349" i="1"/>
  <c r="J350" i="1"/>
  <c r="K350" i="1"/>
  <c r="J351" i="1"/>
  <c r="K351" i="1"/>
  <c r="M351" i="1" s="1"/>
  <c r="L351" i="1"/>
  <c r="N351" i="1"/>
  <c r="J352" i="1"/>
  <c r="K352" i="1"/>
  <c r="N352" i="1" s="1"/>
  <c r="M352" i="1"/>
  <c r="J353" i="1"/>
  <c r="K353" i="1" s="1"/>
  <c r="L353" i="1" s="1"/>
  <c r="M353" i="1"/>
  <c r="N353" i="1"/>
  <c r="J354" i="1"/>
  <c r="K354" i="1" s="1"/>
  <c r="J355" i="1"/>
  <c r="K355" i="1"/>
  <c r="L355" i="1" s="1"/>
  <c r="N355" i="1"/>
  <c r="J356" i="1"/>
  <c r="K356" i="1"/>
  <c r="J357" i="1"/>
  <c r="K357" i="1"/>
  <c r="L357" i="1"/>
  <c r="J358" i="1"/>
  <c r="K358" i="1"/>
  <c r="J359" i="1"/>
  <c r="K359" i="1"/>
  <c r="J360" i="1"/>
  <c r="K360" i="1"/>
  <c r="L360" i="1"/>
  <c r="M360" i="1"/>
  <c r="N360" i="1"/>
  <c r="J361" i="1"/>
  <c r="K361" i="1" s="1"/>
  <c r="N361" i="1" s="1"/>
  <c r="J362" i="1"/>
  <c r="K362" i="1" s="1"/>
  <c r="L362" i="1" s="1"/>
  <c r="M362" i="1"/>
  <c r="Q362" i="1" s="1"/>
  <c r="N362" i="1"/>
  <c r="O362" i="1" s="1"/>
  <c r="P362" i="1" s="1"/>
  <c r="J363" i="1"/>
  <c r="K363" i="1"/>
  <c r="J364" i="1"/>
  <c r="K364" i="1" s="1"/>
  <c r="J365" i="1"/>
  <c r="K365" i="1" s="1"/>
  <c r="L365" i="1"/>
  <c r="J366" i="1"/>
  <c r="K366" i="1"/>
  <c r="N366" i="1" s="1"/>
  <c r="L366" i="1"/>
  <c r="M366" i="1"/>
  <c r="J367" i="1"/>
  <c r="K367" i="1"/>
  <c r="M367" i="1" s="1"/>
  <c r="J368" i="1"/>
  <c r="K368" i="1"/>
  <c r="M368" i="1" s="1"/>
  <c r="L368" i="1"/>
  <c r="N368" i="1"/>
  <c r="J369" i="1"/>
  <c r="K369" i="1"/>
  <c r="M369" i="1" s="1"/>
  <c r="L369" i="1"/>
  <c r="N369" i="1"/>
  <c r="J370" i="1"/>
  <c r="K370" i="1" s="1"/>
  <c r="L370" i="1" s="1"/>
  <c r="M370" i="1"/>
  <c r="J371" i="1"/>
  <c r="K371" i="1"/>
  <c r="J372" i="1"/>
  <c r="K372" i="1"/>
  <c r="L372" i="1"/>
  <c r="O372" i="1" s="1"/>
  <c r="M372" i="1"/>
  <c r="N372" i="1"/>
  <c r="P372" i="1"/>
  <c r="S372" i="1" s="1"/>
  <c r="Q372" i="1"/>
  <c r="R372" i="1"/>
  <c r="J373" i="1"/>
  <c r="K373" i="1" s="1"/>
  <c r="M373" i="1" s="1"/>
  <c r="J374" i="1"/>
  <c r="K374" i="1"/>
  <c r="L374" i="1"/>
  <c r="O374" i="1" s="1"/>
  <c r="M374" i="1"/>
  <c r="N374" i="1"/>
  <c r="P374" i="1"/>
  <c r="J375" i="1"/>
  <c r="K375" i="1"/>
  <c r="J376" i="1"/>
  <c r="K376" i="1"/>
  <c r="J377" i="1"/>
  <c r="K377" i="1" s="1"/>
  <c r="M377" i="1" s="1"/>
  <c r="J378" i="1"/>
  <c r="K378" i="1"/>
  <c r="M378" i="1"/>
  <c r="J379" i="1"/>
  <c r="K379" i="1"/>
  <c r="L379" i="1" s="1"/>
  <c r="M379" i="1"/>
  <c r="N379" i="1"/>
  <c r="J380" i="1"/>
  <c r="K380" i="1"/>
  <c r="L380" i="1" s="1"/>
  <c r="M380" i="1"/>
  <c r="N380" i="1"/>
  <c r="J381" i="1"/>
  <c r="K381" i="1" s="1"/>
  <c r="M381" i="1" s="1"/>
  <c r="J382" i="1"/>
  <c r="K382" i="1" s="1"/>
  <c r="M382" i="1"/>
  <c r="J383" i="1"/>
  <c r="K383" i="1"/>
  <c r="J384" i="1"/>
  <c r="K384" i="1" s="1"/>
  <c r="L384" i="1" s="1"/>
  <c r="J385" i="1"/>
  <c r="K385" i="1"/>
  <c r="L385" i="1" s="1"/>
  <c r="M385" i="1"/>
  <c r="N385" i="1"/>
  <c r="O385" i="1"/>
  <c r="P385" i="1"/>
  <c r="R385" i="1"/>
  <c r="J386" i="1"/>
  <c r="K386" i="1"/>
  <c r="N386" i="1" s="1"/>
  <c r="L386" i="1"/>
  <c r="M386" i="1"/>
  <c r="J387" i="1"/>
  <c r="K387" i="1" s="1"/>
  <c r="J388" i="1"/>
  <c r="K388" i="1"/>
  <c r="J389" i="1"/>
  <c r="K389" i="1" s="1"/>
  <c r="J390" i="1"/>
  <c r="K390" i="1" s="1"/>
  <c r="N390" i="1"/>
  <c r="J391" i="1"/>
  <c r="K391" i="1" s="1"/>
  <c r="N391" i="1"/>
  <c r="J392" i="1"/>
  <c r="K392" i="1"/>
  <c r="L392" i="1" s="1"/>
  <c r="J393" i="1"/>
  <c r="K393" i="1" s="1"/>
  <c r="N393" i="1" s="1"/>
  <c r="M393" i="1"/>
  <c r="J394" i="1"/>
  <c r="K394" i="1"/>
  <c r="N394" i="1" s="1"/>
  <c r="M394" i="1"/>
  <c r="J395" i="1"/>
  <c r="K395" i="1" s="1"/>
  <c r="J396" i="1"/>
  <c r="K396" i="1"/>
  <c r="L396" i="1"/>
  <c r="O396" i="1" s="1"/>
  <c r="Q396" i="1" s="1"/>
  <c r="M396" i="1"/>
  <c r="N396" i="1"/>
  <c r="J397" i="1"/>
  <c r="K397" i="1" s="1"/>
  <c r="L397" i="1" s="1"/>
  <c r="M397" i="1"/>
  <c r="J398" i="1"/>
  <c r="K398" i="1"/>
  <c r="J399" i="1"/>
  <c r="K399" i="1" s="1"/>
  <c r="M399" i="1"/>
  <c r="J400" i="1"/>
  <c r="K400" i="1" s="1"/>
  <c r="J401" i="1"/>
  <c r="K401" i="1" s="1"/>
  <c r="L401" i="1"/>
  <c r="J402" i="1"/>
  <c r="K402" i="1"/>
  <c r="N402" i="1" s="1"/>
  <c r="M402" i="1"/>
  <c r="J403" i="1"/>
  <c r="K403" i="1" s="1"/>
  <c r="M403" i="1"/>
  <c r="J404" i="1"/>
  <c r="K404" i="1"/>
  <c r="L404" i="1"/>
  <c r="M404" i="1"/>
  <c r="N404" i="1"/>
  <c r="O404" i="1"/>
  <c r="P404" i="1" s="1"/>
  <c r="J405" i="1"/>
  <c r="K405" i="1" s="1"/>
  <c r="L405" i="1" s="1"/>
  <c r="M405" i="1"/>
  <c r="N405" i="1"/>
  <c r="J406" i="1"/>
  <c r="K406" i="1" s="1"/>
  <c r="M406" i="1" s="1"/>
  <c r="L406" i="1"/>
  <c r="O406" i="1" s="1"/>
  <c r="N406" i="1"/>
  <c r="J407" i="1"/>
  <c r="K407" i="1" s="1"/>
  <c r="J408" i="1"/>
  <c r="K408" i="1" s="1"/>
  <c r="J409" i="1"/>
  <c r="K409" i="1" s="1"/>
  <c r="L409" i="1"/>
  <c r="J410" i="1"/>
  <c r="K410" i="1"/>
  <c r="N410" i="1" s="1"/>
  <c r="M410" i="1"/>
  <c r="J411" i="1"/>
  <c r="K411" i="1" s="1"/>
  <c r="J412" i="1"/>
  <c r="K412" i="1"/>
  <c r="L412" i="1"/>
  <c r="M412" i="1"/>
  <c r="N412" i="1"/>
  <c r="J413" i="1"/>
  <c r="K413" i="1" s="1"/>
  <c r="L413" i="1" s="1"/>
  <c r="N413" i="1"/>
  <c r="J414" i="1"/>
  <c r="K414" i="1" s="1"/>
  <c r="M414" i="1" s="1"/>
  <c r="L414" i="1"/>
  <c r="J415" i="1"/>
  <c r="K415" i="1"/>
  <c r="L415" i="1" s="1"/>
  <c r="N415" i="1"/>
  <c r="J416" i="1"/>
  <c r="K416" i="1" s="1"/>
  <c r="L416" i="1"/>
  <c r="J417" i="1"/>
  <c r="K417" i="1"/>
  <c r="L417" i="1" s="1"/>
  <c r="O417" i="1" s="1"/>
  <c r="M417" i="1"/>
  <c r="N417" i="1"/>
  <c r="J418" i="1"/>
  <c r="K418" i="1"/>
  <c r="N418" i="1" s="1"/>
  <c r="M418" i="1"/>
  <c r="J419" i="1"/>
  <c r="K419" i="1"/>
  <c r="L419" i="1"/>
  <c r="M419" i="1"/>
  <c r="N419" i="1"/>
  <c r="J420" i="1"/>
  <c r="K420" i="1"/>
  <c r="L420" i="1" s="1"/>
  <c r="J421" i="1"/>
  <c r="K421" i="1" s="1"/>
  <c r="L421" i="1" s="1"/>
  <c r="M421" i="1"/>
  <c r="N421" i="1"/>
  <c r="O421" i="1"/>
  <c r="R421" i="1" s="1"/>
  <c r="J422" i="1"/>
  <c r="K422" i="1" s="1"/>
  <c r="J423" i="1"/>
  <c r="K423" i="1" s="1"/>
  <c r="N423" i="1"/>
  <c r="J424" i="1"/>
  <c r="K424" i="1" s="1"/>
  <c r="J425" i="1"/>
  <c r="K425" i="1" s="1"/>
  <c r="M425" i="1" s="1"/>
  <c r="J426" i="1"/>
  <c r="K426" i="1"/>
  <c r="N426" i="1" s="1"/>
  <c r="M426" i="1"/>
  <c r="J427" i="1"/>
  <c r="K427" i="1" s="1"/>
  <c r="L427" i="1" s="1"/>
  <c r="M427" i="1"/>
  <c r="N427" i="1"/>
  <c r="J428" i="1"/>
  <c r="K428" i="1"/>
  <c r="L428" i="1"/>
  <c r="M428" i="1"/>
  <c r="N428" i="1"/>
  <c r="J429" i="1"/>
  <c r="K429" i="1" s="1"/>
  <c r="L429" i="1" s="1"/>
  <c r="M429" i="1"/>
  <c r="N429" i="1"/>
  <c r="J430" i="1"/>
  <c r="K430" i="1"/>
  <c r="J431" i="1"/>
  <c r="K431" i="1" s="1"/>
  <c r="M431" i="1"/>
  <c r="J432" i="1"/>
  <c r="K432" i="1" s="1"/>
  <c r="J433" i="1"/>
  <c r="K433" i="1"/>
  <c r="J434" i="1"/>
  <c r="K434" i="1"/>
  <c r="N434" i="1" s="1"/>
  <c r="L434" i="1"/>
  <c r="J435" i="1"/>
  <c r="K435" i="1" s="1"/>
  <c r="L435" i="1"/>
  <c r="J436" i="1"/>
  <c r="K436" i="1"/>
  <c r="L436" i="1" s="1"/>
  <c r="M436" i="1"/>
  <c r="N436" i="1"/>
  <c r="O436" i="1"/>
  <c r="Q436" i="1" s="1"/>
  <c r="J437" i="1"/>
  <c r="K437" i="1" s="1"/>
  <c r="M437" i="1" s="1"/>
  <c r="J438" i="1"/>
  <c r="K438" i="1" s="1"/>
  <c r="J439" i="1"/>
  <c r="K439" i="1" s="1"/>
  <c r="J440" i="1"/>
  <c r="K440" i="1"/>
  <c r="L440" i="1"/>
  <c r="J441" i="1"/>
  <c r="K441" i="1" s="1"/>
  <c r="L441" i="1"/>
  <c r="J442" i="1"/>
  <c r="K442" i="1"/>
  <c r="L442" i="1"/>
  <c r="J443" i="1"/>
  <c r="K443" i="1" s="1"/>
  <c r="J444" i="1"/>
  <c r="K444" i="1"/>
  <c r="M444" i="1" s="1"/>
  <c r="J445" i="1"/>
  <c r="K445" i="1" s="1"/>
  <c r="L445" i="1" s="1"/>
  <c r="N445" i="1"/>
  <c r="J446" i="1"/>
  <c r="K446" i="1"/>
  <c r="N446" i="1" s="1"/>
  <c r="J447" i="1"/>
  <c r="K447" i="1" s="1"/>
  <c r="N447" i="1"/>
  <c r="J448" i="1"/>
  <c r="K448" i="1" s="1"/>
  <c r="J449" i="1"/>
  <c r="K449" i="1" s="1"/>
  <c r="M449" i="1"/>
  <c r="J450" i="1"/>
  <c r="K450" i="1"/>
  <c r="J451" i="1"/>
  <c r="K451" i="1"/>
  <c r="J452" i="1"/>
  <c r="K452" i="1"/>
  <c r="M452" i="1" s="1"/>
  <c r="L452" i="1"/>
  <c r="N452" i="1"/>
  <c r="O452" i="1"/>
  <c r="P452" i="1" s="1"/>
  <c r="J453" i="1"/>
  <c r="K453" i="1" s="1"/>
  <c r="L453" i="1" s="1"/>
  <c r="M453" i="1"/>
  <c r="J454" i="1"/>
  <c r="K454" i="1" s="1"/>
  <c r="M454" i="1" s="1"/>
  <c r="N454" i="1"/>
  <c r="J455" i="1"/>
  <c r="K455" i="1" s="1"/>
  <c r="J456" i="1"/>
  <c r="K456" i="1"/>
  <c r="L456" i="1"/>
  <c r="J457" i="1"/>
  <c r="K457" i="1" s="1"/>
  <c r="N457" i="1"/>
  <c r="J458" i="1"/>
  <c r="K458" i="1"/>
  <c r="J459" i="1"/>
  <c r="K459" i="1" s="1"/>
  <c r="N459" i="1" s="1"/>
  <c r="J460" i="1"/>
  <c r="K460" i="1"/>
  <c r="N460" i="1" s="1"/>
  <c r="L460" i="1"/>
  <c r="O460" i="1" s="1"/>
  <c r="M460" i="1"/>
  <c r="P460" i="1"/>
  <c r="J461" i="1"/>
  <c r="K461" i="1" s="1"/>
  <c r="L461" i="1" s="1"/>
  <c r="N461" i="1"/>
  <c r="J462" i="1"/>
  <c r="K462" i="1" s="1"/>
  <c r="J463" i="1"/>
  <c r="K463" i="1"/>
  <c r="L463" i="1" s="1"/>
  <c r="M463" i="1"/>
  <c r="O463" i="1" s="1"/>
  <c r="P463" i="1" s="1"/>
  <c r="N463" i="1"/>
  <c r="J464" i="1"/>
  <c r="K464" i="1" s="1"/>
  <c r="J465" i="1"/>
  <c r="K465" i="1" s="1"/>
  <c r="M465" i="1" s="1"/>
  <c r="L465" i="1"/>
  <c r="N465" i="1"/>
  <c r="O465" i="1"/>
  <c r="Q465" i="1" s="1"/>
  <c r="J466" i="1"/>
  <c r="K466" i="1" s="1"/>
  <c r="N466" i="1"/>
  <c r="J467" i="1"/>
  <c r="K467" i="1"/>
  <c r="M467" i="1" s="1"/>
  <c r="J468" i="1"/>
  <c r="K468" i="1"/>
  <c r="L468" i="1"/>
  <c r="M468" i="1"/>
  <c r="N468" i="1"/>
  <c r="J469" i="1"/>
  <c r="K469" i="1" s="1"/>
  <c r="M469" i="1" s="1"/>
  <c r="L469" i="1"/>
  <c r="N469" i="1"/>
  <c r="J470" i="1"/>
  <c r="K470" i="1" s="1"/>
  <c r="L470" i="1"/>
  <c r="O470" i="1" s="1"/>
  <c r="R470" i="1" s="1"/>
  <c r="M470" i="1"/>
  <c r="N470" i="1"/>
  <c r="J471" i="1"/>
  <c r="K471" i="1" s="1"/>
  <c r="N471" i="1"/>
  <c r="J472" i="1"/>
  <c r="K472" i="1" s="1"/>
  <c r="N472" i="1"/>
  <c r="J473" i="1"/>
  <c r="K473" i="1" s="1"/>
  <c r="N473" i="1" s="1"/>
  <c r="J474" i="1"/>
  <c r="K474" i="1" s="1"/>
  <c r="M474" i="1" s="1"/>
  <c r="L474" i="1"/>
  <c r="N474" i="1"/>
  <c r="J475" i="1"/>
  <c r="K475" i="1"/>
  <c r="J476" i="1"/>
  <c r="K476" i="1" s="1"/>
  <c r="L476" i="1"/>
  <c r="M476" i="1"/>
  <c r="N476" i="1"/>
  <c r="O476" i="1"/>
  <c r="J477" i="1"/>
  <c r="K477" i="1" s="1"/>
  <c r="L477" i="1"/>
  <c r="J478" i="1"/>
  <c r="K478" i="1"/>
  <c r="J479" i="1"/>
  <c r="K479" i="1" s="1"/>
  <c r="L479" i="1"/>
  <c r="M479" i="1"/>
  <c r="N479" i="1"/>
  <c r="J480" i="1"/>
  <c r="K480" i="1"/>
  <c r="N480" i="1" s="1"/>
  <c r="J481" i="1"/>
  <c r="K481" i="1"/>
  <c r="J482" i="1"/>
  <c r="K482" i="1" s="1"/>
  <c r="M482" i="1" s="1"/>
  <c r="L482" i="1"/>
  <c r="J483" i="1"/>
  <c r="K483" i="1" s="1"/>
  <c r="J484" i="1"/>
  <c r="K484" i="1"/>
  <c r="M484" i="1"/>
  <c r="J485" i="1"/>
  <c r="K485" i="1" s="1"/>
  <c r="J486" i="1"/>
  <c r="K486" i="1" s="1"/>
  <c r="M486" i="1" s="1"/>
  <c r="N486" i="1"/>
  <c r="J487" i="1"/>
  <c r="K487" i="1" s="1"/>
  <c r="L487" i="1" s="1"/>
  <c r="M487" i="1"/>
  <c r="N487" i="1"/>
  <c r="J488" i="1"/>
  <c r="K488" i="1" s="1"/>
  <c r="N488" i="1" s="1"/>
  <c r="J489" i="1"/>
  <c r="K489" i="1" s="1"/>
  <c r="N489" i="1" s="1"/>
  <c r="J490" i="1"/>
  <c r="K490" i="1" s="1"/>
  <c r="M490" i="1" s="1"/>
  <c r="N490" i="1"/>
  <c r="J491" i="1"/>
  <c r="K491" i="1"/>
  <c r="L491" i="1" s="1"/>
  <c r="J492" i="1"/>
  <c r="K492" i="1"/>
  <c r="J493" i="1"/>
  <c r="K493" i="1"/>
  <c r="L493" i="1"/>
  <c r="O493" i="1" s="1"/>
  <c r="R493" i="1" s="1"/>
  <c r="M493" i="1"/>
  <c r="N493" i="1"/>
  <c r="P493" i="1"/>
  <c r="Q493" i="1"/>
  <c r="J494" i="1"/>
  <c r="K494" i="1"/>
  <c r="M494" i="1"/>
  <c r="J495" i="1"/>
  <c r="K495" i="1" s="1"/>
  <c r="J496" i="1"/>
  <c r="K496" i="1"/>
  <c r="J497" i="1"/>
  <c r="K497" i="1"/>
  <c r="J498" i="1"/>
  <c r="K498" i="1" s="1"/>
  <c r="J499" i="1"/>
  <c r="K499" i="1" s="1"/>
  <c r="J500" i="1"/>
  <c r="K500" i="1" s="1"/>
  <c r="N500" i="1"/>
  <c r="J501" i="1"/>
  <c r="K501" i="1" s="1"/>
  <c r="L501" i="1"/>
  <c r="M501" i="1"/>
  <c r="N501" i="1"/>
  <c r="J502" i="1"/>
  <c r="K502" i="1" s="1"/>
  <c r="N502" i="1"/>
  <c r="J503" i="1"/>
  <c r="K503" i="1" s="1"/>
  <c r="N503" i="1" s="1"/>
  <c r="J504" i="1"/>
  <c r="K504" i="1"/>
  <c r="J505" i="1"/>
  <c r="K505" i="1" s="1"/>
  <c r="L505" i="1"/>
  <c r="J506" i="1"/>
  <c r="K506" i="1" s="1"/>
  <c r="M506" i="1" s="1"/>
  <c r="L506" i="1"/>
  <c r="N506" i="1"/>
  <c r="J507" i="1"/>
  <c r="K507" i="1" s="1"/>
  <c r="M507" i="1"/>
  <c r="J508" i="1"/>
  <c r="K508" i="1" s="1"/>
  <c r="J509" i="1"/>
  <c r="K509" i="1"/>
  <c r="L509" i="1"/>
  <c r="M509" i="1"/>
  <c r="N509" i="1"/>
  <c r="J510" i="1"/>
  <c r="K510" i="1"/>
  <c r="J511" i="1"/>
  <c r="K511" i="1" s="1"/>
  <c r="M511" i="1" s="1"/>
  <c r="L511" i="1"/>
  <c r="J512" i="1"/>
  <c r="K512" i="1" s="1"/>
  <c r="N512" i="1" s="1"/>
  <c r="J513" i="1"/>
  <c r="K513" i="1" s="1"/>
  <c r="J514" i="1"/>
  <c r="K514" i="1"/>
  <c r="J515" i="1"/>
  <c r="K515" i="1" s="1"/>
  <c r="J516" i="1"/>
  <c r="K516" i="1" s="1"/>
  <c r="N516" i="1"/>
  <c r="J517" i="1"/>
  <c r="K517" i="1" s="1"/>
  <c r="L517" i="1"/>
  <c r="J518" i="1"/>
  <c r="K518" i="1"/>
  <c r="L518" i="1"/>
  <c r="J519" i="1"/>
  <c r="K519" i="1" s="1"/>
  <c r="N519" i="1" s="1"/>
  <c r="M519" i="1"/>
  <c r="J520" i="1"/>
  <c r="K520" i="1"/>
  <c r="N520" i="1"/>
  <c r="J521" i="1"/>
  <c r="K521" i="1" s="1"/>
  <c r="L521" i="1" s="1"/>
  <c r="J522" i="1"/>
  <c r="K522" i="1"/>
  <c r="M522" i="1" s="1"/>
  <c r="N522" i="1"/>
  <c r="J523" i="1"/>
  <c r="K523" i="1" s="1"/>
  <c r="J524" i="1"/>
  <c r="K524" i="1"/>
  <c r="L524" i="1"/>
  <c r="J525" i="1"/>
  <c r="K525" i="1" s="1"/>
  <c r="N525" i="1" s="1"/>
  <c r="J526" i="1"/>
  <c r="K526" i="1" s="1"/>
  <c r="N526" i="1" s="1"/>
  <c r="M526" i="1"/>
  <c r="J527" i="1"/>
  <c r="K527" i="1" s="1"/>
  <c r="J528" i="1"/>
  <c r="K528" i="1"/>
  <c r="J529" i="1"/>
  <c r="K529" i="1" s="1"/>
  <c r="L529" i="1" s="1"/>
  <c r="M529" i="1"/>
  <c r="N529" i="1"/>
  <c r="O529" i="1"/>
  <c r="Q529" i="1"/>
  <c r="J530" i="1"/>
  <c r="K530" i="1"/>
  <c r="L530" i="1"/>
  <c r="J531" i="1"/>
  <c r="K531" i="1" s="1"/>
  <c r="J532" i="1"/>
  <c r="K532" i="1"/>
  <c r="L532" i="1" s="1"/>
  <c r="J533" i="1"/>
  <c r="K533" i="1" s="1"/>
  <c r="L533" i="1"/>
  <c r="M533" i="1"/>
  <c r="N533" i="1"/>
  <c r="J534" i="1"/>
  <c r="K534" i="1" s="1"/>
  <c r="N534" i="1"/>
  <c r="J535" i="1"/>
  <c r="K535" i="1" s="1"/>
  <c r="L535" i="1"/>
  <c r="M535" i="1"/>
  <c r="N535" i="1"/>
  <c r="J536" i="1"/>
  <c r="K536" i="1"/>
  <c r="J537" i="1"/>
  <c r="K537" i="1"/>
  <c r="N537" i="1" s="1"/>
  <c r="L537" i="1"/>
  <c r="J538" i="1"/>
  <c r="K538" i="1" s="1"/>
  <c r="M538" i="1" s="1"/>
  <c r="N538" i="1"/>
  <c r="J539" i="1"/>
  <c r="K539" i="1" s="1"/>
  <c r="J540" i="1"/>
  <c r="K540" i="1"/>
  <c r="L540" i="1" s="1"/>
  <c r="J541" i="1"/>
  <c r="K541" i="1" s="1"/>
  <c r="M541" i="1" s="1"/>
  <c r="L541" i="1"/>
  <c r="N541" i="1"/>
  <c r="J542" i="1"/>
  <c r="K542" i="1" s="1"/>
  <c r="J543" i="1"/>
  <c r="K543" i="1" s="1"/>
  <c r="J544" i="1"/>
  <c r="K544" i="1"/>
  <c r="J545" i="1"/>
  <c r="K545" i="1" s="1"/>
  <c r="N545" i="1"/>
  <c r="J546" i="1"/>
  <c r="K546" i="1" s="1"/>
  <c r="J547" i="1"/>
  <c r="K547" i="1"/>
  <c r="J548" i="1"/>
  <c r="K548" i="1" s="1"/>
  <c r="M548" i="1"/>
  <c r="J549" i="1"/>
  <c r="K549" i="1" s="1"/>
  <c r="L549" i="1" s="1"/>
  <c r="M549" i="1"/>
  <c r="N549" i="1"/>
  <c r="J550" i="1"/>
  <c r="K550" i="1"/>
  <c r="J551" i="1"/>
  <c r="K551" i="1" s="1"/>
  <c r="M551" i="1" s="1"/>
  <c r="L551" i="1"/>
  <c r="J552" i="1"/>
  <c r="K552" i="1" s="1"/>
  <c r="J553" i="1"/>
  <c r="K553" i="1"/>
  <c r="M553" i="1"/>
  <c r="J554" i="1"/>
  <c r="K554" i="1" s="1"/>
  <c r="J555" i="1"/>
  <c r="K555" i="1" s="1"/>
  <c r="J556" i="1"/>
  <c r="K556" i="1"/>
  <c r="J557" i="1"/>
  <c r="K557" i="1"/>
  <c r="L557" i="1"/>
  <c r="O557" i="1" s="1"/>
  <c r="M557" i="1"/>
  <c r="N557" i="1"/>
  <c r="P557" i="1"/>
  <c r="J558" i="1"/>
  <c r="K558" i="1" s="1"/>
  <c r="N558" i="1" s="1"/>
  <c r="J559" i="1"/>
  <c r="K559" i="1" s="1"/>
  <c r="L559" i="1"/>
  <c r="M559" i="1"/>
  <c r="N559" i="1"/>
  <c r="J560" i="1"/>
  <c r="K560" i="1"/>
  <c r="J561" i="1"/>
  <c r="K561" i="1" s="1"/>
  <c r="L561" i="1" s="1"/>
  <c r="M561" i="1"/>
  <c r="N561" i="1"/>
  <c r="J562" i="1"/>
  <c r="K562" i="1" s="1"/>
  <c r="M562" i="1" s="1"/>
  <c r="L562" i="1"/>
  <c r="N562" i="1"/>
  <c r="J563" i="1"/>
  <c r="K563" i="1" s="1"/>
  <c r="M563" i="1"/>
  <c r="J564" i="1"/>
  <c r="K564" i="1" s="1"/>
  <c r="L564" i="1" s="1"/>
  <c r="M564" i="1"/>
  <c r="N564" i="1"/>
  <c r="J565" i="1"/>
  <c r="K565" i="1"/>
  <c r="L565" i="1"/>
  <c r="M565" i="1"/>
  <c r="N565" i="1"/>
  <c r="J566" i="1"/>
  <c r="K566" i="1" s="1"/>
  <c r="N566" i="1" s="1"/>
  <c r="L566" i="1"/>
  <c r="M566" i="1"/>
  <c r="J567" i="1"/>
  <c r="K567" i="1" s="1"/>
  <c r="L567" i="1"/>
  <c r="J568" i="1"/>
  <c r="K568" i="1" s="1"/>
  <c r="J569" i="1"/>
  <c r="K569" i="1" s="1"/>
  <c r="J570" i="1"/>
  <c r="K570" i="1"/>
  <c r="N570" i="1"/>
  <c r="J571" i="1"/>
  <c r="K571" i="1"/>
  <c r="J572" i="1"/>
  <c r="K572" i="1" s="1"/>
  <c r="M572" i="1"/>
  <c r="J573" i="1"/>
  <c r="K573" i="1"/>
  <c r="L573" i="1"/>
  <c r="J574" i="1"/>
  <c r="K574" i="1"/>
  <c r="L574" i="1"/>
  <c r="J575" i="1"/>
  <c r="K575" i="1" s="1"/>
  <c r="N575" i="1" s="1"/>
  <c r="J576" i="1"/>
  <c r="K576" i="1"/>
  <c r="L576" i="1"/>
  <c r="M576" i="1"/>
  <c r="N576" i="1"/>
  <c r="J577" i="1"/>
  <c r="K577" i="1"/>
  <c r="L577" i="1" s="1"/>
  <c r="M577" i="1"/>
  <c r="N577" i="1"/>
  <c r="O577" i="1" s="1"/>
  <c r="R577" i="1"/>
  <c r="J578" i="1"/>
  <c r="K578" i="1" s="1"/>
  <c r="J579" i="1"/>
  <c r="K579" i="1" s="1"/>
  <c r="N579" i="1" s="1"/>
  <c r="L579" i="1"/>
  <c r="M579" i="1"/>
  <c r="J580" i="1"/>
  <c r="K580" i="1"/>
  <c r="L580" i="1"/>
  <c r="J581" i="1"/>
  <c r="K581" i="1"/>
  <c r="J582" i="1"/>
  <c r="K582" i="1" s="1"/>
  <c r="L582" i="1" s="1"/>
  <c r="J583" i="1"/>
  <c r="K583" i="1" s="1"/>
  <c r="N583" i="1" s="1"/>
  <c r="M583" i="1"/>
  <c r="J584" i="1"/>
  <c r="K584" i="1" s="1"/>
  <c r="L584" i="1" s="1"/>
  <c r="N584" i="1"/>
  <c r="J585" i="1"/>
  <c r="K585" i="1"/>
  <c r="J586" i="1"/>
  <c r="K586" i="1"/>
  <c r="J587" i="1"/>
  <c r="K587" i="1" s="1"/>
  <c r="L587" i="1" s="1"/>
  <c r="M587" i="1"/>
  <c r="N587" i="1"/>
  <c r="J588" i="1"/>
  <c r="K588" i="1" s="1"/>
  <c r="M588" i="1"/>
  <c r="J589" i="1"/>
  <c r="K589" i="1"/>
  <c r="J590" i="1"/>
  <c r="K590" i="1" s="1"/>
  <c r="L590" i="1"/>
  <c r="M590" i="1"/>
  <c r="N590" i="1"/>
  <c r="J591" i="1"/>
  <c r="K591" i="1"/>
  <c r="J592" i="1"/>
  <c r="K592" i="1"/>
  <c r="M592" i="1" s="1"/>
  <c r="L592" i="1"/>
  <c r="N592" i="1"/>
  <c r="O592" i="1"/>
  <c r="J593" i="1"/>
  <c r="K593" i="1" s="1"/>
  <c r="J594" i="1"/>
  <c r="K594" i="1" s="1"/>
  <c r="L594" i="1"/>
  <c r="M594" i="1"/>
  <c r="O594" i="1" s="1"/>
  <c r="N594" i="1"/>
  <c r="J595" i="1"/>
  <c r="K595" i="1" s="1"/>
  <c r="N595" i="1" s="1"/>
  <c r="L595" i="1"/>
  <c r="M595" i="1"/>
  <c r="J596" i="1"/>
  <c r="K596" i="1" s="1"/>
  <c r="M596" i="1" s="1"/>
  <c r="J597" i="1"/>
  <c r="K597" i="1"/>
  <c r="N597" i="1"/>
  <c r="J598" i="1"/>
  <c r="K598" i="1" s="1"/>
  <c r="L598" i="1"/>
  <c r="M598" i="1"/>
  <c r="N598" i="1"/>
  <c r="J599" i="1"/>
  <c r="K599" i="1"/>
  <c r="J600" i="1"/>
  <c r="K600" i="1" s="1"/>
  <c r="J601" i="1"/>
  <c r="K601" i="1"/>
  <c r="N601" i="1"/>
  <c r="J602" i="1"/>
  <c r="K602" i="1" s="1"/>
  <c r="L602" i="1" s="1"/>
  <c r="N602" i="1"/>
  <c r="J603" i="1"/>
  <c r="K603" i="1"/>
  <c r="J604" i="1"/>
  <c r="K604" i="1"/>
  <c r="L604" i="1"/>
  <c r="J605" i="1"/>
  <c r="K605" i="1" s="1"/>
  <c r="J606" i="1"/>
  <c r="K606" i="1" s="1"/>
  <c r="N606" i="1"/>
  <c r="J607" i="1"/>
  <c r="K607" i="1" s="1"/>
  <c r="M607" i="1"/>
  <c r="J608" i="1"/>
  <c r="K608" i="1" s="1"/>
  <c r="L608" i="1"/>
  <c r="M608" i="1"/>
  <c r="N608" i="1"/>
  <c r="J609" i="1"/>
  <c r="K609" i="1" s="1"/>
  <c r="J610" i="1"/>
  <c r="K610" i="1" s="1"/>
  <c r="N610" i="1"/>
  <c r="J611" i="1"/>
  <c r="K611" i="1"/>
  <c r="N611" i="1"/>
  <c r="J612" i="1"/>
  <c r="K612" i="1" s="1"/>
  <c r="L612" i="1"/>
  <c r="J613" i="1"/>
  <c r="K613" i="1" s="1"/>
  <c r="N613" i="1" s="1"/>
  <c r="L613" i="1"/>
  <c r="M613" i="1"/>
  <c r="J614" i="1"/>
  <c r="K614" i="1" s="1"/>
  <c r="N614" i="1"/>
  <c r="J615" i="1"/>
  <c r="K615" i="1" s="1"/>
  <c r="J616" i="1"/>
  <c r="K616" i="1"/>
  <c r="N616" i="1" s="1"/>
  <c r="L616" i="1"/>
  <c r="M616" i="1"/>
  <c r="J617" i="1"/>
  <c r="K617" i="1"/>
  <c r="N617" i="1" s="1"/>
  <c r="J618" i="1"/>
  <c r="K618" i="1"/>
  <c r="L618" i="1"/>
  <c r="J619" i="1"/>
  <c r="K619" i="1"/>
  <c r="L619" i="1"/>
  <c r="O619" i="1" s="1"/>
  <c r="M619" i="1"/>
  <c r="N619" i="1"/>
  <c r="P619" i="1"/>
  <c r="J620" i="1"/>
  <c r="K620" i="1" s="1"/>
  <c r="J621" i="1"/>
  <c r="K621" i="1" s="1"/>
  <c r="J622" i="1"/>
  <c r="K622" i="1" s="1"/>
  <c r="L622" i="1"/>
  <c r="O622" i="1" s="1"/>
  <c r="R622" i="1" s="1"/>
  <c r="M622" i="1"/>
  <c r="Q622" i="1" s="1"/>
  <c r="N622" i="1"/>
  <c r="P622" i="1"/>
  <c r="S622" i="1" s="1"/>
  <c r="J623" i="1"/>
  <c r="K623" i="1" s="1"/>
  <c r="J624" i="1"/>
  <c r="K624" i="1"/>
  <c r="N624" i="1"/>
  <c r="J625" i="1"/>
  <c r="K625" i="1"/>
  <c r="N625" i="1"/>
  <c r="J626" i="1"/>
  <c r="K626" i="1" s="1"/>
  <c r="L626" i="1" s="1"/>
  <c r="N626" i="1"/>
  <c r="J627" i="1"/>
  <c r="K627" i="1"/>
  <c r="N627" i="1" s="1"/>
  <c r="L627" i="1"/>
  <c r="M627" i="1"/>
  <c r="J628" i="1"/>
  <c r="K628" i="1"/>
  <c r="J629" i="1"/>
  <c r="K629" i="1"/>
  <c r="N629" i="1"/>
  <c r="J630" i="1"/>
  <c r="K630" i="1" s="1"/>
  <c r="L630" i="1" s="1"/>
  <c r="M630" i="1"/>
  <c r="N630" i="1"/>
  <c r="J631" i="1"/>
  <c r="K631" i="1"/>
  <c r="L631" i="1" s="1"/>
  <c r="J632" i="1"/>
  <c r="K632" i="1" s="1"/>
  <c r="M632" i="1" s="1"/>
  <c r="J633" i="1"/>
  <c r="K633" i="1" s="1"/>
  <c r="J634" i="1"/>
  <c r="K634" i="1"/>
  <c r="J635" i="1"/>
  <c r="K635" i="1" s="1"/>
  <c r="L635" i="1" s="1"/>
  <c r="M635" i="1"/>
  <c r="N635" i="1"/>
  <c r="J636" i="1"/>
  <c r="K636" i="1" s="1"/>
  <c r="J637" i="1"/>
  <c r="K637" i="1"/>
  <c r="L637" i="1" s="1"/>
  <c r="M637" i="1"/>
  <c r="N637" i="1"/>
  <c r="J638" i="1"/>
  <c r="K638" i="1" s="1"/>
  <c r="N638" i="1"/>
  <c r="J639" i="1"/>
  <c r="K639" i="1" s="1"/>
  <c r="L639" i="1" s="1"/>
  <c r="J640" i="1"/>
  <c r="K640" i="1"/>
  <c r="L640" i="1"/>
  <c r="M640" i="1"/>
  <c r="N640" i="1"/>
  <c r="J641" i="1"/>
  <c r="K641" i="1" s="1"/>
  <c r="N641" i="1"/>
  <c r="J642" i="1"/>
  <c r="K642" i="1"/>
  <c r="N642" i="1"/>
  <c r="J643" i="1"/>
  <c r="K643" i="1"/>
  <c r="J644" i="1"/>
  <c r="K644" i="1" s="1"/>
  <c r="L644" i="1"/>
  <c r="M644" i="1"/>
  <c r="N644" i="1"/>
  <c r="J645" i="1"/>
  <c r="K645" i="1"/>
  <c r="J646" i="1"/>
  <c r="K646" i="1" s="1"/>
  <c r="N646" i="1" s="1"/>
  <c r="L646" i="1"/>
  <c r="M646" i="1"/>
  <c r="J647" i="1"/>
  <c r="K647" i="1"/>
  <c r="L647" i="1"/>
  <c r="O647" i="1" s="1"/>
  <c r="M647" i="1"/>
  <c r="N647" i="1"/>
  <c r="P647" i="1"/>
  <c r="R647" i="1"/>
  <c r="J648" i="1"/>
  <c r="K648" i="1"/>
  <c r="L648" i="1" s="1"/>
  <c r="J649" i="1"/>
  <c r="K649" i="1"/>
  <c r="J650" i="1"/>
  <c r="K650" i="1"/>
  <c r="L650" i="1"/>
  <c r="J651" i="1"/>
  <c r="K651" i="1"/>
  <c r="L651" i="1"/>
  <c r="O651" i="1" s="1"/>
  <c r="M651" i="1"/>
  <c r="N651" i="1"/>
  <c r="P651" i="1"/>
  <c r="S651" i="1" s="1"/>
  <c r="Q651" i="1"/>
  <c r="R651" i="1"/>
  <c r="J652" i="1"/>
  <c r="K652" i="1" s="1"/>
  <c r="L652" i="1" s="1"/>
  <c r="M652" i="1"/>
  <c r="N652" i="1"/>
  <c r="J653" i="1"/>
  <c r="K653" i="1"/>
  <c r="L653" i="1"/>
  <c r="O653" i="1" s="1"/>
  <c r="M653" i="1"/>
  <c r="N653" i="1"/>
  <c r="P653" i="1"/>
  <c r="Q653" i="1"/>
  <c r="J654" i="1"/>
  <c r="K654" i="1" s="1"/>
  <c r="N654" i="1" s="1"/>
  <c r="M654" i="1"/>
  <c r="J655" i="1"/>
  <c r="K655" i="1"/>
  <c r="L655" i="1"/>
  <c r="M655" i="1"/>
  <c r="N655" i="1"/>
  <c r="J656" i="1"/>
  <c r="K656" i="1" s="1"/>
  <c r="J657" i="1"/>
  <c r="K657" i="1"/>
  <c r="J658" i="1"/>
  <c r="K658" i="1" s="1"/>
  <c r="L658" i="1" s="1"/>
  <c r="O658" i="1" s="1"/>
  <c r="Q658" i="1" s="1"/>
  <c r="M658" i="1"/>
  <c r="N658" i="1"/>
  <c r="R658" i="1" s="1"/>
  <c r="J659" i="1"/>
  <c r="K659" i="1" s="1"/>
  <c r="N659" i="1"/>
  <c r="J660" i="1"/>
  <c r="K660" i="1"/>
  <c r="N660" i="1" s="1"/>
  <c r="L660" i="1"/>
  <c r="M660" i="1"/>
  <c r="J661" i="1"/>
  <c r="K661" i="1"/>
  <c r="J662" i="1"/>
  <c r="K662" i="1" s="1"/>
  <c r="J663" i="1"/>
  <c r="K663" i="1"/>
  <c r="L663" i="1" s="1"/>
  <c r="J664" i="1"/>
  <c r="K664" i="1" s="1"/>
  <c r="L664" i="1" s="1"/>
  <c r="M664" i="1"/>
  <c r="N664" i="1"/>
  <c r="O664" i="1" s="1"/>
  <c r="Q664" i="1" s="1"/>
  <c r="J665" i="1"/>
  <c r="K665" i="1" s="1"/>
  <c r="L665" i="1"/>
  <c r="J666" i="1"/>
  <c r="K666" i="1" s="1"/>
  <c r="M666" i="1" s="1"/>
  <c r="L666" i="1"/>
  <c r="N666" i="1"/>
  <c r="O666" i="1"/>
  <c r="Q666" i="1" s="1"/>
  <c r="J667" i="1"/>
  <c r="K667" i="1"/>
  <c r="L667" i="1"/>
  <c r="J668" i="1"/>
  <c r="K668" i="1" s="1"/>
  <c r="L668" i="1" s="1"/>
  <c r="J669" i="1"/>
  <c r="K669" i="1" s="1"/>
  <c r="L669" i="1"/>
  <c r="J670" i="1"/>
  <c r="K670" i="1"/>
  <c r="M670" i="1" s="1"/>
  <c r="L670" i="1"/>
  <c r="J671" i="1"/>
  <c r="K671" i="1" s="1"/>
  <c r="L671" i="1"/>
  <c r="J672" i="1"/>
  <c r="K672" i="1" s="1"/>
  <c r="J673" i="1"/>
  <c r="K673" i="1"/>
  <c r="J674" i="1"/>
  <c r="K674" i="1" s="1"/>
  <c r="J675" i="1"/>
  <c r="K675" i="1" s="1"/>
  <c r="M675" i="1" s="1"/>
  <c r="J676" i="1"/>
  <c r="K676" i="1" s="1"/>
  <c r="J677" i="1"/>
  <c r="K677" i="1" s="1"/>
  <c r="L677" i="1" s="1"/>
  <c r="M677" i="1"/>
  <c r="N677" i="1"/>
  <c r="J678" i="1"/>
  <c r="K678" i="1" s="1"/>
  <c r="L678" i="1" s="1"/>
  <c r="N678" i="1"/>
  <c r="J679" i="1"/>
  <c r="K679" i="1" s="1"/>
  <c r="L679" i="1" s="1"/>
  <c r="M679" i="1"/>
  <c r="N679" i="1"/>
  <c r="J680" i="1"/>
  <c r="K680" i="1"/>
  <c r="N680" i="1"/>
  <c r="J681" i="1"/>
  <c r="K681" i="1" s="1"/>
  <c r="L681" i="1"/>
  <c r="J682" i="1"/>
  <c r="K682" i="1"/>
  <c r="L682" i="1" s="1"/>
  <c r="J683" i="1"/>
  <c r="K683" i="1"/>
  <c r="J684" i="1"/>
  <c r="K684" i="1"/>
  <c r="J685" i="1"/>
  <c r="K685" i="1" s="1"/>
  <c r="J686" i="1"/>
  <c r="K686" i="1"/>
  <c r="J687" i="1"/>
  <c r="K687" i="1" s="1"/>
  <c r="J688" i="1"/>
  <c r="K688" i="1"/>
  <c r="N688" i="1" s="1"/>
  <c r="J689" i="1"/>
  <c r="K689" i="1" s="1"/>
  <c r="J690" i="1"/>
  <c r="K690" i="1"/>
  <c r="M690" i="1" s="1"/>
  <c r="L690" i="1"/>
  <c r="N690" i="1"/>
  <c r="J691" i="1"/>
  <c r="K691" i="1" s="1"/>
  <c r="M691" i="1"/>
  <c r="J692" i="1"/>
  <c r="K692" i="1" s="1"/>
  <c r="N692" i="1" s="1"/>
  <c r="L692" i="1"/>
  <c r="M692" i="1"/>
  <c r="J693" i="1"/>
  <c r="K693" i="1"/>
  <c r="L693" i="1"/>
  <c r="M693" i="1"/>
  <c r="N693" i="1"/>
  <c r="J694" i="1"/>
  <c r="K694" i="1" s="1"/>
  <c r="L694" i="1"/>
  <c r="J695" i="1"/>
  <c r="K695" i="1" s="1"/>
  <c r="L695" i="1"/>
  <c r="M695" i="1"/>
  <c r="N695" i="1"/>
  <c r="J696" i="1"/>
  <c r="K696" i="1" s="1"/>
  <c r="J697" i="1"/>
  <c r="K697" i="1"/>
  <c r="N697" i="1" s="1"/>
  <c r="L697" i="1"/>
  <c r="M697" i="1"/>
  <c r="J698" i="1"/>
  <c r="K698" i="1" s="1"/>
  <c r="J699" i="1"/>
  <c r="K699" i="1"/>
  <c r="N699" i="1" s="1"/>
  <c r="L699" i="1"/>
  <c r="M699" i="1"/>
  <c r="J700" i="1"/>
  <c r="K700" i="1" s="1"/>
  <c r="J701" i="1"/>
  <c r="K701" i="1"/>
  <c r="L701" i="1"/>
  <c r="M701" i="1"/>
  <c r="N701" i="1"/>
  <c r="J702" i="1"/>
  <c r="K702" i="1"/>
  <c r="L702" i="1"/>
  <c r="M702" i="1"/>
  <c r="N702" i="1"/>
  <c r="J703" i="1"/>
  <c r="K703" i="1" s="1"/>
  <c r="L703" i="1" s="1"/>
  <c r="O703" i="1" s="1"/>
  <c r="Q703" i="1" s="1"/>
  <c r="M703" i="1"/>
  <c r="N703" i="1"/>
  <c r="R703" i="1" s="1"/>
  <c r="P703" i="1"/>
  <c r="S703" i="1" s="1"/>
  <c r="J704" i="1"/>
  <c r="K704" i="1"/>
  <c r="J705" i="1"/>
  <c r="K705" i="1"/>
  <c r="N705" i="1" s="1"/>
  <c r="L705" i="1"/>
  <c r="M705" i="1"/>
  <c r="J706" i="1"/>
  <c r="K706" i="1"/>
  <c r="M706" i="1" s="1"/>
  <c r="L706" i="1"/>
  <c r="N706" i="1"/>
  <c r="J707" i="1"/>
  <c r="K707" i="1" s="1"/>
  <c r="M707" i="1"/>
  <c r="J708" i="1"/>
  <c r="K708" i="1"/>
  <c r="L708" i="1"/>
  <c r="M708" i="1"/>
  <c r="N708" i="1"/>
  <c r="J709" i="1"/>
  <c r="K709" i="1" s="1"/>
  <c r="N709" i="1"/>
  <c r="J710" i="1"/>
  <c r="K710" i="1" s="1"/>
  <c r="N710" i="1"/>
  <c r="J711" i="1"/>
  <c r="K711" i="1" s="1"/>
  <c r="N711" i="1" s="1"/>
  <c r="L711" i="1"/>
  <c r="M711" i="1"/>
  <c r="O711" i="1"/>
  <c r="P711" i="1"/>
  <c r="J712" i="1"/>
  <c r="K712" i="1" s="1"/>
  <c r="J713" i="1"/>
  <c r="K713" i="1"/>
  <c r="L713" i="1"/>
  <c r="M713" i="1"/>
  <c r="N713" i="1"/>
  <c r="J714" i="1"/>
  <c r="K714" i="1" s="1"/>
  <c r="J715" i="1"/>
  <c r="K715" i="1" s="1"/>
  <c r="J716" i="1"/>
  <c r="K716" i="1" s="1"/>
  <c r="N716" i="1"/>
  <c r="J717" i="1"/>
  <c r="K717" i="1"/>
  <c r="L717" i="1"/>
  <c r="M717" i="1"/>
  <c r="N717" i="1"/>
  <c r="J718" i="1"/>
  <c r="K718" i="1"/>
  <c r="L718" i="1"/>
  <c r="M718" i="1"/>
  <c r="N718" i="1"/>
  <c r="O718" i="1" s="1"/>
  <c r="J719" i="1"/>
  <c r="K719" i="1" s="1"/>
  <c r="J720" i="1"/>
  <c r="K720" i="1"/>
  <c r="N720" i="1"/>
  <c r="J721" i="1"/>
  <c r="K721" i="1"/>
  <c r="L721" i="1"/>
  <c r="J722" i="1"/>
  <c r="K722" i="1"/>
  <c r="N722" i="1" s="1"/>
  <c r="J723" i="1"/>
  <c r="K723" i="1" s="1"/>
  <c r="J724" i="1"/>
  <c r="K724" i="1"/>
  <c r="J725" i="1"/>
  <c r="K725" i="1" s="1"/>
  <c r="N725" i="1"/>
  <c r="J726" i="1"/>
  <c r="K726" i="1" s="1"/>
  <c r="L726" i="1" s="1"/>
  <c r="M726" i="1"/>
  <c r="N726" i="1"/>
  <c r="J727" i="1"/>
  <c r="K727" i="1" s="1"/>
  <c r="J728" i="1"/>
  <c r="K728" i="1"/>
  <c r="N728" i="1"/>
  <c r="J729" i="1"/>
  <c r="K729" i="1" s="1"/>
  <c r="M729" i="1"/>
  <c r="J730" i="1"/>
  <c r="K730" i="1"/>
  <c r="L730" i="1"/>
  <c r="J731" i="1"/>
  <c r="K731" i="1"/>
  <c r="N731" i="1" s="1"/>
  <c r="L731" i="1"/>
  <c r="M731" i="1"/>
  <c r="J732" i="1"/>
  <c r="K732" i="1" s="1"/>
  <c r="J733" i="1"/>
  <c r="K733" i="1" s="1"/>
  <c r="L733" i="1"/>
  <c r="M733" i="1"/>
  <c r="N733" i="1"/>
  <c r="J734" i="1"/>
  <c r="K734" i="1" s="1"/>
  <c r="L734" i="1" s="1"/>
  <c r="M734" i="1"/>
  <c r="N734" i="1"/>
  <c r="J735" i="1"/>
  <c r="K735" i="1" s="1"/>
  <c r="L735" i="1"/>
  <c r="O735" i="1" s="1"/>
  <c r="M735" i="1"/>
  <c r="N735" i="1"/>
  <c r="P735" i="1"/>
  <c r="S735" i="1" s="1"/>
  <c r="Q735" i="1"/>
  <c r="R735" i="1"/>
  <c r="J736" i="1"/>
  <c r="K736" i="1"/>
  <c r="N736" i="1"/>
  <c r="J737" i="1"/>
  <c r="K737" i="1"/>
  <c r="J738" i="1"/>
  <c r="K738" i="1"/>
  <c r="J739" i="1"/>
  <c r="K739" i="1" s="1"/>
  <c r="J740" i="1"/>
  <c r="K740" i="1"/>
  <c r="J741" i="1"/>
  <c r="K741" i="1" s="1"/>
  <c r="L741" i="1" s="1"/>
  <c r="N741" i="1"/>
  <c r="J742" i="1"/>
  <c r="K742" i="1"/>
  <c r="L742" i="1" s="1"/>
  <c r="M742" i="1"/>
  <c r="J743" i="1"/>
  <c r="K743" i="1" s="1"/>
  <c r="L743" i="1" s="1"/>
  <c r="N743" i="1"/>
  <c r="J744" i="1"/>
  <c r="K744" i="1"/>
  <c r="N744" i="1"/>
  <c r="J745" i="1"/>
  <c r="K745" i="1" s="1"/>
  <c r="L745" i="1" s="1"/>
  <c r="O745" i="1" s="1"/>
  <c r="P745" i="1" s="1"/>
  <c r="M745" i="1"/>
  <c r="N745" i="1"/>
  <c r="J746" i="1"/>
  <c r="K746" i="1" s="1"/>
  <c r="J747" i="1"/>
  <c r="K747" i="1" s="1"/>
  <c r="N747" i="1" s="1"/>
  <c r="L747" i="1"/>
  <c r="M747" i="1"/>
  <c r="J748" i="1"/>
  <c r="K748" i="1" s="1"/>
  <c r="L748" i="1" s="1"/>
  <c r="M748" i="1"/>
  <c r="N748" i="1"/>
  <c r="J749" i="1"/>
  <c r="K749" i="1" s="1"/>
  <c r="L749" i="1"/>
  <c r="M749" i="1"/>
  <c r="N749" i="1"/>
  <c r="J750" i="1"/>
  <c r="K750" i="1"/>
  <c r="L750" i="1"/>
  <c r="J751" i="1"/>
  <c r="K751" i="1" s="1"/>
  <c r="L751" i="1"/>
  <c r="M751" i="1"/>
  <c r="N751" i="1"/>
  <c r="J752" i="1"/>
  <c r="K752" i="1"/>
  <c r="J753" i="1"/>
  <c r="K753" i="1"/>
  <c r="J754" i="1"/>
  <c r="K754" i="1"/>
  <c r="L754" i="1"/>
  <c r="J755" i="1"/>
  <c r="K755" i="1" s="1"/>
  <c r="J756" i="1"/>
  <c r="K756" i="1"/>
  <c r="L756" i="1"/>
  <c r="J757" i="1"/>
  <c r="K757" i="1" s="1"/>
  <c r="L757" i="1"/>
  <c r="M757" i="1"/>
  <c r="N757" i="1"/>
  <c r="J758" i="1"/>
  <c r="K758" i="1" s="1"/>
  <c r="M758" i="1"/>
  <c r="J759" i="1"/>
  <c r="K759" i="1" s="1"/>
  <c r="L759" i="1"/>
  <c r="M759" i="1"/>
  <c r="N759" i="1"/>
  <c r="J760" i="1"/>
  <c r="K760" i="1"/>
  <c r="N760" i="1"/>
  <c r="J761" i="1"/>
  <c r="K761" i="1"/>
  <c r="L761" i="1"/>
  <c r="J762" i="1"/>
  <c r="K762" i="1" s="1"/>
  <c r="N762" i="1"/>
  <c r="J763" i="1"/>
  <c r="K763" i="1" s="1"/>
  <c r="J764" i="1"/>
  <c r="K764" i="1" s="1"/>
  <c r="M764" i="1"/>
  <c r="J765" i="1"/>
  <c r="K765" i="1" s="1"/>
  <c r="L765" i="1"/>
  <c r="M765" i="1"/>
  <c r="N765" i="1"/>
  <c r="J766" i="1"/>
  <c r="K766" i="1"/>
  <c r="J767" i="1"/>
  <c r="K767" i="1" s="1"/>
  <c r="L767" i="1" s="1"/>
  <c r="J768" i="1"/>
  <c r="K768" i="1" s="1"/>
  <c r="N768" i="1" s="1"/>
  <c r="J769" i="1"/>
  <c r="K769" i="1" s="1"/>
  <c r="L769" i="1" s="1"/>
  <c r="M769" i="1"/>
  <c r="N769" i="1"/>
  <c r="J770" i="1"/>
  <c r="K770" i="1"/>
  <c r="M770" i="1" s="1"/>
  <c r="L770" i="1"/>
  <c r="N770" i="1"/>
  <c r="J771" i="1"/>
  <c r="K771" i="1" s="1"/>
  <c r="J772" i="1"/>
  <c r="K772" i="1" s="1"/>
  <c r="J773" i="1"/>
  <c r="K773" i="1"/>
  <c r="J774" i="1"/>
  <c r="K774" i="1"/>
  <c r="L774" i="1"/>
  <c r="J775" i="1"/>
  <c r="K775" i="1" s="1"/>
  <c r="L775" i="1" s="1"/>
  <c r="O775" i="1" s="1"/>
  <c r="M775" i="1"/>
  <c r="N775" i="1"/>
  <c r="J776" i="1"/>
  <c r="K776" i="1"/>
  <c r="L776" i="1"/>
  <c r="J777" i="1"/>
  <c r="K777" i="1" s="1"/>
  <c r="L777" i="1" s="1"/>
  <c r="N777" i="1"/>
  <c r="J778" i="1"/>
  <c r="K778" i="1"/>
  <c r="M778" i="1" s="1"/>
  <c r="L778" i="1"/>
  <c r="N778" i="1"/>
  <c r="J779" i="1"/>
  <c r="K779" i="1"/>
  <c r="L779" i="1"/>
  <c r="O779" i="1" s="1"/>
  <c r="M779" i="1"/>
  <c r="N779" i="1"/>
  <c r="P779" i="1"/>
  <c r="J780" i="1"/>
  <c r="K780" i="1" s="1"/>
  <c r="J781" i="1"/>
  <c r="K781" i="1" s="1"/>
  <c r="J782" i="1"/>
  <c r="K782" i="1"/>
  <c r="L782" i="1"/>
  <c r="M782" i="1"/>
  <c r="N782" i="1"/>
  <c r="J783" i="1"/>
  <c r="K783" i="1" s="1"/>
  <c r="J784" i="1"/>
  <c r="K784" i="1"/>
  <c r="N784" i="1" s="1"/>
  <c r="J785" i="1"/>
  <c r="K785" i="1"/>
  <c r="J786" i="1"/>
  <c r="K786" i="1"/>
  <c r="M786" i="1" s="1"/>
  <c r="L786" i="1"/>
  <c r="O786" i="1" s="1"/>
  <c r="N786" i="1"/>
  <c r="R786" i="1" s="1"/>
  <c r="J787" i="1"/>
  <c r="K787" i="1" s="1"/>
  <c r="J788" i="1"/>
  <c r="K788" i="1" s="1"/>
  <c r="J789" i="1"/>
  <c r="K789" i="1" s="1"/>
  <c r="N789" i="1" s="1"/>
  <c r="J790" i="1"/>
  <c r="K790" i="1"/>
  <c r="L790" i="1"/>
  <c r="M790" i="1"/>
  <c r="N790" i="1"/>
  <c r="J791" i="1"/>
  <c r="K791" i="1" s="1"/>
  <c r="J792" i="1"/>
  <c r="K792" i="1" s="1"/>
  <c r="L792" i="1" s="1"/>
  <c r="N792" i="1"/>
  <c r="J793" i="1"/>
  <c r="K793" i="1"/>
  <c r="N793" i="1" s="1"/>
  <c r="L793" i="1"/>
  <c r="J794" i="1"/>
  <c r="K794" i="1"/>
  <c r="J795" i="1"/>
  <c r="K795" i="1" s="1"/>
  <c r="M795" i="1"/>
  <c r="J796" i="1"/>
  <c r="K796" i="1" s="1"/>
  <c r="M796" i="1"/>
  <c r="J797" i="1"/>
  <c r="K797" i="1" s="1"/>
  <c r="J798" i="1"/>
  <c r="K798" i="1"/>
  <c r="L798" i="1" s="1"/>
  <c r="J799" i="1"/>
  <c r="K799" i="1" s="1"/>
  <c r="L799" i="1"/>
  <c r="M799" i="1"/>
  <c r="N799" i="1"/>
  <c r="J800" i="1"/>
  <c r="K800" i="1" s="1"/>
  <c r="J801" i="1"/>
  <c r="K801" i="1" s="1"/>
  <c r="J802" i="1"/>
  <c r="K802" i="1"/>
  <c r="J803" i="1"/>
  <c r="K803" i="1" s="1"/>
  <c r="L803" i="1" s="1"/>
  <c r="M803" i="1"/>
  <c r="N803" i="1"/>
  <c r="O803" i="1"/>
  <c r="J804" i="1"/>
  <c r="K804" i="1" s="1"/>
  <c r="N804" i="1" s="1"/>
  <c r="L804" i="1"/>
  <c r="M804" i="1"/>
  <c r="J805" i="1"/>
  <c r="K805" i="1"/>
  <c r="N805" i="1"/>
  <c r="J806" i="1"/>
  <c r="K806" i="1" s="1"/>
  <c r="L806" i="1"/>
  <c r="M806" i="1"/>
  <c r="O806" i="1" s="1"/>
  <c r="N806" i="1"/>
  <c r="J807" i="1"/>
  <c r="K807" i="1" s="1"/>
  <c r="N807" i="1"/>
  <c r="J808" i="1"/>
  <c r="K808" i="1"/>
  <c r="J809" i="1"/>
  <c r="K809" i="1"/>
  <c r="N809" i="1"/>
  <c r="J810" i="1"/>
  <c r="K810" i="1" s="1"/>
  <c r="L810" i="1"/>
  <c r="J811" i="1"/>
  <c r="K811" i="1" s="1"/>
  <c r="J812" i="1"/>
  <c r="K812" i="1" s="1"/>
  <c r="L812" i="1"/>
  <c r="M812" i="1"/>
  <c r="N812" i="1"/>
  <c r="O812" i="1"/>
  <c r="J813" i="1"/>
  <c r="K813" i="1"/>
  <c r="J814" i="1"/>
  <c r="K814" i="1" s="1"/>
  <c r="N814" i="1" s="1"/>
  <c r="J815" i="1"/>
  <c r="K815" i="1" s="1"/>
  <c r="N815" i="1"/>
  <c r="J816" i="1"/>
  <c r="K816" i="1"/>
  <c r="N816" i="1" s="1"/>
  <c r="L816" i="1"/>
  <c r="M816" i="1"/>
  <c r="J817" i="1"/>
  <c r="K817" i="1"/>
  <c r="N817" i="1" s="1"/>
  <c r="L817" i="1"/>
  <c r="O817" i="1" s="1"/>
  <c r="R817" i="1" s="1"/>
  <c r="M817" i="1"/>
  <c r="Q817" i="1" s="1"/>
  <c r="J818" i="1"/>
  <c r="K818" i="1" s="1"/>
  <c r="L818" i="1"/>
  <c r="J819" i="1"/>
  <c r="K819" i="1" s="1"/>
  <c r="J820" i="1"/>
  <c r="K820" i="1" s="1"/>
  <c r="L820" i="1"/>
  <c r="J821" i="1"/>
  <c r="K821" i="1"/>
  <c r="N821" i="1"/>
  <c r="J822" i="1"/>
  <c r="K822" i="1" s="1"/>
  <c r="M822" i="1" s="1"/>
  <c r="J823" i="1"/>
  <c r="K823" i="1" s="1"/>
  <c r="N823" i="1" s="1"/>
  <c r="J824" i="1"/>
  <c r="K824" i="1"/>
  <c r="N824" i="1" s="1"/>
  <c r="L824" i="1"/>
  <c r="J825" i="1"/>
  <c r="K825" i="1"/>
  <c r="L825" i="1"/>
  <c r="O825" i="1" s="1"/>
  <c r="M825" i="1"/>
  <c r="N825" i="1"/>
  <c r="J826" i="1"/>
  <c r="K826" i="1" s="1"/>
  <c r="J827" i="1"/>
  <c r="K827" i="1"/>
  <c r="L827" i="1"/>
  <c r="M827" i="1"/>
  <c r="N827" i="1"/>
  <c r="O827" i="1"/>
  <c r="R827" i="1"/>
  <c r="J828" i="1"/>
  <c r="K828" i="1" s="1"/>
  <c r="N828" i="1" s="1"/>
  <c r="J829" i="1"/>
  <c r="K829" i="1"/>
  <c r="N829" i="1"/>
  <c r="J830" i="1"/>
  <c r="K830" i="1" s="1"/>
  <c r="J831" i="1"/>
  <c r="K831" i="1" s="1"/>
  <c r="N831" i="1"/>
  <c r="J832" i="1"/>
  <c r="K832" i="1"/>
  <c r="N832" i="1" s="1"/>
  <c r="L832" i="1"/>
  <c r="M832" i="1"/>
  <c r="J833" i="1"/>
  <c r="K833" i="1"/>
  <c r="M833" i="1" s="1"/>
  <c r="J834" i="1"/>
  <c r="K834" i="1" s="1"/>
  <c r="L834" i="1"/>
  <c r="J835" i="1"/>
  <c r="K835" i="1"/>
  <c r="L835" i="1" s="1"/>
  <c r="M835" i="1"/>
  <c r="N835" i="1"/>
  <c r="R835" i="1" s="1"/>
  <c r="O835" i="1"/>
  <c r="J836" i="1"/>
  <c r="K836" i="1" s="1"/>
  <c r="L836" i="1"/>
  <c r="M836" i="1"/>
  <c r="O836" i="1" s="1"/>
  <c r="N836" i="1"/>
  <c r="Q836" i="1"/>
  <c r="J837" i="1"/>
  <c r="K837" i="1"/>
  <c r="J838" i="1"/>
  <c r="K838" i="1"/>
  <c r="N838" i="1"/>
  <c r="J839" i="1"/>
  <c r="K839" i="1" s="1"/>
  <c r="N839" i="1"/>
  <c r="J840" i="1"/>
  <c r="K840" i="1"/>
  <c r="J841" i="1"/>
  <c r="K841" i="1"/>
  <c r="N841" i="1" s="1"/>
  <c r="J842" i="1"/>
  <c r="K842" i="1" s="1"/>
  <c r="L842" i="1"/>
  <c r="J843" i="1"/>
  <c r="K843" i="1"/>
  <c r="L843" i="1"/>
  <c r="O843" i="1" s="1"/>
  <c r="M843" i="1"/>
  <c r="N843" i="1"/>
  <c r="J844" i="1"/>
  <c r="K844" i="1" s="1"/>
  <c r="M844" i="1" s="1"/>
  <c r="L844" i="1"/>
  <c r="O844" i="1" s="1"/>
  <c r="Q844" i="1" s="1"/>
  <c r="N844" i="1"/>
  <c r="J845" i="1"/>
  <c r="K845" i="1" s="1"/>
  <c r="J846" i="1"/>
  <c r="K846" i="1" s="1"/>
  <c r="J847" i="1"/>
  <c r="K847" i="1" s="1"/>
  <c r="J848" i="1"/>
  <c r="K848" i="1" s="1"/>
  <c r="M848" i="1"/>
  <c r="J849" i="1"/>
  <c r="K849" i="1"/>
  <c r="N849" i="1" s="1"/>
  <c r="J850" i="1"/>
  <c r="K850" i="1" s="1"/>
  <c r="L850" i="1"/>
  <c r="J851" i="1"/>
  <c r="K851" i="1"/>
  <c r="L851" i="1"/>
  <c r="M851" i="1"/>
  <c r="N851" i="1"/>
  <c r="J852" i="1"/>
  <c r="K852" i="1" s="1"/>
  <c r="N852" i="1"/>
  <c r="J853" i="1"/>
  <c r="K853" i="1"/>
  <c r="N853" i="1"/>
  <c r="J854" i="1"/>
  <c r="K854" i="1" s="1"/>
  <c r="J855" i="1"/>
  <c r="K855" i="1" s="1"/>
  <c r="L855" i="1"/>
  <c r="J856" i="1"/>
  <c r="K856" i="1"/>
  <c r="N856" i="1" s="1"/>
  <c r="L856" i="1"/>
  <c r="J857" i="1"/>
  <c r="K857" i="1"/>
  <c r="J858" i="1"/>
  <c r="K858" i="1" s="1"/>
  <c r="M858" i="1" s="1"/>
  <c r="L858" i="1"/>
  <c r="O858" i="1" s="1"/>
  <c r="N858" i="1"/>
  <c r="Q858" i="1"/>
  <c r="R858" i="1"/>
  <c r="J859" i="1"/>
  <c r="K859" i="1"/>
  <c r="M859" i="1" s="1"/>
  <c r="L859" i="1"/>
  <c r="J860" i="1"/>
  <c r="K860" i="1" s="1"/>
  <c r="J861" i="1"/>
  <c r="K861" i="1"/>
  <c r="J862" i="1"/>
  <c r="K862" i="1" s="1"/>
  <c r="L862" i="1"/>
  <c r="M862" i="1"/>
  <c r="N862" i="1"/>
  <c r="J863" i="1"/>
  <c r="K863" i="1"/>
  <c r="M863" i="1" s="1"/>
  <c r="L863" i="1"/>
  <c r="N863" i="1"/>
  <c r="J864" i="1"/>
  <c r="K864" i="1"/>
  <c r="N864" i="1" s="1"/>
  <c r="L864" i="1"/>
  <c r="M864" i="1"/>
  <c r="J865" i="1"/>
  <c r="K865" i="1" s="1"/>
  <c r="J866" i="1"/>
  <c r="K866" i="1" s="1"/>
  <c r="J867" i="1"/>
  <c r="K867" i="1"/>
  <c r="L867" i="1" s="1"/>
  <c r="J868" i="1"/>
  <c r="K868" i="1" s="1"/>
  <c r="N868" i="1" s="1"/>
  <c r="L868" i="1"/>
  <c r="O868" i="1" s="1"/>
  <c r="P868" i="1" s="1"/>
  <c r="M868" i="1"/>
  <c r="Q868" i="1" s="1"/>
  <c r="J869" i="1"/>
  <c r="K869" i="1" s="1"/>
  <c r="N869" i="1"/>
  <c r="J870" i="1"/>
  <c r="K870" i="1"/>
  <c r="N870" i="1"/>
  <c r="J871" i="1"/>
  <c r="K871" i="1" s="1"/>
  <c r="J872" i="1"/>
  <c r="K872" i="1"/>
  <c r="L872" i="1" s="1"/>
  <c r="J873" i="1"/>
  <c r="K873" i="1"/>
  <c r="L873" i="1" s="1"/>
  <c r="M873" i="1"/>
  <c r="J874" i="1"/>
  <c r="K874" i="1" s="1"/>
  <c r="N874" i="1" s="1"/>
  <c r="L874" i="1"/>
  <c r="M874" i="1"/>
  <c r="J875" i="1"/>
  <c r="K875" i="1"/>
  <c r="M875" i="1" s="1"/>
  <c r="L875" i="1"/>
  <c r="J876" i="1"/>
  <c r="K876" i="1" s="1"/>
  <c r="L876" i="1" s="1"/>
  <c r="N876" i="1"/>
  <c r="J877" i="1"/>
  <c r="K877" i="1"/>
  <c r="N877" i="1"/>
  <c r="J878" i="1"/>
  <c r="K878" i="1"/>
  <c r="M878" i="1" s="1"/>
  <c r="L878" i="1"/>
  <c r="J879" i="1"/>
  <c r="K879" i="1"/>
  <c r="J880" i="1"/>
  <c r="K880" i="1"/>
  <c r="N880" i="1" s="1"/>
  <c r="L880" i="1"/>
  <c r="M880" i="1"/>
  <c r="J881" i="1"/>
  <c r="K881" i="1"/>
  <c r="M881" i="1" s="1"/>
  <c r="L881" i="1"/>
  <c r="J882" i="1"/>
  <c r="K882" i="1" s="1"/>
  <c r="L882" i="1"/>
  <c r="O882" i="1" s="1"/>
  <c r="M882" i="1"/>
  <c r="N882" i="1"/>
  <c r="P882" i="1"/>
  <c r="Q882" i="1"/>
  <c r="J883" i="1"/>
  <c r="K883" i="1"/>
  <c r="M883" i="1" s="1"/>
  <c r="L883" i="1"/>
  <c r="J884" i="1"/>
  <c r="K884" i="1" s="1"/>
  <c r="L884" i="1" s="1"/>
  <c r="O884" i="1" s="1"/>
  <c r="M884" i="1"/>
  <c r="N884" i="1"/>
  <c r="R884" i="1" s="1"/>
  <c r="J885" i="1"/>
  <c r="K885" i="1" s="1"/>
  <c r="J886" i="1"/>
  <c r="K886" i="1"/>
  <c r="J887" i="1"/>
  <c r="K887" i="1"/>
  <c r="L887" i="1"/>
  <c r="J888" i="1"/>
  <c r="K888" i="1"/>
  <c r="N888" i="1" s="1"/>
  <c r="L888" i="1"/>
  <c r="J889" i="1"/>
  <c r="K889" i="1" s="1"/>
  <c r="J890" i="1"/>
  <c r="K890" i="1"/>
  <c r="L890" i="1"/>
  <c r="M890" i="1"/>
  <c r="N890" i="1"/>
  <c r="J891" i="1"/>
  <c r="K891" i="1"/>
  <c r="N891" i="1" s="1"/>
  <c r="L891" i="1"/>
  <c r="M891" i="1"/>
  <c r="J892" i="1"/>
  <c r="K892" i="1" s="1"/>
  <c r="N892" i="1" s="1"/>
  <c r="L892" i="1"/>
  <c r="M892" i="1"/>
  <c r="J893" i="1"/>
  <c r="K893" i="1"/>
  <c r="N893" i="1"/>
  <c r="J894" i="1"/>
  <c r="K894" i="1" s="1"/>
  <c r="J895" i="1"/>
  <c r="K895" i="1"/>
  <c r="M895" i="1" s="1"/>
  <c r="L895" i="1"/>
  <c r="O895" i="1" s="1"/>
  <c r="Q895" i="1" s="1"/>
  <c r="N895" i="1"/>
  <c r="J896" i="1"/>
  <c r="K896" i="1" s="1"/>
  <c r="J897" i="1"/>
  <c r="K897" i="1"/>
  <c r="L897" i="1"/>
  <c r="O897" i="1" s="1"/>
  <c r="M897" i="1"/>
  <c r="Q897" i="1" s="1"/>
  <c r="N897" i="1"/>
  <c r="J898" i="1"/>
  <c r="K898" i="1"/>
  <c r="L898" i="1"/>
  <c r="M898" i="1"/>
  <c r="N898" i="1"/>
  <c r="J899" i="1"/>
  <c r="K899" i="1"/>
  <c r="L899" i="1"/>
  <c r="M899" i="1"/>
  <c r="N899" i="1"/>
  <c r="O899" i="1"/>
  <c r="J900" i="1"/>
  <c r="K900" i="1" s="1"/>
  <c r="L900" i="1"/>
  <c r="M900" i="1"/>
  <c r="N900" i="1"/>
  <c r="R900" i="1" s="1"/>
  <c r="O900" i="1"/>
  <c r="Q900" i="1" s="1"/>
  <c r="J901" i="1"/>
  <c r="K901" i="1"/>
  <c r="N901" i="1" s="1"/>
  <c r="J902" i="1"/>
  <c r="K902" i="1"/>
  <c r="J903" i="1"/>
  <c r="K903" i="1"/>
  <c r="M903" i="1" s="1"/>
  <c r="L903" i="1"/>
  <c r="O903" i="1" s="1"/>
  <c r="Q903" i="1" s="1"/>
  <c r="N903" i="1"/>
  <c r="R903" i="1" s="1"/>
  <c r="J904" i="1"/>
  <c r="K904" i="1"/>
  <c r="N904" i="1" s="1"/>
  <c r="L904" i="1"/>
  <c r="J905" i="1"/>
  <c r="K905" i="1" s="1"/>
  <c r="N905" i="1"/>
  <c r="J906" i="1"/>
  <c r="K906" i="1" s="1"/>
  <c r="J907" i="1"/>
  <c r="K907" i="1" s="1"/>
  <c r="N907" i="1" s="1"/>
  <c r="J908" i="1"/>
  <c r="K908" i="1" s="1"/>
  <c r="N908" i="1" s="1"/>
  <c r="L908" i="1"/>
  <c r="M908" i="1"/>
  <c r="J909" i="1"/>
  <c r="K909" i="1"/>
  <c r="D5" i="1"/>
  <c r="C5" i="1"/>
  <c r="B5" i="1"/>
  <c r="B6" i="1" s="1"/>
  <c r="N755" i="1" l="1"/>
  <c r="L755" i="1"/>
  <c r="M755" i="1"/>
  <c r="O887" i="1"/>
  <c r="P887" i="1" s="1"/>
  <c r="P863" i="1"/>
  <c r="R843" i="1"/>
  <c r="R635" i="1"/>
  <c r="O682" i="1"/>
  <c r="P682" i="1" s="1"/>
  <c r="N830" i="1"/>
  <c r="L830" i="1"/>
  <c r="M830" i="1"/>
  <c r="L771" i="1"/>
  <c r="M771" i="1"/>
  <c r="N771" i="1"/>
  <c r="R880" i="1"/>
  <c r="O798" i="1"/>
  <c r="P798" i="1"/>
  <c r="O631" i="1"/>
  <c r="P631" i="1" s="1"/>
  <c r="N715" i="1"/>
  <c r="L715" i="1"/>
  <c r="M715" i="1"/>
  <c r="N676" i="1"/>
  <c r="L676" i="1"/>
  <c r="M676" i="1"/>
  <c r="N865" i="1"/>
  <c r="L865" i="1"/>
  <c r="M865" i="1"/>
  <c r="N846" i="1"/>
  <c r="L846" i="1"/>
  <c r="M846" i="1"/>
  <c r="M889" i="1"/>
  <c r="L889" i="1"/>
  <c r="N889" i="1"/>
  <c r="O872" i="1"/>
  <c r="P872" i="1" s="1"/>
  <c r="R678" i="1"/>
  <c r="N801" i="1"/>
  <c r="L801" i="1"/>
  <c r="M801" i="1"/>
  <c r="L696" i="1"/>
  <c r="M696" i="1"/>
  <c r="N696" i="1"/>
  <c r="L772" i="1"/>
  <c r="M772" i="1"/>
  <c r="N772" i="1"/>
  <c r="M854" i="1"/>
  <c r="N854" i="1"/>
  <c r="L854" i="1"/>
  <c r="N732" i="1"/>
  <c r="L732" i="1"/>
  <c r="M732" i="1"/>
  <c r="R899" i="1"/>
  <c r="P903" i="1"/>
  <c r="S903" i="1" s="1"/>
  <c r="P897" i="1"/>
  <c r="S897" i="1" s="1"/>
  <c r="N840" i="1"/>
  <c r="M840" i="1"/>
  <c r="Q832" i="1"/>
  <c r="R825" i="1"/>
  <c r="M787" i="1"/>
  <c r="N787" i="1"/>
  <c r="L783" i="1"/>
  <c r="M783" i="1"/>
  <c r="R705" i="1"/>
  <c r="R701" i="1"/>
  <c r="L689" i="1"/>
  <c r="M689" i="1"/>
  <c r="L599" i="1"/>
  <c r="M599" i="1"/>
  <c r="N599" i="1"/>
  <c r="M578" i="1"/>
  <c r="N578" i="1"/>
  <c r="L578" i="1"/>
  <c r="M550" i="1"/>
  <c r="N550" i="1"/>
  <c r="L550" i="1"/>
  <c r="N483" i="1"/>
  <c r="L483" i="1"/>
  <c r="M483" i="1"/>
  <c r="M894" i="1"/>
  <c r="N894" i="1"/>
  <c r="L894" i="1"/>
  <c r="N867" i="1"/>
  <c r="O832" i="1"/>
  <c r="Q825" i="1"/>
  <c r="P817" i="1"/>
  <c r="S817" i="1" s="1"/>
  <c r="N796" i="1"/>
  <c r="L796" i="1"/>
  <c r="R782" i="1"/>
  <c r="O713" i="1"/>
  <c r="Q713" i="1" s="1"/>
  <c r="Q701" i="1"/>
  <c r="M678" i="1"/>
  <c r="L654" i="1"/>
  <c r="N639" i="1"/>
  <c r="L609" i="1"/>
  <c r="M609" i="1"/>
  <c r="N609" i="1"/>
  <c r="P594" i="1"/>
  <c r="S594" i="1" s="1"/>
  <c r="L526" i="1"/>
  <c r="N350" i="1"/>
  <c r="L350" i="1"/>
  <c r="M350" i="1"/>
  <c r="L464" i="1"/>
  <c r="M464" i="1"/>
  <c r="N464" i="1"/>
  <c r="O851" i="1"/>
  <c r="P851" i="1" s="1"/>
  <c r="S851" i="1" s="1"/>
  <c r="L907" i="1"/>
  <c r="M907" i="1"/>
  <c r="R897" i="1"/>
  <c r="M871" i="1"/>
  <c r="L871" i="1"/>
  <c r="N871" i="1"/>
  <c r="M867" i="1"/>
  <c r="M856" i="1"/>
  <c r="L814" i="1"/>
  <c r="M814" i="1"/>
  <c r="L791" i="1"/>
  <c r="M791" i="1"/>
  <c r="N791" i="1"/>
  <c r="Q782" i="1"/>
  <c r="M740" i="1"/>
  <c r="N740" i="1"/>
  <c r="L740" i="1"/>
  <c r="M722" i="1"/>
  <c r="L722" i="1"/>
  <c r="M682" i="1"/>
  <c r="N682" i="1"/>
  <c r="O678" i="1"/>
  <c r="P678" i="1" s="1"/>
  <c r="L672" i="1"/>
  <c r="M672" i="1"/>
  <c r="N672" i="1"/>
  <c r="M639" i="1"/>
  <c r="M513" i="1"/>
  <c r="N513" i="1"/>
  <c r="L513" i="1"/>
  <c r="L860" i="1"/>
  <c r="M860" i="1"/>
  <c r="N860" i="1"/>
  <c r="L828" i="1"/>
  <c r="M828" i="1"/>
  <c r="P639" i="1"/>
  <c r="O639" i="1"/>
  <c r="Q328" i="1"/>
  <c r="N906" i="1"/>
  <c r="L906" i="1"/>
  <c r="M906" i="1"/>
  <c r="P890" i="1"/>
  <c r="S890" i="1" s="1"/>
  <c r="O874" i="1"/>
  <c r="R874" i="1" s="1"/>
  <c r="P874" i="1"/>
  <c r="O863" i="1"/>
  <c r="Q843" i="1"/>
  <c r="P786" i="1"/>
  <c r="S786" i="1" s="1"/>
  <c r="Q775" i="1"/>
  <c r="R726" i="1"/>
  <c r="O608" i="1"/>
  <c r="R608" i="1" s="1"/>
  <c r="L893" i="1"/>
  <c r="M893" i="1"/>
  <c r="Q863" i="1"/>
  <c r="R851" i="1"/>
  <c r="P843" i="1"/>
  <c r="Q835" i="1"/>
  <c r="O824" i="1"/>
  <c r="R824" i="1" s="1"/>
  <c r="P824" i="1"/>
  <c r="O804" i="1"/>
  <c r="R804" i="1" s="1"/>
  <c r="P804" i="1"/>
  <c r="R799" i="1"/>
  <c r="P775" i="1"/>
  <c r="L752" i="1"/>
  <c r="M752" i="1"/>
  <c r="N752" i="1"/>
  <c r="M700" i="1"/>
  <c r="N700" i="1"/>
  <c r="L700" i="1"/>
  <c r="O681" i="1"/>
  <c r="P681" i="1" s="1"/>
  <c r="R487" i="1"/>
  <c r="M424" i="1"/>
  <c r="N424" i="1"/>
  <c r="L424" i="1"/>
  <c r="Q899" i="1"/>
  <c r="O880" i="1"/>
  <c r="L866" i="1"/>
  <c r="N866" i="1"/>
  <c r="M866" i="1"/>
  <c r="Q851" i="1"/>
  <c r="M721" i="1"/>
  <c r="N721" i="1"/>
  <c r="S711" i="1"/>
  <c r="M686" i="1"/>
  <c r="L686" i="1"/>
  <c r="N686" i="1"/>
  <c r="L661" i="1"/>
  <c r="M661" i="1"/>
  <c r="N661" i="1"/>
  <c r="L633" i="1"/>
  <c r="M633" i="1"/>
  <c r="N633" i="1"/>
  <c r="N588" i="1"/>
  <c r="L588" i="1"/>
  <c r="R576" i="1"/>
  <c r="N555" i="1"/>
  <c r="M555" i="1"/>
  <c r="L555" i="1"/>
  <c r="M530" i="1"/>
  <c r="O530" i="1" s="1"/>
  <c r="P530" i="1" s="1"/>
  <c r="N530" i="1"/>
  <c r="R468" i="1"/>
  <c r="O456" i="1"/>
  <c r="P456" i="1" s="1"/>
  <c r="L902" i="1"/>
  <c r="M902" i="1"/>
  <c r="N902" i="1"/>
  <c r="P899" i="1"/>
  <c r="L838" i="1"/>
  <c r="M838" i="1"/>
  <c r="Q827" i="1"/>
  <c r="R812" i="1"/>
  <c r="M794" i="1"/>
  <c r="N794" i="1"/>
  <c r="L794" i="1"/>
  <c r="O774" i="1"/>
  <c r="P774" i="1" s="1"/>
  <c r="O756" i="1"/>
  <c r="P756" i="1" s="1"/>
  <c r="M738" i="1"/>
  <c r="L738" i="1"/>
  <c r="N738" i="1"/>
  <c r="M642" i="1"/>
  <c r="L642" i="1"/>
  <c r="Q576" i="1"/>
  <c r="M554" i="1"/>
  <c r="N554" i="1"/>
  <c r="L554" i="1"/>
  <c r="R479" i="1"/>
  <c r="O468" i="1"/>
  <c r="P468" i="1" s="1"/>
  <c r="L387" i="1"/>
  <c r="M387" i="1"/>
  <c r="N387" i="1"/>
  <c r="N896" i="1"/>
  <c r="L896" i="1"/>
  <c r="M896" i="1"/>
  <c r="L886" i="1"/>
  <c r="M886" i="1"/>
  <c r="N886" i="1"/>
  <c r="P827" i="1"/>
  <c r="S827" i="1" s="1"/>
  <c r="M820" i="1"/>
  <c r="N820" i="1"/>
  <c r="Q812" i="1"/>
  <c r="R803" i="1"/>
  <c r="Q711" i="1"/>
  <c r="Q699" i="1"/>
  <c r="L656" i="1"/>
  <c r="M656" i="1"/>
  <c r="N656" i="1"/>
  <c r="Q646" i="1"/>
  <c r="O576" i="1"/>
  <c r="P576" i="1"/>
  <c r="L510" i="1"/>
  <c r="M510" i="1"/>
  <c r="N510" i="1"/>
  <c r="Q479" i="1"/>
  <c r="N395" i="1"/>
  <c r="L395" i="1"/>
  <c r="M395" i="1"/>
  <c r="N310" i="1"/>
  <c r="L310" i="1"/>
  <c r="M310" i="1"/>
  <c r="L909" i="1"/>
  <c r="M909" i="1"/>
  <c r="N909" i="1"/>
  <c r="O892" i="1"/>
  <c r="P812" i="1"/>
  <c r="Q803" i="1"/>
  <c r="O730" i="1"/>
  <c r="P730" i="1"/>
  <c r="L716" i="1"/>
  <c r="M716" i="1"/>
  <c r="O699" i="1"/>
  <c r="O660" i="1"/>
  <c r="P660" i="1" s="1"/>
  <c r="O646" i="1"/>
  <c r="P646" i="1"/>
  <c r="N547" i="1"/>
  <c r="M547" i="1"/>
  <c r="L547" i="1"/>
  <c r="M497" i="1"/>
  <c r="N497" i="1"/>
  <c r="L497" i="1"/>
  <c r="L905" i="1"/>
  <c r="M905" i="1"/>
  <c r="P895" i="1"/>
  <c r="S895" i="1" s="1"/>
  <c r="R882" i="1"/>
  <c r="S882" i="1" s="1"/>
  <c r="M879" i="1"/>
  <c r="L879" i="1"/>
  <c r="N879" i="1"/>
  <c r="M876" i="1"/>
  <c r="O862" i="1"/>
  <c r="Q862" i="1" s="1"/>
  <c r="P858" i="1"/>
  <c r="S858" i="1" s="1"/>
  <c r="L807" i="1"/>
  <c r="M807" i="1"/>
  <c r="P803" i="1"/>
  <c r="N798" i="1"/>
  <c r="R759" i="1"/>
  <c r="L737" i="1"/>
  <c r="M737" i="1"/>
  <c r="N737" i="1"/>
  <c r="R711" i="1"/>
  <c r="O694" i="1"/>
  <c r="P694" i="1" s="1"/>
  <c r="R652" i="1"/>
  <c r="R646" i="1"/>
  <c r="M586" i="1"/>
  <c r="N586" i="1"/>
  <c r="L586" i="1"/>
  <c r="M580" i="1"/>
  <c r="N580" i="1"/>
  <c r="O580" i="1" s="1"/>
  <c r="P580" i="1" s="1"/>
  <c r="L569" i="1"/>
  <c r="N569" i="1"/>
  <c r="M569" i="1"/>
  <c r="L504" i="1"/>
  <c r="M504" i="1"/>
  <c r="N504" i="1"/>
  <c r="O405" i="1"/>
  <c r="R405" i="1" s="1"/>
  <c r="Q405" i="1"/>
  <c r="M321" i="1"/>
  <c r="L321" i="1"/>
  <c r="N321" i="1"/>
  <c r="N848" i="1"/>
  <c r="L848" i="1"/>
  <c r="O799" i="1"/>
  <c r="Q799" i="1" s="1"/>
  <c r="O734" i="1"/>
  <c r="L885" i="1"/>
  <c r="M885" i="1"/>
  <c r="N885" i="1"/>
  <c r="M841" i="1"/>
  <c r="L837" i="1"/>
  <c r="M837" i="1"/>
  <c r="N837" i="1"/>
  <c r="L823" i="1"/>
  <c r="M823" i="1"/>
  <c r="N819" i="1"/>
  <c r="L819" i="1"/>
  <c r="M819" i="1"/>
  <c r="M798" i="1"/>
  <c r="M784" i="1"/>
  <c r="L780" i="1"/>
  <c r="M780" i="1"/>
  <c r="N780" i="1"/>
  <c r="R747" i="1"/>
  <c r="N719" i="1"/>
  <c r="L719" i="1"/>
  <c r="M719" i="1"/>
  <c r="M649" i="1"/>
  <c r="L649" i="1"/>
  <c r="N649" i="1"/>
  <c r="N631" i="1"/>
  <c r="M631" i="1"/>
  <c r="N596" i="1"/>
  <c r="L596" i="1"/>
  <c r="L492" i="1"/>
  <c r="M492" i="1"/>
  <c r="N492" i="1"/>
  <c r="M400" i="1"/>
  <c r="N400" i="1"/>
  <c r="L400" i="1"/>
  <c r="L337" i="1"/>
  <c r="M337" i="1"/>
  <c r="N337" i="1"/>
  <c r="O332" i="1"/>
  <c r="N475" i="1"/>
  <c r="L475" i="1"/>
  <c r="M475" i="1"/>
  <c r="P835" i="1"/>
  <c r="S835" i="1" s="1"/>
  <c r="R895" i="1"/>
  <c r="Q891" i="1"/>
  <c r="L841" i="1"/>
  <c r="L811" i="1"/>
  <c r="M811" i="1"/>
  <c r="N811" i="1"/>
  <c r="R806" i="1"/>
  <c r="L789" i="1"/>
  <c r="M789" i="1"/>
  <c r="L784" i="1"/>
  <c r="P702" i="1"/>
  <c r="O702" i="1"/>
  <c r="R702" i="1" s="1"/>
  <c r="M684" i="1"/>
  <c r="N684" i="1"/>
  <c r="L684" i="1"/>
  <c r="M645" i="1"/>
  <c r="N645" i="1"/>
  <c r="L645" i="1"/>
  <c r="Q616" i="1"/>
  <c r="M600" i="1"/>
  <c r="N600" i="1"/>
  <c r="L600" i="1"/>
  <c r="L534" i="1"/>
  <c r="M534" i="1"/>
  <c r="L516" i="1"/>
  <c r="M516" i="1"/>
  <c r="R775" i="1"/>
  <c r="Q890" i="1"/>
  <c r="R863" i="1"/>
  <c r="L727" i="1"/>
  <c r="M727" i="1"/>
  <c r="N727" i="1"/>
  <c r="O708" i="1"/>
  <c r="O663" i="1"/>
  <c r="P663" i="1" s="1"/>
  <c r="Q608" i="1"/>
  <c r="L870" i="1"/>
  <c r="M870" i="1"/>
  <c r="L800" i="1"/>
  <c r="M800" i="1"/>
  <c r="N800" i="1"/>
  <c r="R360" i="1"/>
  <c r="M761" i="1"/>
  <c r="N761" i="1"/>
  <c r="R613" i="1"/>
  <c r="L443" i="1"/>
  <c r="M443" i="1"/>
  <c r="N443" i="1"/>
  <c r="L847" i="1"/>
  <c r="M847" i="1"/>
  <c r="N847" i="1"/>
  <c r="N808" i="1"/>
  <c r="L808" i="1"/>
  <c r="M808" i="1"/>
  <c r="L901" i="1"/>
  <c r="M901" i="1"/>
  <c r="N872" i="1"/>
  <c r="M872" i="1"/>
  <c r="L845" i="1"/>
  <c r="M845" i="1"/>
  <c r="N845" i="1"/>
  <c r="R718" i="1"/>
  <c r="R693" i="1"/>
  <c r="N675" i="1"/>
  <c r="L675" i="1"/>
  <c r="R664" i="1"/>
  <c r="L621" i="1"/>
  <c r="M621" i="1"/>
  <c r="N621" i="1"/>
  <c r="L585" i="1"/>
  <c r="M585" i="1"/>
  <c r="N585" i="1"/>
  <c r="P884" i="1"/>
  <c r="N878" i="1"/>
  <c r="O875" i="1"/>
  <c r="Q875" i="1" s="1"/>
  <c r="R868" i="1"/>
  <c r="S868" i="1" s="1"/>
  <c r="M849" i="1"/>
  <c r="R844" i="1"/>
  <c r="P825" i="1"/>
  <c r="P806" i="1"/>
  <c r="M792" i="1"/>
  <c r="R745" i="1"/>
  <c r="L729" i="1"/>
  <c r="N729" i="1"/>
  <c r="Q718" i="1"/>
  <c r="N683" i="1"/>
  <c r="L683" i="1"/>
  <c r="M683" i="1"/>
  <c r="M674" i="1"/>
  <c r="L674" i="1"/>
  <c r="N674" i="1"/>
  <c r="N668" i="1"/>
  <c r="N620" i="1"/>
  <c r="L620" i="1"/>
  <c r="M620" i="1"/>
  <c r="L538" i="1"/>
  <c r="M416" i="1"/>
  <c r="N416" i="1"/>
  <c r="O336" i="1"/>
  <c r="P336" i="1"/>
  <c r="L331" i="1"/>
  <c r="N331" i="1"/>
  <c r="M331" i="1"/>
  <c r="L180" i="1"/>
  <c r="M180" i="1"/>
  <c r="N180" i="1"/>
  <c r="M753" i="1"/>
  <c r="N753" i="1"/>
  <c r="L753" i="1"/>
  <c r="Q613" i="1"/>
  <c r="L481" i="1"/>
  <c r="M481" i="1"/>
  <c r="N481" i="1"/>
  <c r="P436" i="1"/>
  <c r="R436" i="1"/>
  <c r="M887" i="1"/>
  <c r="N887" i="1"/>
  <c r="L852" i="1"/>
  <c r="M852" i="1"/>
  <c r="L809" i="1"/>
  <c r="M809" i="1"/>
  <c r="N572" i="1"/>
  <c r="L572" i="1"/>
  <c r="O469" i="1"/>
  <c r="P469" i="1"/>
  <c r="L383" i="1"/>
  <c r="M383" i="1"/>
  <c r="N383" i="1"/>
  <c r="O770" i="1"/>
  <c r="N662" i="1"/>
  <c r="M662" i="1"/>
  <c r="L662" i="1"/>
  <c r="R592" i="1"/>
  <c r="N571" i="1"/>
  <c r="L571" i="1"/>
  <c r="M571" i="1"/>
  <c r="R748" i="1"/>
  <c r="P592" i="1"/>
  <c r="Q592" i="1"/>
  <c r="O908" i="1"/>
  <c r="P908" i="1"/>
  <c r="P891" i="1"/>
  <c r="O891" i="1"/>
  <c r="R891" i="1" s="1"/>
  <c r="L861" i="1"/>
  <c r="M861" i="1"/>
  <c r="N861" i="1"/>
  <c r="L833" i="1"/>
  <c r="N833" i="1"/>
  <c r="Q806" i="1"/>
  <c r="L724" i="1"/>
  <c r="M724" i="1"/>
  <c r="N724" i="1"/>
  <c r="N636" i="1"/>
  <c r="M636" i="1"/>
  <c r="L636" i="1"/>
  <c r="O616" i="1"/>
  <c r="R616" i="1" s="1"/>
  <c r="P616" i="1"/>
  <c r="O595" i="1"/>
  <c r="N515" i="1"/>
  <c r="L515" i="1"/>
  <c r="M515" i="1"/>
  <c r="O416" i="1"/>
  <c r="P416" i="1" s="1"/>
  <c r="Q404" i="1"/>
  <c r="R404" i="1"/>
  <c r="S404" i="1" s="1"/>
  <c r="O218" i="1"/>
  <c r="P218" i="1" s="1"/>
  <c r="N857" i="1"/>
  <c r="L857" i="1"/>
  <c r="M857" i="1"/>
  <c r="L849" i="1"/>
  <c r="L840" i="1"/>
  <c r="P836" i="1"/>
  <c r="R836" i="1"/>
  <c r="P832" i="1"/>
  <c r="S832" i="1" s="1"/>
  <c r="N822" i="1"/>
  <c r="L822" i="1"/>
  <c r="L797" i="1"/>
  <c r="M797" i="1"/>
  <c r="N797" i="1"/>
  <c r="O792" i="1"/>
  <c r="R792" i="1" s="1"/>
  <c r="P792" i="1"/>
  <c r="L787" i="1"/>
  <c r="N783" i="1"/>
  <c r="M768" i="1"/>
  <c r="L768" i="1"/>
  <c r="N763" i="1"/>
  <c r="L763" i="1"/>
  <c r="M763" i="1"/>
  <c r="Q745" i="1"/>
  <c r="S745" i="1" s="1"/>
  <c r="O705" i="1"/>
  <c r="Q705" i="1" s="1"/>
  <c r="P705" i="1"/>
  <c r="S705" i="1" s="1"/>
  <c r="N689" i="1"/>
  <c r="M668" i="1"/>
  <c r="M648" i="1"/>
  <c r="N648" i="1"/>
  <c r="O630" i="1"/>
  <c r="R594" i="1"/>
  <c r="L544" i="1"/>
  <c r="M544" i="1"/>
  <c r="N544" i="1"/>
  <c r="L527" i="1"/>
  <c r="M527" i="1"/>
  <c r="N527" i="1"/>
  <c r="N491" i="1"/>
  <c r="M491" i="1"/>
  <c r="P476" i="1"/>
  <c r="S476" i="1" s="1"/>
  <c r="R476" i="1"/>
  <c r="Q476" i="1"/>
  <c r="P465" i="1"/>
  <c r="S465" i="1" s="1"/>
  <c r="M333" i="1"/>
  <c r="N333" i="1"/>
  <c r="L333" i="1"/>
  <c r="O818" i="1"/>
  <c r="P818" i="1" s="1"/>
  <c r="M810" i="1"/>
  <c r="N810" i="1"/>
  <c r="R793" i="1"/>
  <c r="Q769" i="1"/>
  <c r="Q759" i="1"/>
  <c r="M746" i="1"/>
  <c r="L746" i="1"/>
  <c r="N746" i="1"/>
  <c r="N739" i="1"/>
  <c r="L739" i="1"/>
  <c r="M739" i="1"/>
  <c r="M730" i="1"/>
  <c r="N730" i="1"/>
  <c r="Q726" i="1"/>
  <c r="O690" i="1"/>
  <c r="R690" i="1" s="1"/>
  <c r="P690" i="1"/>
  <c r="Q652" i="1"/>
  <c r="L643" i="1"/>
  <c r="M643" i="1"/>
  <c r="N643" i="1"/>
  <c r="O613" i="1"/>
  <c r="P613" i="1"/>
  <c r="L581" i="1"/>
  <c r="M581" i="1"/>
  <c r="N581" i="1"/>
  <c r="O573" i="1"/>
  <c r="P573" i="1" s="1"/>
  <c r="R535" i="1"/>
  <c r="N531" i="1"/>
  <c r="L531" i="1"/>
  <c r="M531" i="1"/>
  <c r="O517" i="1"/>
  <c r="P517" i="1" s="1"/>
  <c r="N507" i="1"/>
  <c r="L507" i="1"/>
  <c r="L502" i="1"/>
  <c r="M502" i="1"/>
  <c r="Q487" i="1"/>
  <c r="M456" i="1"/>
  <c r="N456" i="1"/>
  <c r="L388" i="1"/>
  <c r="M388" i="1"/>
  <c r="N388" i="1"/>
  <c r="L339" i="1"/>
  <c r="M339" i="1"/>
  <c r="N339" i="1"/>
  <c r="O790" i="1"/>
  <c r="P790" i="1"/>
  <c r="N781" i="1"/>
  <c r="L781" i="1"/>
  <c r="M781" i="1"/>
  <c r="O769" i="1"/>
  <c r="O759" i="1"/>
  <c r="P726" i="1"/>
  <c r="M665" i="1"/>
  <c r="N665" i="1"/>
  <c r="N604" i="1"/>
  <c r="M604" i="1"/>
  <c r="L597" i="1"/>
  <c r="M597" i="1"/>
  <c r="M567" i="1"/>
  <c r="N567" i="1"/>
  <c r="N563" i="1"/>
  <c r="L563" i="1"/>
  <c r="N539" i="1"/>
  <c r="M539" i="1"/>
  <c r="L539" i="1"/>
  <c r="N517" i="1"/>
  <c r="M517" i="1"/>
  <c r="O487" i="1"/>
  <c r="P487" i="1"/>
  <c r="S487" i="1" s="1"/>
  <c r="N450" i="1"/>
  <c r="M450" i="1"/>
  <c r="L450" i="1"/>
  <c r="Q417" i="1"/>
  <c r="R417" i="1"/>
  <c r="L160" i="1"/>
  <c r="N160" i="1"/>
  <c r="O635" i="1"/>
  <c r="Q635" i="1" s="1"/>
  <c r="O627" i="1"/>
  <c r="N607" i="1"/>
  <c r="L607" i="1"/>
  <c r="L603" i="1"/>
  <c r="M603" i="1"/>
  <c r="N603" i="1"/>
  <c r="L591" i="1"/>
  <c r="M591" i="1"/>
  <c r="N591" i="1"/>
  <c r="O579" i="1"/>
  <c r="O565" i="1"/>
  <c r="R565" i="1" s="1"/>
  <c r="P565" i="1"/>
  <c r="R561" i="1"/>
  <c r="N542" i="1"/>
  <c r="L542" i="1"/>
  <c r="M542" i="1"/>
  <c r="L520" i="1"/>
  <c r="M520" i="1"/>
  <c r="M448" i="1"/>
  <c r="N448" i="1"/>
  <c r="L448" i="1"/>
  <c r="R419" i="1"/>
  <c r="L399" i="1"/>
  <c r="N399" i="1"/>
  <c r="L375" i="1"/>
  <c r="N375" i="1"/>
  <c r="M375" i="1"/>
  <c r="O313" i="1"/>
  <c r="P313" i="1" s="1"/>
  <c r="M259" i="1"/>
  <c r="L259" i="1"/>
  <c r="N259" i="1"/>
  <c r="L14" i="1"/>
  <c r="M14" i="1"/>
  <c r="N14" i="1"/>
  <c r="Q884" i="1"/>
  <c r="P862" i="1"/>
  <c r="L853" i="1"/>
  <c r="M853" i="1"/>
  <c r="R832" i="1"/>
  <c r="M774" i="1"/>
  <c r="N774" i="1"/>
  <c r="O748" i="1"/>
  <c r="Q748" i="1" s="1"/>
  <c r="P748" i="1"/>
  <c r="L744" i="1"/>
  <c r="M744" i="1"/>
  <c r="M714" i="1"/>
  <c r="L714" i="1"/>
  <c r="N714" i="1"/>
  <c r="O695" i="1"/>
  <c r="O692" i="1"/>
  <c r="R692" i="1" s="1"/>
  <c r="N667" i="1"/>
  <c r="M667" i="1"/>
  <c r="S653" i="1"/>
  <c r="L634" i="1"/>
  <c r="M634" i="1"/>
  <c r="N634" i="1"/>
  <c r="R627" i="1"/>
  <c r="L623" i="1"/>
  <c r="N623" i="1"/>
  <c r="M623" i="1"/>
  <c r="Q619" i="1"/>
  <c r="R619" i="1"/>
  <c r="Q594" i="1"/>
  <c r="Q587" i="1"/>
  <c r="R579" i="1"/>
  <c r="M570" i="1"/>
  <c r="L570" i="1"/>
  <c r="Q561" i="1"/>
  <c r="N548" i="1"/>
  <c r="L548" i="1"/>
  <c r="M514" i="1"/>
  <c r="L514" i="1"/>
  <c r="N514" i="1"/>
  <c r="L494" i="1"/>
  <c r="N494" i="1"/>
  <c r="L484" i="1"/>
  <c r="N484" i="1"/>
  <c r="L478" i="1"/>
  <c r="M478" i="1"/>
  <c r="N478" i="1"/>
  <c r="Q468" i="1"/>
  <c r="O414" i="1"/>
  <c r="S385" i="1"/>
  <c r="N875" i="1"/>
  <c r="R779" i="1"/>
  <c r="M777" i="1"/>
  <c r="P770" i="1"/>
  <c r="O751" i="1"/>
  <c r="P751" i="1"/>
  <c r="N707" i="1"/>
  <c r="L707" i="1"/>
  <c r="N670" i="1"/>
  <c r="O670" i="1" s="1"/>
  <c r="Q670" i="1" s="1"/>
  <c r="Q598" i="1"/>
  <c r="O587" i="1"/>
  <c r="R587" i="1" s="1"/>
  <c r="L583" i="1"/>
  <c r="O561" i="1"/>
  <c r="P561" i="1" s="1"/>
  <c r="L552" i="1"/>
  <c r="M552" i="1"/>
  <c r="N552" i="1"/>
  <c r="N499" i="1"/>
  <c r="L499" i="1"/>
  <c r="M499" i="1"/>
  <c r="M435" i="1"/>
  <c r="O435" i="1" s="1"/>
  <c r="P435" i="1" s="1"/>
  <c r="N435" i="1"/>
  <c r="P366" i="1"/>
  <c r="O366" i="1"/>
  <c r="L110" i="1"/>
  <c r="M110" i="1"/>
  <c r="N110" i="1"/>
  <c r="L869" i="1"/>
  <c r="M869" i="1"/>
  <c r="M888" i="1"/>
  <c r="O888" i="1" s="1"/>
  <c r="N873" i="1"/>
  <c r="M824" i="1"/>
  <c r="Q779" i="1"/>
  <c r="S779" i="1" s="1"/>
  <c r="M767" i="1"/>
  <c r="N767" i="1"/>
  <c r="R713" i="1"/>
  <c r="M698" i="1"/>
  <c r="N698" i="1"/>
  <c r="L698" i="1"/>
  <c r="L688" i="1"/>
  <c r="M688" i="1"/>
  <c r="M663" i="1"/>
  <c r="N663" i="1"/>
  <c r="S647" i="1"/>
  <c r="L615" i="1"/>
  <c r="M615" i="1"/>
  <c r="N615" i="1"/>
  <c r="O598" i="1"/>
  <c r="L473" i="1"/>
  <c r="M473" i="1"/>
  <c r="N458" i="1"/>
  <c r="M458" i="1"/>
  <c r="L458" i="1"/>
  <c r="L425" i="1"/>
  <c r="N425" i="1"/>
  <c r="R353" i="1"/>
  <c r="Q199" i="1"/>
  <c r="M136" i="1"/>
  <c r="N136" i="1"/>
  <c r="L136" i="1"/>
  <c r="R155" i="1"/>
  <c r="O864" i="1"/>
  <c r="P864" i="1" s="1"/>
  <c r="M855" i="1"/>
  <c r="N855" i="1"/>
  <c r="O850" i="1"/>
  <c r="P850" i="1" s="1"/>
  <c r="M842" i="1"/>
  <c r="N842" i="1"/>
  <c r="O834" i="1"/>
  <c r="P834" i="1" s="1"/>
  <c r="L773" i="1"/>
  <c r="M773" i="1"/>
  <c r="N773" i="1"/>
  <c r="M750" i="1"/>
  <c r="N750" i="1"/>
  <c r="O747" i="1"/>
  <c r="P747" i="1" s="1"/>
  <c r="L736" i="1"/>
  <c r="M736" i="1"/>
  <c r="L673" i="1"/>
  <c r="M673" i="1"/>
  <c r="N673" i="1"/>
  <c r="R666" i="1"/>
  <c r="O590" i="1"/>
  <c r="O541" i="1"/>
  <c r="P541" i="1" s="1"/>
  <c r="N523" i="1"/>
  <c r="L523" i="1"/>
  <c r="M523" i="1"/>
  <c r="L391" i="1"/>
  <c r="M391" i="1"/>
  <c r="P353" i="1"/>
  <c r="S353" i="1" s="1"/>
  <c r="O353" i="1"/>
  <c r="N270" i="1"/>
  <c r="M270" i="1"/>
  <c r="L270" i="1"/>
  <c r="O898" i="1"/>
  <c r="P898" i="1" s="1"/>
  <c r="N881" i="1"/>
  <c r="L877" i="1"/>
  <c r="M877" i="1"/>
  <c r="M850" i="1"/>
  <c r="N850" i="1"/>
  <c r="P844" i="1"/>
  <c r="M834" i="1"/>
  <c r="N834" i="1"/>
  <c r="L821" i="1"/>
  <c r="M821" i="1"/>
  <c r="L813" i="1"/>
  <c r="M813" i="1"/>
  <c r="N813" i="1"/>
  <c r="P799" i="1"/>
  <c r="M788" i="1"/>
  <c r="N788" i="1"/>
  <c r="L788" i="1"/>
  <c r="L785" i="1"/>
  <c r="M785" i="1"/>
  <c r="N785" i="1"/>
  <c r="O782" i="1"/>
  <c r="P782" i="1" s="1"/>
  <c r="M776" i="1"/>
  <c r="N776" i="1"/>
  <c r="O706" i="1"/>
  <c r="P706" i="1"/>
  <c r="P666" i="1"/>
  <c r="P658" i="1"/>
  <c r="S658" i="1" s="1"/>
  <c r="O644" i="1"/>
  <c r="Q644" i="1" s="1"/>
  <c r="O640" i="1"/>
  <c r="Q640" i="1" s="1"/>
  <c r="O637" i="1"/>
  <c r="L610" i="1"/>
  <c r="M610" i="1"/>
  <c r="L606" i="1"/>
  <c r="M606" i="1"/>
  <c r="L536" i="1"/>
  <c r="M536" i="1"/>
  <c r="N536" i="1"/>
  <c r="L508" i="1"/>
  <c r="M508" i="1"/>
  <c r="N508" i="1"/>
  <c r="L472" i="1"/>
  <c r="M472" i="1"/>
  <c r="M433" i="1"/>
  <c r="N433" i="1"/>
  <c r="L433" i="1"/>
  <c r="O428" i="1"/>
  <c r="O412" i="1"/>
  <c r="R396" i="1"/>
  <c r="M317" i="1"/>
  <c r="N317" i="1"/>
  <c r="L317" i="1"/>
  <c r="N300" i="1"/>
  <c r="N278" i="1"/>
  <c r="L278" i="1"/>
  <c r="M278" i="1"/>
  <c r="O890" i="1"/>
  <c r="R890" i="1" s="1"/>
  <c r="O816" i="1"/>
  <c r="Q816" i="1" s="1"/>
  <c r="L805" i="1"/>
  <c r="M805" i="1"/>
  <c r="M694" i="1"/>
  <c r="N694" i="1"/>
  <c r="M904" i="1"/>
  <c r="P900" i="1"/>
  <c r="S900" i="1" s="1"/>
  <c r="N883" i="1"/>
  <c r="N859" i="1"/>
  <c r="L839" i="1"/>
  <c r="M839" i="1"/>
  <c r="L831" i="1"/>
  <c r="M831" i="1"/>
  <c r="M826" i="1"/>
  <c r="N826" i="1"/>
  <c r="L826" i="1"/>
  <c r="M793" i="1"/>
  <c r="O793" i="1" s="1"/>
  <c r="P793" i="1" s="1"/>
  <c r="N742" i="1"/>
  <c r="O733" i="1"/>
  <c r="O726" i="1"/>
  <c r="N723" i="1"/>
  <c r="L723" i="1"/>
  <c r="M723" i="1"/>
  <c r="L709" i="1"/>
  <c r="M709" i="1"/>
  <c r="O697" i="1"/>
  <c r="N691" i="1"/>
  <c r="L691" i="1"/>
  <c r="L680" i="1"/>
  <c r="M680" i="1"/>
  <c r="O677" i="1"/>
  <c r="R677" i="1" s="1"/>
  <c r="N650" i="1"/>
  <c r="M650" i="1"/>
  <c r="L629" i="1"/>
  <c r="M629" i="1"/>
  <c r="L625" i="1"/>
  <c r="M625" i="1"/>
  <c r="M605" i="1"/>
  <c r="N605" i="1"/>
  <c r="L605" i="1"/>
  <c r="L568" i="1"/>
  <c r="M568" i="1"/>
  <c r="N568" i="1"/>
  <c r="M546" i="1"/>
  <c r="L546" i="1"/>
  <c r="N546" i="1"/>
  <c r="M532" i="1"/>
  <c r="N532" i="1"/>
  <c r="M518" i="1"/>
  <c r="N518" i="1"/>
  <c r="N511" i="1"/>
  <c r="L422" i="1"/>
  <c r="M422" i="1"/>
  <c r="N422" i="1"/>
  <c r="O379" i="1"/>
  <c r="Q379" i="1" s="1"/>
  <c r="P379" i="1"/>
  <c r="Q263" i="1"/>
  <c r="L766" i="1"/>
  <c r="M766" i="1"/>
  <c r="N766" i="1"/>
  <c r="L758" i="1"/>
  <c r="N758" i="1"/>
  <c r="L704" i="1"/>
  <c r="M704" i="1"/>
  <c r="N704" i="1"/>
  <c r="M681" i="1"/>
  <c r="N681" i="1"/>
  <c r="L659" i="1"/>
  <c r="M659" i="1"/>
  <c r="O652" i="1"/>
  <c r="N628" i="1"/>
  <c r="L628" i="1"/>
  <c r="M628" i="1"/>
  <c r="L601" i="1"/>
  <c r="M601" i="1"/>
  <c r="R595" i="1"/>
  <c r="L589" i="1"/>
  <c r="M589" i="1"/>
  <c r="N589" i="1"/>
  <c r="Q565" i="1"/>
  <c r="O562" i="1"/>
  <c r="P562" i="1"/>
  <c r="M543" i="1"/>
  <c r="L543" i="1"/>
  <c r="N543" i="1"/>
  <c r="L500" i="1"/>
  <c r="M500" i="1"/>
  <c r="N495" i="1"/>
  <c r="L495" i="1"/>
  <c r="M495" i="1"/>
  <c r="R465" i="1"/>
  <c r="L439" i="1"/>
  <c r="M439" i="1"/>
  <c r="N439" i="1"/>
  <c r="R379" i="1"/>
  <c r="S374" i="1"/>
  <c r="Q360" i="1"/>
  <c r="N356" i="1"/>
  <c r="L356" i="1"/>
  <c r="M356" i="1"/>
  <c r="L829" i="1"/>
  <c r="M829" i="1"/>
  <c r="M818" i="1"/>
  <c r="N818" i="1"/>
  <c r="L795" i="1"/>
  <c r="N795" i="1"/>
  <c r="Q786" i="1"/>
  <c r="O765" i="1"/>
  <c r="Q765" i="1" s="1"/>
  <c r="O757" i="1"/>
  <c r="M754" i="1"/>
  <c r="N754" i="1"/>
  <c r="O749" i="1"/>
  <c r="P718" i="1"/>
  <c r="S718" i="1" s="1"/>
  <c r="O701" i="1"/>
  <c r="P701" i="1" s="1"/>
  <c r="L641" i="1"/>
  <c r="M641" i="1"/>
  <c r="L638" i="1"/>
  <c r="M638" i="1"/>
  <c r="L624" i="1"/>
  <c r="M624" i="1"/>
  <c r="M618" i="1"/>
  <c r="N618" i="1"/>
  <c r="N612" i="1"/>
  <c r="M612" i="1"/>
  <c r="L560" i="1"/>
  <c r="M560" i="1"/>
  <c r="N560" i="1"/>
  <c r="N553" i="1"/>
  <c r="L553" i="1"/>
  <c r="S493" i="1"/>
  <c r="L471" i="1"/>
  <c r="M471" i="1"/>
  <c r="R452" i="1"/>
  <c r="S452" i="1" s="1"/>
  <c r="O441" i="1"/>
  <c r="P441" i="1"/>
  <c r="M409" i="1"/>
  <c r="N409" i="1"/>
  <c r="O386" i="1"/>
  <c r="P386" i="1"/>
  <c r="Q353" i="1"/>
  <c r="O254" i="1"/>
  <c r="O248" i="1"/>
  <c r="P248" i="1"/>
  <c r="O170" i="1"/>
  <c r="Q155" i="1"/>
  <c r="L85" i="1"/>
  <c r="M85" i="1"/>
  <c r="N85" i="1"/>
  <c r="M802" i="1"/>
  <c r="L802" i="1"/>
  <c r="N802" i="1"/>
  <c r="M762" i="1"/>
  <c r="L762" i="1"/>
  <c r="P759" i="1"/>
  <c r="O731" i="1"/>
  <c r="R731" i="1" s="1"/>
  <c r="L710" i="1"/>
  <c r="M710" i="1"/>
  <c r="O693" i="1"/>
  <c r="L685" i="1"/>
  <c r="M685" i="1"/>
  <c r="N685" i="1"/>
  <c r="M669" i="1"/>
  <c r="N669" i="1"/>
  <c r="P664" i="1"/>
  <c r="P635" i="1"/>
  <c r="S635" i="1" s="1"/>
  <c r="P608" i="1"/>
  <c r="M602" i="1"/>
  <c r="P587" i="1"/>
  <c r="L545" i="1"/>
  <c r="M545" i="1"/>
  <c r="O533" i="1"/>
  <c r="P533" i="1"/>
  <c r="R529" i="1"/>
  <c r="O506" i="1"/>
  <c r="P506" i="1" s="1"/>
  <c r="L431" i="1"/>
  <c r="N431" i="1"/>
  <c r="L393" i="1"/>
  <c r="L348" i="1"/>
  <c r="N348" i="1"/>
  <c r="M348" i="1"/>
  <c r="R313" i="1"/>
  <c r="O303" i="1"/>
  <c r="P303" i="1"/>
  <c r="Q677" i="1"/>
  <c r="O655" i="1"/>
  <c r="Q655" i="1" s="1"/>
  <c r="P655" i="1"/>
  <c r="L632" i="1"/>
  <c r="N632" i="1"/>
  <c r="L593" i="1"/>
  <c r="M593" i="1"/>
  <c r="N593" i="1"/>
  <c r="M521" i="1"/>
  <c r="N521" i="1"/>
  <c r="L489" i="1"/>
  <c r="M489" i="1"/>
  <c r="M462" i="1"/>
  <c r="N462" i="1"/>
  <c r="L462" i="1"/>
  <c r="Q313" i="1"/>
  <c r="N276" i="1"/>
  <c r="M276" i="1"/>
  <c r="R263" i="1"/>
  <c r="L257" i="1"/>
  <c r="M257" i="1"/>
  <c r="N257" i="1"/>
  <c r="L154" i="1"/>
  <c r="N154" i="1"/>
  <c r="M154" i="1"/>
  <c r="L142" i="1"/>
  <c r="M142" i="1"/>
  <c r="N142" i="1"/>
  <c r="M756" i="1"/>
  <c r="N756" i="1"/>
  <c r="L728" i="1"/>
  <c r="M728" i="1"/>
  <c r="L725" i="1"/>
  <c r="M725" i="1"/>
  <c r="L720" i="1"/>
  <c r="M720" i="1"/>
  <c r="L712" i="1"/>
  <c r="M712" i="1"/>
  <c r="N712" i="1"/>
  <c r="Q690" i="1"/>
  <c r="L614" i="1"/>
  <c r="M614" i="1"/>
  <c r="L611" i="1"/>
  <c r="M611" i="1"/>
  <c r="P577" i="1"/>
  <c r="S577" i="1" s="1"/>
  <c r="Q577" i="1"/>
  <c r="M574" i="1"/>
  <c r="N574" i="1"/>
  <c r="O574" i="1" s="1"/>
  <c r="P574" i="1" s="1"/>
  <c r="O559" i="1"/>
  <c r="Q559" i="1" s="1"/>
  <c r="M556" i="1"/>
  <c r="N556" i="1"/>
  <c r="L556" i="1"/>
  <c r="M505" i="1"/>
  <c r="N505" i="1"/>
  <c r="O501" i="1"/>
  <c r="R501" i="1" s="1"/>
  <c r="O479" i="1"/>
  <c r="P479" i="1"/>
  <c r="L466" i="1"/>
  <c r="M466" i="1"/>
  <c r="P412" i="1"/>
  <c r="P396" i="1"/>
  <c r="S396" i="1" s="1"/>
  <c r="Q179" i="1"/>
  <c r="R164" i="1"/>
  <c r="N90" i="1"/>
  <c r="M90" i="1"/>
  <c r="L90" i="1"/>
  <c r="L815" i="1"/>
  <c r="M815" i="1"/>
  <c r="O778" i="1"/>
  <c r="P778" i="1"/>
  <c r="L764" i="1"/>
  <c r="N764" i="1"/>
  <c r="O717" i="1"/>
  <c r="P717" i="1"/>
  <c r="L687" i="1"/>
  <c r="M687" i="1"/>
  <c r="N687" i="1"/>
  <c r="O679" i="1"/>
  <c r="P679" i="1"/>
  <c r="M671" i="1"/>
  <c r="N671" i="1"/>
  <c r="P652" i="1"/>
  <c r="S652" i="1" s="1"/>
  <c r="O566" i="1"/>
  <c r="R566" i="1" s="1"/>
  <c r="M524" i="1"/>
  <c r="N524" i="1"/>
  <c r="M440" i="1"/>
  <c r="N440" i="1"/>
  <c r="O429" i="1"/>
  <c r="N334" i="1"/>
  <c r="L334" i="1"/>
  <c r="M334" i="1"/>
  <c r="O287" i="1"/>
  <c r="Q287" i="1" s="1"/>
  <c r="M222" i="1"/>
  <c r="L222" i="1"/>
  <c r="N222" i="1"/>
  <c r="P179" i="1"/>
  <c r="O179" i="1"/>
  <c r="R179" i="1" s="1"/>
  <c r="M743" i="1"/>
  <c r="M741" i="1"/>
  <c r="M626" i="1"/>
  <c r="O564" i="1"/>
  <c r="P564" i="1" s="1"/>
  <c r="R509" i="1"/>
  <c r="Q463" i="1"/>
  <c r="S463" i="1" s="1"/>
  <c r="L447" i="1"/>
  <c r="M447" i="1"/>
  <c r="R427" i="1"/>
  <c r="L423" i="1"/>
  <c r="M423" i="1"/>
  <c r="O419" i="1"/>
  <c r="Q419" i="1" s="1"/>
  <c r="P419" i="1"/>
  <c r="L407" i="1"/>
  <c r="N407" i="1"/>
  <c r="M407" i="1"/>
  <c r="O369" i="1"/>
  <c r="N326" i="1"/>
  <c r="L326" i="1"/>
  <c r="M326" i="1"/>
  <c r="M308" i="1"/>
  <c r="L308" i="1"/>
  <c r="N308" i="1"/>
  <c r="M284" i="1"/>
  <c r="N284" i="1"/>
  <c r="L284" i="1"/>
  <c r="R653" i="1"/>
  <c r="Q647" i="1"/>
  <c r="L617" i="1"/>
  <c r="M617" i="1"/>
  <c r="L558" i="1"/>
  <c r="M558" i="1"/>
  <c r="Q549" i="1"/>
  <c r="M540" i="1"/>
  <c r="O540" i="1" s="1"/>
  <c r="P540" i="1" s="1"/>
  <c r="N540" i="1"/>
  <c r="L528" i="1"/>
  <c r="M528" i="1"/>
  <c r="N528" i="1"/>
  <c r="L525" i="1"/>
  <c r="M525" i="1"/>
  <c r="L496" i="1"/>
  <c r="M496" i="1"/>
  <c r="N496" i="1"/>
  <c r="R463" i="1"/>
  <c r="M459" i="1"/>
  <c r="N438" i="1"/>
  <c r="L438" i="1"/>
  <c r="M438" i="1"/>
  <c r="Q427" i="1"/>
  <c r="N377" i="1"/>
  <c r="L377" i="1"/>
  <c r="Q369" i="1"/>
  <c r="M246" i="1"/>
  <c r="N246" i="1"/>
  <c r="L246" i="1"/>
  <c r="N184" i="1"/>
  <c r="M184" i="1"/>
  <c r="M151" i="1"/>
  <c r="N151" i="1"/>
  <c r="L151" i="1"/>
  <c r="L35" i="1"/>
  <c r="M35" i="1"/>
  <c r="N35" i="1"/>
  <c r="Q702" i="1"/>
  <c r="M582" i="1"/>
  <c r="N582" i="1"/>
  <c r="Q566" i="1"/>
  <c r="O549" i="1"/>
  <c r="R549" i="1" s="1"/>
  <c r="O509" i="1"/>
  <c r="P509" i="1"/>
  <c r="L503" i="1"/>
  <c r="M503" i="1"/>
  <c r="Q470" i="1"/>
  <c r="L459" i="1"/>
  <c r="L455" i="1"/>
  <c r="M455" i="1"/>
  <c r="N455" i="1"/>
  <c r="O427" i="1"/>
  <c r="P427" i="1"/>
  <c r="R406" i="1"/>
  <c r="L389" i="1"/>
  <c r="M389" i="1"/>
  <c r="N389" i="1"/>
  <c r="L364" i="1"/>
  <c r="N364" i="1"/>
  <c r="M364" i="1"/>
  <c r="L345" i="1"/>
  <c r="N345" i="1"/>
  <c r="M345" i="1"/>
  <c r="M262" i="1"/>
  <c r="N262" i="1"/>
  <c r="L262" i="1"/>
  <c r="M82" i="1"/>
  <c r="L82" i="1"/>
  <c r="N82" i="1"/>
  <c r="O474" i="1"/>
  <c r="Q474" i="1" s="1"/>
  <c r="P470" i="1"/>
  <c r="N467" i="1"/>
  <c r="L467" i="1"/>
  <c r="L446" i="1"/>
  <c r="M446" i="1"/>
  <c r="L437" i="1"/>
  <c r="N437" i="1"/>
  <c r="P406" i="1"/>
  <c r="L398" i="1"/>
  <c r="M398" i="1"/>
  <c r="N398" i="1"/>
  <c r="M341" i="1"/>
  <c r="N341" i="1"/>
  <c r="L341" i="1"/>
  <c r="L329" i="1"/>
  <c r="M329" i="1"/>
  <c r="N329" i="1"/>
  <c r="L282" i="1"/>
  <c r="M282" i="1"/>
  <c r="N282" i="1"/>
  <c r="P261" i="1"/>
  <c r="O261" i="1"/>
  <c r="S223" i="1"/>
  <c r="R190" i="1"/>
  <c r="L760" i="1"/>
  <c r="M760" i="1"/>
  <c r="M657" i="1"/>
  <c r="L657" i="1"/>
  <c r="N657" i="1"/>
  <c r="M584" i="1"/>
  <c r="R557" i="1"/>
  <c r="N442" i="1"/>
  <c r="M442" i="1"/>
  <c r="Q406" i="1"/>
  <c r="L354" i="1"/>
  <c r="M354" i="1"/>
  <c r="N354" i="1"/>
  <c r="O292" i="1"/>
  <c r="N272" i="1"/>
  <c r="L272" i="1"/>
  <c r="M272" i="1"/>
  <c r="L127" i="1"/>
  <c r="M127" i="1"/>
  <c r="N127" i="1"/>
  <c r="Q557" i="1"/>
  <c r="S557" i="1" s="1"/>
  <c r="M485" i="1"/>
  <c r="L485" i="1"/>
  <c r="N485" i="1"/>
  <c r="O477" i="1"/>
  <c r="P477" i="1"/>
  <c r="N358" i="1"/>
  <c r="M358" i="1"/>
  <c r="L358" i="1"/>
  <c r="R311" i="1"/>
  <c r="L306" i="1"/>
  <c r="N306" i="1"/>
  <c r="M306" i="1"/>
  <c r="L266" i="1"/>
  <c r="M266" i="1"/>
  <c r="N266" i="1"/>
  <c r="L215" i="1"/>
  <c r="M215" i="1"/>
  <c r="N215" i="1"/>
  <c r="L126" i="1"/>
  <c r="M126" i="1"/>
  <c r="N126" i="1"/>
  <c r="Q509" i="1"/>
  <c r="M498" i="1"/>
  <c r="L498" i="1"/>
  <c r="N498" i="1"/>
  <c r="M477" i="1"/>
  <c r="N477" i="1"/>
  <c r="Q460" i="1"/>
  <c r="S460" i="1" s="1"/>
  <c r="N441" i="1"/>
  <c r="M441" i="1"/>
  <c r="L410" i="1"/>
  <c r="O380" i="1"/>
  <c r="R380" i="1" s="1"/>
  <c r="P380" i="1"/>
  <c r="R362" i="1"/>
  <c r="M319" i="1"/>
  <c r="N319" i="1"/>
  <c r="R261" i="1"/>
  <c r="O242" i="1"/>
  <c r="R242" i="1" s="1"/>
  <c r="L237" i="1"/>
  <c r="M237" i="1"/>
  <c r="N237" i="1"/>
  <c r="M206" i="1"/>
  <c r="L206" i="1"/>
  <c r="R199" i="1"/>
  <c r="N129" i="1"/>
  <c r="L129" i="1"/>
  <c r="M129" i="1"/>
  <c r="L444" i="1"/>
  <c r="N444" i="1"/>
  <c r="M432" i="1"/>
  <c r="N432" i="1"/>
  <c r="L432" i="1"/>
  <c r="S362" i="1"/>
  <c r="L338" i="1"/>
  <c r="M338" i="1"/>
  <c r="N338" i="1"/>
  <c r="N296" i="1"/>
  <c r="L296" i="1"/>
  <c r="M296" i="1"/>
  <c r="O279" i="1"/>
  <c r="P279" i="1"/>
  <c r="L194" i="1"/>
  <c r="M194" i="1"/>
  <c r="L156" i="1"/>
  <c r="M156" i="1"/>
  <c r="N156" i="1"/>
  <c r="N97" i="1"/>
  <c r="M97" i="1"/>
  <c r="L97" i="1"/>
  <c r="M573" i="1"/>
  <c r="N573" i="1"/>
  <c r="P529" i="1"/>
  <c r="L522" i="1"/>
  <c r="L486" i="1"/>
  <c r="L430" i="1"/>
  <c r="M430" i="1"/>
  <c r="N430" i="1"/>
  <c r="L402" i="1"/>
  <c r="Q385" i="1"/>
  <c r="O344" i="1"/>
  <c r="R344" i="1" s="1"/>
  <c r="L281" i="1"/>
  <c r="M281" i="1"/>
  <c r="N281" i="1"/>
  <c r="O267" i="1"/>
  <c r="R267" i="1" s="1"/>
  <c r="P267" i="1"/>
  <c r="P263" i="1"/>
  <c r="O233" i="1"/>
  <c r="P233" i="1" s="1"/>
  <c r="O227" i="1"/>
  <c r="R227" i="1" s="1"/>
  <c r="Q223" i="1"/>
  <c r="O164" i="1"/>
  <c r="P164" i="1"/>
  <c r="L575" i="1"/>
  <c r="M575" i="1"/>
  <c r="Q452" i="1"/>
  <c r="Q421" i="1"/>
  <c r="M408" i="1"/>
  <c r="N408" i="1"/>
  <c r="L408" i="1"/>
  <c r="N239" i="1"/>
  <c r="M239" i="1"/>
  <c r="O239" i="1" s="1"/>
  <c r="P239" i="1" s="1"/>
  <c r="M233" i="1"/>
  <c r="N233" i="1"/>
  <c r="L185" i="1"/>
  <c r="M185" i="1"/>
  <c r="N185" i="1"/>
  <c r="O105" i="1"/>
  <c r="N551" i="1"/>
  <c r="O551" i="1" s="1"/>
  <c r="L519" i="1"/>
  <c r="M461" i="1"/>
  <c r="L454" i="1"/>
  <c r="L451" i="1"/>
  <c r="M451" i="1"/>
  <c r="N451" i="1"/>
  <c r="P417" i="1"/>
  <c r="N414" i="1"/>
  <c r="L411" i="1"/>
  <c r="M411" i="1"/>
  <c r="N411" i="1"/>
  <c r="O384" i="1"/>
  <c r="P384" i="1" s="1"/>
  <c r="L371" i="1"/>
  <c r="M371" i="1"/>
  <c r="N371" i="1"/>
  <c r="Q343" i="1"/>
  <c r="L298" i="1"/>
  <c r="M298" i="1"/>
  <c r="N298" i="1"/>
  <c r="N286" i="1"/>
  <c r="L286" i="1"/>
  <c r="M286" i="1"/>
  <c r="M231" i="1"/>
  <c r="N231" i="1"/>
  <c r="L231" i="1"/>
  <c r="O195" i="1"/>
  <c r="P195" i="1" s="1"/>
  <c r="M190" i="1"/>
  <c r="M537" i="1"/>
  <c r="O535" i="1"/>
  <c r="L512" i="1"/>
  <c r="M512" i="1"/>
  <c r="L488" i="1"/>
  <c r="M488" i="1"/>
  <c r="L480" i="1"/>
  <c r="M480" i="1"/>
  <c r="M420" i="1"/>
  <c r="N420" i="1"/>
  <c r="N367" i="1"/>
  <c r="L367" i="1"/>
  <c r="L363" i="1"/>
  <c r="M363" i="1"/>
  <c r="N363" i="1"/>
  <c r="L340" i="1"/>
  <c r="M340" i="1"/>
  <c r="O289" i="1"/>
  <c r="L285" i="1"/>
  <c r="M285" i="1"/>
  <c r="N285" i="1"/>
  <c r="M261" i="1"/>
  <c r="M238" i="1"/>
  <c r="L238" i="1"/>
  <c r="N238" i="1"/>
  <c r="M207" i="1"/>
  <c r="N207" i="1"/>
  <c r="L207" i="1"/>
  <c r="O190" i="1"/>
  <c r="P190" i="1" s="1"/>
  <c r="L77" i="1"/>
  <c r="N77" i="1"/>
  <c r="M77" i="1"/>
  <c r="O327" i="1"/>
  <c r="P311" i="1"/>
  <c r="M251" i="1"/>
  <c r="L251" i="1"/>
  <c r="N84" i="1"/>
  <c r="L84" i="1"/>
  <c r="M84" i="1"/>
  <c r="N482" i="1"/>
  <c r="R460" i="1"/>
  <c r="P429" i="1"/>
  <c r="M401" i="1"/>
  <c r="N401" i="1"/>
  <c r="L382" i="1"/>
  <c r="N382" i="1"/>
  <c r="L359" i="1"/>
  <c r="M359" i="1"/>
  <c r="N359" i="1"/>
  <c r="L352" i="1"/>
  <c r="P343" i="1"/>
  <c r="S343" i="1" s="1"/>
  <c r="Q335" i="1"/>
  <c r="S335" i="1" s="1"/>
  <c r="N302" i="1"/>
  <c r="L302" i="1"/>
  <c r="M302" i="1"/>
  <c r="L295" i="1"/>
  <c r="M295" i="1"/>
  <c r="O288" i="1"/>
  <c r="R288" i="1" s="1"/>
  <c r="P288" i="1"/>
  <c r="L273" i="1"/>
  <c r="M273" i="1"/>
  <c r="N253" i="1"/>
  <c r="M253" i="1"/>
  <c r="L253" i="1"/>
  <c r="O226" i="1"/>
  <c r="P226" i="1" s="1"/>
  <c r="M376" i="1"/>
  <c r="N376" i="1"/>
  <c r="L376" i="1"/>
  <c r="M316" i="1"/>
  <c r="N316" i="1"/>
  <c r="Q241" i="1"/>
  <c r="S241" i="1" s="1"/>
  <c r="L220" i="1"/>
  <c r="N220" i="1"/>
  <c r="M220" i="1"/>
  <c r="M198" i="1"/>
  <c r="L198" i="1"/>
  <c r="N198" i="1"/>
  <c r="L122" i="1"/>
  <c r="N122" i="1"/>
  <c r="M122" i="1"/>
  <c r="R109" i="1"/>
  <c r="Q104" i="1"/>
  <c r="R104" i="1"/>
  <c r="O33" i="1"/>
  <c r="P33" i="1"/>
  <c r="L390" i="1"/>
  <c r="M390" i="1"/>
  <c r="O368" i="1"/>
  <c r="P368" i="1"/>
  <c r="M365" i="1"/>
  <c r="N365" i="1"/>
  <c r="L260" i="1"/>
  <c r="M260" i="1"/>
  <c r="N260" i="1"/>
  <c r="R248" i="1"/>
  <c r="M230" i="1"/>
  <c r="L230" i="1"/>
  <c r="N193" i="1"/>
  <c r="L193" i="1"/>
  <c r="M193" i="1"/>
  <c r="O172" i="1"/>
  <c r="Q172" i="1" s="1"/>
  <c r="P172" i="1"/>
  <c r="O163" i="1"/>
  <c r="Q109" i="1"/>
  <c r="L78" i="1"/>
  <c r="M78" i="1"/>
  <c r="N78" i="1"/>
  <c r="R45" i="1"/>
  <c r="N33" i="1"/>
  <c r="M33" i="1"/>
  <c r="L490" i="1"/>
  <c r="L457" i="1"/>
  <c r="M457" i="1"/>
  <c r="L449" i="1"/>
  <c r="N449" i="1"/>
  <c r="P421" i="1"/>
  <c r="S421" i="1" s="1"/>
  <c r="L418" i="1"/>
  <c r="L403" i="1"/>
  <c r="N403" i="1"/>
  <c r="M355" i="1"/>
  <c r="O328" i="1"/>
  <c r="R328" i="1" s="1"/>
  <c r="P328" i="1"/>
  <c r="S328" i="1" s="1"/>
  <c r="M325" i="1"/>
  <c r="N325" i="1"/>
  <c r="L325" i="1"/>
  <c r="L305" i="1"/>
  <c r="M305" i="1"/>
  <c r="L268" i="1"/>
  <c r="N268" i="1"/>
  <c r="Q248" i="1"/>
  <c r="O244" i="1"/>
  <c r="R244" i="1" s="1"/>
  <c r="P244" i="1"/>
  <c r="N219" i="1"/>
  <c r="M219" i="1"/>
  <c r="L197" i="1"/>
  <c r="M197" i="1"/>
  <c r="M181" i="1"/>
  <c r="N181" i="1"/>
  <c r="L181" i="1"/>
  <c r="N171" i="1"/>
  <c r="L171" i="1"/>
  <c r="M171" i="1"/>
  <c r="Q115" i="1"/>
  <c r="O50" i="1"/>
  <c r="M384" i="1"/>
  <c r="N384" i="1"/>
  <c r="L381" i="1"/>
  <c r="N381" i="1"/>
  <c r="L373" i="1"/>
  <c r="N373" i="1"/>
  <c r="L361" i="1"/>
  <c r="M361" i="1"/>
  <c r="O351" i="1"/>
  <c r="N342" i="1"/>
  <c r="L342" i="1"/>
  <c r="P324" i="1"/>
  <c r="S324" i="1" s="1"/>
  <c r="L315" i="1"/>
  <c r="M315" i="1"/>
  <c r="N315" i="1"/>
  <c r="O311" i="1"/>
  <c r="Q311" i="1" s="1"/>
  <c r="M304" i="1"/>
  <c r="L304" i="1"/>
  <c r="N304" i="1"/>
  <c r="O255" i="1"/>
  <c r="P255" i="1"/>
  <c r="L252" i="1"/>
  <c r="M252" i="1"/>
  <c r="L234" i="1"/>
  <c r="M234" i="1"/>
  <c r="N234" i="1"/>
  <c r="Q224" i="1"/>
  <c r="L76" i="1"/>
  <c r="N76" i="1"/>
  <c r="L314" i="1"/>
  <c r="N314" i="1"/>
  <c r="L258" i="1"/>
  <c r="M258" i="1"/>
  <c r="N258" i="1"/>
  <c r="R255" i="1"/>
  <c r="L249" i="1"/>
  <c r="N249" i="1"/>
  <c r="O224" i="1"/>
  <c r="M203" i="1"/>
  <c r="N203" i="1"/>
  <c r="L203" i="1"/>
  <c r="O199" i="1"/>
  <c r="P199" i="1"/>
  <c r="S199" i="1" s="1"/>
  <c r="L182" i="1"/>
  <c r="M182" i="1"/>
  <c r="Q63" i="1"/>
  <c r="O59" i="1"/>
  <c r="R59" i="1" s="1"/>
  <c r="P59" i="1"/>
  <c r="M52" i="1"/>
  <c r="N52" i="1"/>
  <c r="N453" i="1"/>
  <c r="M434" i="1"/>
  <c r="M415" i="1"/>
  <c r="M413" i="1"/>
  <c r="L394" i="1"/>
  <c r="M357" i="1"/>
  <c r="N357" i="1"/>
  <c r="M323" i="1"/>
  <c r="L294" i="1"/>
  <c r="L291" i="1"/>
  <c r="M291" i="1"/>
  <c r="N291" i="1"/>
  <c r="N280" i="1"/>
  <c r="M280" i="1"/>
  <c r="O280" i="1" s="1"/>
  <c r="P280" i="1" s="1"/>
  <c r="L247" i="1"/>
  <c r="M247" i="1"/>
  <c r="N247" i="1"/>
  <c r="O153" i="1"/>
  <c r="R153" i="1" s="1"/>
  <c r="P153" i="1"/>
  <c r="O115" i="1"/>
  <c r="M392" i="1"/>
  <c r="N392" i="1"/>
  <c r="R374" i="1"/>
  <c r="L347" i="1"/>
  <c r="N347" i="1"/>
  <c r="L330" i="1"/>
  <c r="M330" i="1"/>
  <c r="N318" i="1"/>
  <c r="L318" i="1"/>
  <c r="M318" i="1"/>
  <c r="O312" i="1"/>
  <c r="P312" i="1"/>
  <c r="L297" i="1"/>
  <c r="N297" i="1"/>
  <c r="L283" i="1"/>
  <c r="M283" i="1"/>
  <c r="N283" i="1"/>
  <c r="R256" i="1"/>
  <c r="S256" i="1" s="1"/>
  <c r="O250" i="1"/>
  <c r="P250" i="1" s="1"/>
  <c r="M217" i="1"/>
  <c r="N217" i="1"/>
  <c r="L217" i="1"/>
  <c r="M55" i="1"/>
  <c r="L55" i="1"/>
  <c r="Q374" i="1"/>
  <c r="R332" i="1"/>
  <c r="M312" i="1"/>
  <c r="N312" i="1"/>
  <c r="Q288" i="1"/>
  <c r="R196" i="1"/>
  <c r="L188" i="1"/>
  <c r="N188" i="1"/>
  <c r="M188" i="1"/>
  <c r="Q158" i="1"/>
  <c r="O158" i="1"/>
  <c r="L134" i="1"/>
  <c r="M134" i="1"/>
  <c r="N134" i="1"/>
  <c r="N236" i="1"/>
  <c r="L236" i="1"/>
  <c r="M236" i="1"/>
  <c r="N225" i="1"/>
  <c r="L225" i="1"/>
  <c r="N216" i="1"/>
  <c r="O216" i="1" s="1"/>
  <c r="P216" i="1" s="1"/>
  <c r="M216" i="1"/>
  <c r="N212" i="1"/>
  <c r="L212" i="1"/>
  <c r="L209" i="1"/>
  <c r="M209" i="1"/>
  <c r="N200" i="1"/>
  <c r="L200" i="1"/>
  <c r="Q196" i="1"/>
  <c r="N119" i="1"/>
  <c r="L119" i="1"/>
  <c r="M119" i="1"/>
  <c r="N113" i="1"/>
  <c r="L113" i="1"/>
  <c r="M113" i="1"/>
  <c r="L107" i="1"/>
  <c r="M107" i="1"/>
  <c r="M103" i="1"/>
  <c r="N103" i="1"/>
  <c r="L103" i="1"/>
  <c r="L98" i="1"/>
  <c r="M98" i="1"/>
  <c r="N98" i="1"/>
  <c r="N81" i="1"/>
  <c r="L81" i="1"/>
  <c r="M81" i="1"/>
  <c r="O74" i="1"/>
  <c r="R74" i="1" s="1"/>
  <c r="L18" i="1"/>
  <c r="M18" i="1"/>
  <c r="N18" i="1"/>
  <c r="M445" i="1"/>
  <c r="L426" i="1"/>
  <c r="P405" i="1"/>
  <c r="S405" i="1" s="1"/>
  <c r="O397" i="1"/>
  <c r="Q397" i="1" s="1"/>
  <c r="L378" i="1"/>
  <c r="N378" i="1"/>
  <c r="O349" i="1"/>
  <c r="P349" i="1" s="1"/>
  <c r="O320" i="1"/>
  <c r="R320" i="1" s="1"/>
  <c r="O299" i="1"/>
  <c r="Q299" i="1" s="1"/>
  <c r="O290" i="1"/>
  <c r="Q290" i="1" s="1"/>
  <c r="L277" i="1"/>
  <c r="M277" i="1"/>
  <c r="N277" i="1"/>
  <c r="L274" i="1"/>
  <c r="N274" i="1"/>
  <c r="L271" i="1"/>
  <c r="M271" i="1"/>
  <c r="N271" i="1"/>
  <c r="L265" i="1"/>
  <c r="L243" i="1"/>
  <c r="M204" i="1"/>
  <c r="N204" i="1"/>
  <c r="P196" i="1"/>
  <c r="M169" i="1"/>
  <c r="N169" i="1"/>
  <c r="L166" i="1"/>
  <c r="M166" i="1"/>
  <c r="O157" i="1"/>
  <c r="P157" i="1" s="1"/>
  <c r="L148" i="1"/>
  <c r="M148" i="1"/>
  <c r="N148" i="1"/>
  <c r="N397" i="1"/>
  <c r="M349" i="1"/>
  <c r="N349" i="1"/>
  <c r="N346" i="1"/>
  <c r="Q322" i="1"/>
  <c r="S322" i="1" s="1"/>
  <c r="P299" i="1"/>
  <c r="S299" i="1" s="1"/>
  <c r="N290" i="1"/>
  <c r="Q255" i="1"/>
  <c r="P224" i="1"/>
  <c r="S224" i="1" s="1"/>
  <c r="N208" i="1"/>
  <c r="L208" i="1"/>
  <c r="M208" i="1"/>
  <c r="O191" i="1"/>
  <c r="R191" i="1" s="1"/>
  <c r="P191" i="1"/>
  <c r="M177" i="1"/>
  <c r="N177" i="1"/>
  <c r="M173" i="1"/>
  <c r="N173" i="1"/>
  <c r="M157" i="1"/>
  <c r="N157" i="1"/>
  <c r="L147" i="1"/>
  <c r="N147" i="1"/>
  <c r="M147" i="1"/>
  <c r="M112" i="1"/>
  <c r="N112" i="1"/>
  <c r="L112" i="1"/>
  <c r="L92" i="1"/>
  <c r="M92" i="1"/>
  <c r="N92" i="1"/>
  <c r="M88" i="1"/>
  <c r="L88" i="1"/>
  <c r="N88" i="1"/>
  <c r="R210" i="1"/>
  <c r="S210" i="1" s="1"/>
  <c r="M187" i="1"/>
  <c r="N187" i="1"/>
  <c r="L187" i="1"/>
  <c r="Q164" i="1"/>
  <c r="L138" i="1"/>
  <c r="M138" i="1"/>
  <c r="L111" i="1"/>
  <c r="M111" i="1"/>
  <c r="N111" i="1"/>
  <c r="R106" i="1"/>
  <c r="P68" i="1"/>
  <c r="S68" i="1" s="1"/>
  <c r="O68" i="1"/>
  <c r="R68" i="1" s="1"/>
  <c r="Q48" i="1"/>
  <c r="R48" i="1"/>
  <c r="N370" i="1"/>
  <c r="M307" i="1"/>
  <c r="M275" i="1"/>
  <c r="L235" i="1"/>
  <c r="R224" i="1"/>
  <c r="M214" i="1"/>
  <c r="L214" i="1"/>
  <c r="L202" i="1"/>
  <c r="M202" i="1"/>
  <c r="N202" i="1"/>
  <c r="L175" i="1"/>
  <c r="M175" i="1"/>
  <c r="L168" i="1"/>
  <c r="M168" i="1"/>
  <c r="N168" i="1"/>
  <c r="P155" i="1"/>
  <c r="O145" i="1"/>
  <c r="L141" i="1"/>
  <c r="N141" i="1"/>
  <c r="R135" i="1"/>
  <c r="M132" i="1"/>
  <c r="N132" i="1"/>
  <c r="O128" i="1"/>
  <c r="P128" i="1"/>
  <c r="L42" i="1"/>
  <c r="M42" i="1"/>
  <c r="N42" i="1"/>
  <c r="L19" i="1"/>
  <c r="N19" i="1"/>
  <c r="M19" i="1"/>
  <c r="N13" i="1"/>
  <c r="L13" i="1"/>
  <c r="M13" i="1"/>
  <c r="R324" i="1"/>
  <c r="M309" i="1"/>
  <c r="N309" i="1"/>
  <c r="L269" i="1"/>
  <c r="M269" i="1"/>
  <c r="N269" i="1"/>
  <c r="M245" i="1"/>
  <c r="N245" i="1"/>
  <c r="N232" i="1"/>
  <c r="L232" i="1"/>
  <c r="M232" i="1"/>
  <c r="L221" i="1"/>
  <c r="M221" i="1"/>
  <c r="Q211" i="1"/>
  <c r="L205" i="1"/>
  <c r="M205" i="1"/>
  <c r="N205" i="1"/>
  <c r="L192" i="1"/>
  <c r="M192" i="1"/>
  <c r="N192" i="1"/>
  <c r="M189" i="1"/>
  <c r="N189" i="1"/>
  <c r="R178" i="1"/>
  <c r="Q95" i="1"/>
  <c r="L70" i="1"/>
  <c r="M70" i="1"/>
  <c r="N70" i="1"/>
  <c r="R299" i="1"/>
  <c r="L229" i="1"/>
  <c r="M229" i="1"/>
  <c r="Q178" i="1"/>
  <c r="M165" i="1"/>
  <c r="N165" i="1"/>
  <c r="L165" i="1"/>
  <c r="O162" i="1"/>
  <c r="L140" i="1"/>
  <c r="M140" i="1"/>
  <c r="O135" i="1"/>
  <c r="O95" i="1"/>
  <c r="P95" i="1" s="1"/>
  <c r="N57" i="1"/>
  <c r="L57" i="1"/>
  <c r="M57" i="1"/>
  <c r="O41" i="1"/>
  <c r="P41" i="1" s="1"/>
  <c r="N25" i="1"/>
  <c r="M25" i="1"/>
  <c r="L25" i="1"/>
  <c r="O360" i="1"/>
  <c r="P360" i="1"/>
  <c r="M301" i="1"/>
  <c r="N301" i="1"/>
  <c r="L293" i="1"/>
  <c r="M293" i="1"/>
  <c r="N293" i="1"/>
  <c r="R223" i="1"/>
  <c r="N201" i="1"/>
  <c r="L201" i="1"/>
  <c r="M195" i="1"/>
  <c r="N195" i="1"/>
  <c r="S167" i="1"/>
  <c r="N161" i="1"/>
  <c r="L161" i="1"/>
  <c r="M161" i="1"/>
  <c r="M144" i="1"/>
  <c r="N144" i="1"/>
  <c r="L139" i="1"/>
  <c r="N139" i="1"/>
  <c r="M139" i="1"/>
  <c r="L86" i="1"/>
  <c r="M86" i="1"/>
  <c r="Q66" i="1"/>
  <c r="S66" i="1" s="1"/>
  <c r="L240" i="1"/>
  <c r="M240" i="1"/>
  <c r="N240" i="1"/>
  <c r="O228" i="1"/>
  <c r="Q191" i="1"/>
  <c r="M174" i="1"/>
  <c r="N174" i="1"/>
  <c r="L174" i="1"/>
  <c r="Q74" i="1"/>
  <c r="O45" i="1"/>
  <c r="P45" i="1"/>
  <c r="M40" i="1"/>
  <c r="L40" i="1"/>
  <c r="N40" i="1"/>
  <c r="O123" i="1"/>
  <c r="P123" i="1" s="1"/>
  <c r="L116" i="1"/>
  <c r="M116" i="1"/>
  <c r="M108" i="1"/>
  <c r="N108" i="1"/>
  <c r="L102" i="1"/>
  <c r="M102" i="1"/>
  <c r="N102" i="1"/>
  <c r="L71" i="1"/>
  <c r="N71" i="1"/>
  <c r="O63" i="1"/>
  <c r="L47" i="1"/>
  <c r="M47" i="1"/>
  <c r="O43" i="1"/>
  <c r="Q43" i="1" s="1"/>
  <c r="L146" i="1"/>
  <c r="N146" i="1"/>
  <c r="O133" i="1"/>
  <c r="M130" i="1"/>
  <c r="O130" i="1" s="1"/>
  <c r="P130" i="1" s="1"/>
  <c r="N130" i="1"/>
  <c r="M123" i="1"/>
  <c r="N123" i="1"/>
  <c r="L94" i="1"/>
  <c r="M94" i="1"/>
  <c r="N94" i="1"/>
  <c r="L87" i="1"/>
  <c r="M87" i="1"/>
  <c r="N87" i="1"/>
  <c r="R63" i="1"/>
  <c r="L69" i="1"/>
  <c r="M69" i="1"/>
  <c r="Q45" i="1"/>
  <c r="O28" i="1"/>
  <c r="P28" i="1" s="1"/>
  <c r="O24" i="1"/>
  <c r="P24" i="1"/>
  <c r="M264" i="1"/>
  <c r="P211" i="1"/>
  <c r="S211" i="1" s="1"/>
  <c r="M150" i="1"/>
  <c r="L150" i="1"/>
  <c r="N121" i="1"/>
  <c r="M121" i="1"/>
  <c r="L121" i="1"/>
  <c r="O100" i="1"/>
  <c r="Q100" i="1" s="1"/>
  <c r="M96" i="1"/>
  <c r="L96" i="1"/>
  <c r="N96" i="1"/>
  <c r="L213" i="1"/>
  <c r="M213" i="1"/>
  <c r="L186" i="1"/>
  <c r="N186" i="1"/>
  <c r="P109" i="1"/>
  <c r="O89" i="1"/>
  <c r="P36" i="1"/>
  <c r="O36" i="1"/>
  <c r="R36" i="1" s="1"/>
  <c r="O32" i="1"/>
  <c r="L23" i="1"/>
  <c r="M23" i="1"/>
  <c r="N23" i="1"/>
  <c r="N17" i="1"/>
  <c r="M17" i="1"/>
  <c r="L17" i="1"/>
  <c r="M176" i="1"/>
  <c r="N176" i="1"/>
  <c r="M80" i="1"/>
  <c r="L80" i="1"/>
  <c r="N80" i="1"/>
  <c r="Q68" i="1"/>
  <c r="M72" i="1"/>
  <c r="L72" i="1"/>
  <c r="N72" i="1"/>
  <c r="O56" i="1"/>
  <c r="P56" i="1"/>
  <c r="L31" i="1"/>
  <c r="N31" i="1"/>
  <c r="O21" i="1"/>
  <c r="R21" i="1" s="1"/>
  <c r="P178" i="1"/>
  <c r="S178" i="1" s="1"/>
  <c r="M159" i="1"/>
  <c r="L159" i="1"/>
  <c r="N159" i="1"/>
  <c r="M120" i="1"/>
  <c r="L120" i="1"/>
  <c r="M105" i="1"/>
  <c r="P63" i="1"/>
  <c r="S63" i="1" s="1"/>
  <c r="M56" i="1"/>
  <c r="N56" i="1"/>
  <c r="N49" i="1"/>
  <c r="L49" i="1"/>
  <c r="M49" i="1"/>
  <c r="L27" i="1"/>
  <c r="N27" i="1"/>
  <c r="N15" i="1"/>
  <c r="L15" i="1"/>
  <c r="L51" i="1"/>
  <c r="M51" i="1"/>
  <c r="N51" i="1"/>
  <c r="N41" i="1"/>
  <c r="M41" i="1"/>
  <c r="L30" i="1"/>
  <c r="M30" i="1"/>
  <c r="N30" i="1"/>
  <c r="O16" i="1"/>
  <c r="M12" i="1"/>
  <c r="L12" i="1"/>
  <c r="M183" i="1"/>
  <c r="N183" i="1"/>
  <c r="L152" i="1"/>
  <c r="L143" i="1"/>
  <c r="M143" i="1"/>
  <c r="M124" i="1"/>
  <c r="M114" i="1"/>
  <c r="N114" i="1"/>
  <c r="L114" i="1"/>
  <c r="M101" i="1"/>
  <c r="N101" i="1"/>
  <c r="O101" i="1" s="1"/>
  <c r="P101" i="1" s="1"/>
  <c r="R93" i="1"/>
  <c r="M79" i="1"/>
  <c r="N79" i="1"/>
  <c r="N65" i="1"/>
  <c r="M65" i="1"/>
  <c r="L65" i="1"/>
  <c r="L61" i="1"/>
  <c r="N43" i="1"/>
  <c r="P104" i="1"/>
  <c r="S104" i="1" s="1"/>
  <c r="O93" i="1"/>
  <c r="P93" i="1" s="1"/>
  <c r="Q93" i="1"/>
  <c r="M58" i="1"/>
  <c r="N58" i="1"/>
  <c r="N53" i="1"/>
  <c r="M64" i="1"/>
  <c r="L64" i="1"/>
  <c r="P48" i="1"/>
  <c r="S48" i="1" s="1"/>
  <c r="L22" i="1"/>
  <c r="M22" i="1"/>
  <c r="N22" i="1"/>
  <c r="M149" i="1"/>
  <c r="N149" i="1"/>
  <c r="N137" i="1"/>
  <c r="L137" i="1"/>
  <c r="M125" i="1"/>
  <c r="N125" i="1"/>
  <c r="O117" i="1"/>
  <c r="Q117" i="1" s="1"/>
  <c r="N99" i="1"/>
  <c r="O99" i="1" s="1"/>
  <c r="P99" i="1" s="1"/>
  <c r="Q60" i="1"/>
  <c r="M37" i="1"/>
  <c r="M29" i="1"/>
  <c r="O106" i="1"/>
  <c r="Q106" i="1" s="1"/>
  <c r="P106" i="1"/>
  <c r="S106" i="1" s="1"/>
  <c r="M99" i="1"/>
  <c r="P60" i="1"/>
  <c r="S60" i="1" s="1"/>
  <c r="N39" i="1"/>
  <c r="L26" i="1"/>
  <c r="N26" i="1"/>
  <c r="L83" i="1"/>
  <c r="M83" i="1"/>
  <c r="R67" i="1"/>
  <c r="L54" i="1"/>
  <c r="M54" i="1"/>
  <c r="N54" i="1"/>
  <c r="M39" i="1"/>
  <c r="N20" i="1"/>
  <c r="O44" i="1"/>
  <c r="R44" i="1" s="1"/>
  <c r="L34" i="1"/>
  <c r="N34" i="1"/>
  <c r="M20" i="1"/>
  <c r="L46" i="1"/>
  <c r="M46" i="1"/>
  <c r="N46" i="1"/>
  <c r="M28" i="1"/>
  <c r="N28" i="1"/>
  <c r="L118" i="1"/>
  <c r="M118" i="1"/>
  <c r="L62" i="1"/>
  <c r="M62" i="1"/>
  <c r="O75" i="1"/>
  <c r="Q44" i="1"/>
  <c r="O131" i="1"/>
  <c r="L38" i="1"/>
  <c r="M38" i="1"/>
  <c r="N38" i="1"/>
  <c r="O67" i="1"/>
  <c r="O11" i="1"/>
  <c r="D6" i="1"/>
  <c r="J10" i="1"/>
  <c r="K10" i="1" s="1"/>
  <c r="S250" i="1" l="1"/>
  <c r="S28" i="1"/>
  <c r="S793" i="1"/>
  <c r="P551" i="1"/>
  <c r="Q551" i="1"/>
  <c r="S95" i="1"/>
  <c r="R888" i="1"/>
  <c r="P888" i="1"/>
  <c r="S888" i="1" s="1"/>
  <c r="S694" i="1"/>
  <c r="S190" i="1"/>
  <c r="S530" i="1"/>
  <c r="S101" i="1"/>
  <c r="R162" i="1"/>
  <c r="P162" i="1"/>
  <c r="Q245" i="1"/>
  <c r="O245" i="1"/>
  <c r="P245" i="1" s="1"/>
  <c r="R271" i="1"/>
  <c r="Q103" i="1"/>
  <c r="S153" i="1"/>
  <c r="O415" i="1"/>
  <c r="Q415" i="1"/>
  <c r="O403" i="1"/>
  <c r="Q403" i="1" s="1"/>
  <c r="O365" i="1"/>
  <c r="P365" i="1" s="1"/>
  <c r="P84" i="1"/>
  <c r="O84" i="1"/>
  <c r="R84" i="1" s="1"/>
  <c r="O367" i="1"/>
  <c r="Q367" i="1" s="1"/>
  <c r="P367" i="1"/>
  <c r="O575" i="1"/>
  <c r="R575" i="1" s="1"/>
  <c r="O338" i="1"/>
  <c r="Q338" i="1" s="1"/>
  <c r="R498" i="1"/>
  <c r="O272" i="1"/>
  <c r="Q272" i="1" s="1"/>
  <c r="O760" i="1"/>
  <c r="R760" i="1" s="1"/>
  <c r="P760" i="1"/>
  <c r="S760" i="1" s="1"/>
  <c r="O423" i="1"/>
  <c r="R423" i="1" s="1"/>
  <c r="O556" i="1"/>
  <c r="P556" i="1" s="1"/>
  <c r="S556" i="1" s="1"/>
  <c r="Q704" i="1"/>
  <c r="Q877" i="1"/>
  <c r="O688" i="1"/>
  <c r="R688" i="1" s="1"/>
  <c r="P688" i="1"/>
  <c r="R548" i="1"/>
  <c r="Q567" i="1"/>
  <c r="O507" i="1"/>
  <c r="Q507" i="1" s="1"/>
  <c r="P507" i="1"/>
  <c r="O797" i="1"/>
  <c r="P797" i="1" s="1"/>
  <c r="O572" i="1"/>
  <c r="Q572" i="1" s="1"/>
  <c r="R898" i="1"/>
  <c r="Q656" i="1"/>
  <c r="R902" i="1"/>
  <c r="O866" i="1"/>
  <c r="P866" i="1"/>
  <c r="Q791" i="1"/>
  <c r="P550" i="1"/>
  <c r="O550" i="1"/>
  <c r="Q550" i="1" s="1"/>
  <c r="P75" i="1"/>
  <c r="R75" i="1"/>
  <c r="Q75" i="1"/>
  <c r="O165" i="1"/>
  <c r="P165" i="1"/>
  <c r="O208" i="1"/>
  <c r="R208" i="1" s="1"/>
  <c r="Q271" i="1"/>
  <c r="Q107" i="1"/>
  <c r="O418" i="1"/>
  <c r="P418" i="1"/>
  <c r="O198" i="1"/>
  <c r="Q198" i="1" s="1"/>
  <c r="O238" i="1"/>
  <c r="P238" i="1"/>
  <c r="O185" i="1"/>
  <c r="P185" i="1" s="1"/>
  <c r="S164" i="1"/>
  <c r="P498" i="1"/>
  <c r="O498" i="1"/>
  <c r="O398" i="1"/>
  <c r="P398" i="1"/>
  <c r="R582" i="1"/>
  <c r="O582" i="1"/>
  <c r="P582" i="1" s="1"/>
  <c r="R671" i="1"/>
  <c r="O393" i="1"/>
  <c r="R409" i="1"/>
  <c r="O612" i="1"/>
  <c r="P612" i="1" s="1"/>
  <c r="Q754" i="1"/>
  <c r="R589" i="1"/>
  <c r="O704" i="1"/>
  <c r="P704" i="1"/>
  <c r="S704" i="1" s="1"/>
  <c r="R637" i="1"/>
  <c r="P637" i="1"/>
  <c r="S637" i="1" s="1"/>
  <c r="O785" i="1"/>
  <c r="P785" i="1"/>
  <c r="P877" i="1"/>
  <c r="S877" i="1" s="1"/>
  <c r="O877" i="1"/>
  <c r="R877" i="1" s="1"/>
  <c r="Q590" i="1"/>
  <c r="P590" i="1"/>
  <c r="O698" i="1"/>
  <c r="Q698" i="1" s="1"/>
  <c r="O399" i="1"/>
  <c r="Q399" i="1" s="1"/>
  <c r="P399" i="1"/>
  <c r="P579" i="1"/>
  <c r="Q579" i="1"/>
  <c r="R507" i="1"/>
  <c r="Q746" i="1"/>
  <c r="O822" i="1"/>
  <c r="Q822" i="1" s="1"/>
  <c r="P822" i="1"/>
  <c r="S822" i="1" s="1"/>
  <c r="O621" i="1"/>
  <c r="P621" i="1"/>
  <c r="O837" i="1"/>
  <c r="R837" i="1" s="1"/>
  <c r="P837" i="1"/>
  <c r="O504" i="1"/>
  <c r="R504" i="1" s="1"/>
  <c r="Q737" i="1"/>
  <c r="O310" i="1"/>
  <c r="P310" i="1" s="1"/>
  <c r="O656" i="1"/>
  <c r="R656" i="1" s="1"/>
  <c r="Q896" i="1"/>
  <c r="Q692" i="1"/>
  <c r="O791" i="1"/>
  <c r="P791" i="1"/>
  <c r="O854" i="1"/>
  <c r="P854" i="1" s="1"/>
  <c r="S854" i="1" s="1"/>
  <c r="O186" i="1"/>
  <c r="Q186" i="1" s="1"/>
  <c r="P186" i="1"/>
  <c r="O94" i="1"/>
  <c r="Q94" i="1" s="1"/>
  <c r="R189" i="1"/>
  <c r="O42" i="1"/>
  <c r="P42" i="1" s="1"/>
  <c r="O175" i="1"/>
  <c r="R175" i="1" s="1"/>
  <c r="P175" i="1"/>
  <c r="O209" i="1"/>
  <c r="R209" i="1" s="1"/>
  <c r="P209" i="1"/>
  <c r="S312" i="1"/>
  <c r="Q203" i="1"/>
  <c r="P163" i="1"/>
  <c r="R163" i="1"/>
  <c r="R198" i="1"/>
  <c r="Q237" i="1"/>
  <c r="O306" i="1"/>
  <c r="P306" i="1"/>
  <c r="Q398" i="1"/>
  <c r="O90" i="1"/>
  <c r="Q90" i="1" s="1"/>
  <c r="P90" i="1"/>
  <c r="O712" i="1"/>
  <c r="P712" i="1" s="1"/>
  <c r="S712" i="1" s="1"/>
  <c r="R754" i="1"/>
  <c r="R742" i="1"/>
  <c r="O742" i="1"/>
  <c r="Q785" i="1"/>
  <c r="Q541" i="1"/>
  <c r="S541" i="1" s="1"/>
  <c r="R541" i="1"/>
  <c r="R425" i="1"/>
  <c r="P414" i="1"/>
  <c r="Q414" i="1"/>
  <c r="O634" i="1"/>
  <c r="P634" i="1"/>
  <c r="P746" i="1"/>
  <c r="O746" i="1"/>
  <c r="O724" i="1"/>
  <c r="Q724" i="1" s="1"/>
  <c r="Q621" i="1"/>
  <c r="O800" i="1"/>
  <c r="Q800" i="1" s="1"/>
  <c r="P800" i="1"/>
  <c r="Q789" i="1"/>
  <c r="R738" i="1"/>
  <c r="Q242" i="1"/>
  <c r="Q830" i="1"/>
  <c r="O22" i="1"/>
  <c r="P22" i="1" s="1"/>
  <c r="S22" i="1" s="1"/>
  <c r="O183" i="1"/>
  <c r="P183" i="1" s="1"/>
  <c r="Q189" i="1"/>
  <c r="R202" i="1"/>
  <c r="O92" i="1"/>
  <c r="R92" i="1" s="1"/>
  <c r="O212" i="1"/>
  <c r="Q212" i="1" s="1"/>
  <c r="P212" i="1"/>
  <c r="O315" i="1"/>
  <c r="P315" i="1"/>
  <c r="R367" i="1"/>
  <c r="O237" i="1"/>
  <c r="P237" i="1" s="1"/>
  <c r="S237" i="1" s="1"/>
  <c r="Q650" i="1"/>
  <c r="Q62" i="1"/>
  <c r="P44" i="1"/>
  <c r="S44" i="1" s="1"/>
  <c r="R165" i="1"/>
  <c r="R192" i="1"/>
  <c r="Q269" i="1"/>
  <c r="Q202" i="1"/>
  <c r="O112" i="1"/>
  <c r="P112" i="1"/>
  <c r="O271" i="1"/>
  <c r="P271" i="1" s="1"/>
  <c r="S271" i="1" s="1"/>
  <c r="O426" i="1"/>
  <c r="P426" i="1" s="1"/>
  <c r="O107" i="1"/>
  <c r="R107" i="1" s="1"/>
  <c r="P107" i="1"/>
  <c r="Q318" i="1"/>
  <c r="Q368" i="1"/>
  <c r="S368" i="1" s="1"/>
  <c r="R368" i="1"/>
  <c r="R226" i="1"/>
  <c r="R218" i="1"/>
  <c r="Q238" i="1"/>
  <c r="O231" i="1"/>
  <c r="P231" i="1" s="1"/>
  <c r="S231" i="1" s="1"/>
  <c r="Q411" i="1"/>
  <c r="P227" i="1"/>
  <c r="O402" i="1"/>
  <c r="P402" i="1"/>
  <c r="O156" i="1"/>
  <c r="R156" i="1" s="1"/>
  <c r="P242" i="1"/>
  <c r="S242" i="1" s="1"/>
  <c r="Q498" i="1"/>
  <c r="Q344" i="1"/>
  <c r="R292" i="1"/>
  <c r="Q292" i="1"/>
  <c r="P292" i="1"/>
  <c r="S427" i="1"/>
  <c r="Q409" i="1"/>
  <c r="O409" i="1"/>
  <c r="P409" i="1" s="1"/>
  <c r="R612" i="1"/>
  <c r="P757" i="1"/>
  <c r="S757" i="1" s="1"/>
  <c r="R757" i="1"/>
  <c r="Q757" i="1"/>
  <c r="O532" i="1"/>
  <c r="P532" i="1" s="1"/>
  <c r="R650" i="1"/>
  <c r="O805" i="1"/>
  <c r="R805" i="1" s="1"/>
  <c r="P805" i="1"/>
  <c r="Q472" i="1"/>
  <c r="P640" i="1"/>
  <c r="O788" i="1"/>
  <c r="P788" i="1" s="1"/>
  <c r="S788" i="1" s="1"/>
  <c r="O458" i="1"/>
  <c r="Q458" i="1" s="1"/>
  <c r="O570" i="1"/>
  <c r="R570" i="1" s="1"/>
  <c r="Q667" i="1"/>
  <c r="O853" i="1"/>
  <c r="R853" i="1" s="1"/>
  <c r="P853" i="1"/>
  <c r="R591" i="1"/>
  <c r="O597" i="1"/>
  <c r="R597" i="1" s="1"/>
  <c r="O808" i="1"/>
  <c r="Q808" i="1" s="1"/>
  <c r="O600" i="1"/>
  <c r="R600" i="1" s="1"/>
  <c r="O337" i="1"/>
  <c r="R337" i="1" s="1"/>
  <c r="O719" i="1"/>
  <c r="Q719" i="1" s="1"/>
  <c r="P719" i="1"/>
  <c r="Q841" i="1"/>
  <c r="Q660" i="1"/>
  <c r="O902" i="1"/>
  <c r="P902" i="1"/>
  <c r="O667" i="1"/>
  <c r="P667" i="1" s="1"/>
  <c r="O350" i="1"/>
  <c r="Q350" i="1" s="1"/>
  <c r="R796" i="1"/>
  <c r="O445" i="1"/>
  <c r="Q445" i="1"/>
  <c r="O113" i="1"/>
  <c r="R113" i="1" s="1"/>
  <c r="P85" i="1"/>
  <c r="O85" i="1"/>
  <c r="R101" i="1"/>
  <c r="O558" i="1"/>
  <c r="R558" i="1" s="1"/>
  <c r="O326" i="1"/>
  <c r="P326" i="1"/>
  <c r="S326" i="1" s="1"/>
  <c r="R334" i="1"/>
  <c r="S412" i="1"/>
  <c r="O624" i="1"/>
  <c r="R624" i="1" s="1"/>
  <c r="O795" i="1"/>
  <c r="Q795" i="1" s="1"/>
  <c r="P795" i="1"/>
  <c r="S795" i="1" s="1"/>
  <c r="O278" i="1"/>
  <c r="P278" i="1"/>
  <c r="O508" i="1"/>
  <c r="P508" i="1"/>
  <c r="O650" i="1"/>
  <c r="P650" i="1" s="1"/>
  <c r="O673" i="1"/>
  <c r="P673" i="1"/>
  <c r="R864" i="1"/>
  <c r="Q864" i="1"/>
  <c r="S864" i="1" s="1"/>
  <c r="O473" i="1"/>
  <c r="R473" i="1" s="1"/>
  <c r="P473" i="1"/>
  <c r="Q435" i="1"/>
  <c r="S435" i="1" s="1"/>
  <c r="R695" i="1"/>
  <c r="Q695" i="1"/>
  <c r="O665" i="1"/>
  <c r="P665" i="1" s="1"/>
  <c r="O515" i="1"/>
  <c r="R515" i="1" s="1"/>
  <c r="P515" i="1"/>
  <c r="R331" i="1"/>
  <c r="O683" i="1"/>
  <c r="R683" i="1" s="1"/>
  <c r="P683" i="1"/>
  <c r="O878" i="1"/>
  <c r="O847" i="1"/>
  <c r="Q847" i="1" s="1"/>
  <c r="R640" i="1"/>
  <c r="R734" i="1"/>
  <c r="Q734" i="1"/>
  <c r="P734" i="1"/>
  <c r="S843" i="1"/>
  <c r="R871" i="1"/>
  <c r="O772" i="1"/>
  <c r="P772" i="1"/>
  <c r="O889" i="1"/>
  <c r="Q889" i="1" s="1"/>
  <c r="P889" i="1"/>
  <c r="Q28" i="1"/>
  <c r="O54" i="1"/>
  <c r="R54" i="1" s="1"/>
  <c r="P54" i="1"/>
  <c r="P117" i="1"/>
  <c r="O58" i="1"/>
  <c r="P58" i="1" s="1"/>
  <c r="Q101" i="1"/>
  <c r="R56" i="1"/>
  <c r="P23" i="1"/>
  <c r="S23" i="1" s="1"/>
  <c r="O23" i="1"/>
  <c r="P100" i="1"/>
  <c r="S100" i="1" s="1"/>
  <c r="R146" i="1"/>
  <c r="Q116" i="1"/>
  <c r="Q240" i="1"/>
  <c r="Q195" i="1"/>
  <c r="S195" i="1" s="1"/>
  <c r="Q57" i="1"/>
  <c r="O205" i="1"/>
  <c r="P205" i="1" s="1"/>
  <c r="O235" i="1"/>
  <c r="O277" i="1"/>
  <c r="P277" i="1" s="1"/>
  <c r="O258" i="1"/>
  <c r="Q258" i="1" s="1"/>
  <c r="O361" i="1"/>
  <c r="R361" i="1" s="1"/>
  <c r="O176" i="1"/>
  <c r="P176" i="1" s="1"/>
  <c r="O457" i="1"/>
  <c r="R457" i="1" s="1"/>
  <c r="P457" i="1"/>
  <c r="S457" i="1" s="1"/>
  <c r="O230" i="1"/>
  <c r="R230" i="1" s="1"/>
  <c r="P327" i="1"/>
  <c r="Q327" i="1"/>
  <c r="Q451" i="1"/>
  <c r="Q320" i="1"/>
  <c r="Q244" i="1"/>
  <c r="S244" i="1" s="1"/>
  <c r="Q345" i="1"/>
  <c r="O459" i="1"/>
  <c r="R459" i="1" s="1"/>
  <c r="P459" i="1"/>
  <c r="R95" i="1"/>
  <c r="Q617" i="1"/>
  <c r="R429" i="1"/>
  <c r="Q429" i="1"/>
  <c r="O687" i="1"/>
  <c r="P687" i="1"/>
  <c r="R756" i="1"/>
  <c r="P693" i="1"/>
  <c r="Q693" i="1"/>
  <c r="O495" i="1"/>
  <c r="Q495" i="1" s="1"/>
  <c r="P495" i="1"/>
  <c r="Q628" i="1"/>
  <c r="Q839" i="1"/>
  <c r="R278" i="1"/>
  <c r="P713" i="1"/>
  <c r="S713" i="1" s="1"/>
  <c r="Q898" i="1"/>
  <c r="Q751" i="1"/>
  <c r="R751" i="1"/>
  <c r="S751" i="1" s="1"/>
  <c r="Q520" i="1"/>
  <c r="O603" i="1"/>
  <c r="Q603" i="1" s="1"/>
  <c r="S726" i="1"/>
  <c r="O339" i="1"/>
  <c r="Q339" i="1" s="1"/>
  <c r="P339" i="1"/>
  <c r="S690" i="1"/>
  <c r="R763" i="1"/>
  <c r="O849" i="1"/>
  <c r="R849" i="1" s="1"/>
  <c r="Q887" i="1"/>
  <c r="S887" i="1" s="1"/>
  <c r="O331" i="1"/>
  <c r="Q331" i="1" s="1"/>
  <c r="Q727" i="1"/>
  <c r="O645" i="1"/>
  <c r="R645" i="1" s="1"/>
  <c r="O807" i="1"/>
  <c r="R807" i="1" s="1"/>
  <c r="P807" i="1"/>
  <c r="Q747" i="1"/>
  <c r="S747" i="1" s="1"/>
  <c r="O794" i="1"/>
  <c r="Q794" i="1" s="1"/>
  <c r="P794" i="1"/>
  <c r="R682" i="1"/>
  <c r="O871" i="1"/>
  <c r="P871" i="1"/>
  <c r="S863" i="1"/>
  <c r="O29" i="1"/>
  <c r="R130" i="1"/>
  <c r="O25" i="1"/>
  <c r="P25" i="1"/>
  <c r="O269" i="1"/>
  <c r="R269" i="1" s="1"/>
  <c r="P269" i="1"/>
  <c r="R112" i="1"/>
  <c r="O342" i="1"/>
  <c r="Q342" i="1" s="1"/>
  <c r="P342" i="1"/>
  <c r="S342" i="1" s="1"/>
  <c r="O251" i="1"/>
  <c r="R251" i="1" s="1"/>
  <c r="P251" i="1"/>
  <c r="Q420" i="1"/>
  <c r="O420" i="1"/>
  <c r="P420" i="1" s="1"/>
  <c r="O189" i="1"/>
  <c r="P189" i="1" s="1"/>
  <c r="O447" i="1"/>
  <c r="R447" i="1" s="1"/>
  <c r="P447" i="1"/>
  <c r="O257" i="1"/>
  <c r="P257" i="1"/>
  <c r="O669" i="1"/>
  <c r="P669" i="1" s="1"/>
  <c r="R618" i="1"/>
  <c r="O589" i="1"/>
  <c r="P589" i="1"/>
  <c r="R826" i="1"/>
  <c r="O450" i="1"/>
  <c r="P450" i="1" s="1"/>
  <c r="S450" i="1" s="1"/>
  <c r="O400" i="1"/>
  <c r="P400" i="1" s="1"/>
  <c r="S400" i="1" s="1"/>
  <c r="S756" i="1"/>
  <c r="O424" i="1"/>
  <c r="Q424" i="1" s="1"/>
  <c r="O828" i="1"/>
  <c r="R828" i="1" s="1"/>
  <c r="P828" i="1"/>
  <c r="R350" i="1"/>
  <c r="O578" i="1"/>
  <c r="Q578" i="1" s="1"/>
  <c r="Q854" i="1"/>
  <c r="O49" i="1"/>
  <c r="P49" i="1"/>
  <c r="O96" i="1"/>
  <c r="Q96" i="1" s="1"/>
  <c r="O188" i="1"/>
  <c r="P188" i="1"/>
  <c r="R342" i="1"/>
  <c r="O432" i="1"/>
  <c r="R432" i="1" s="1"/>
  <c r="P432" i="1"/>
  <c r="Q358" i="1"/>
  <c r="Q308" i="1"/>
  <c r="R679" i="1"/>
  <c r="S679" i="1" s="1"/>
  <c r="Q679" i="1"/>
  <c r="O725" i="1"/>
  <c r="R725" i="1" s="1"/>
  <c r="P725" i="1"/>
  <c r="R508" i="1"/>
  <c r="Q788" i="1"/>
  <c r="O643" i="1"/>
  <c r="R643" i="1" s="1"/>
  <c r="O833" i="1"/>
  <c r="Q833" i="1" s="1"/>
  <c r="P833" i="1"/>
  <c r="R400" i="1"/>
  <c r="R228" i="1"/>
  <c r="Q228" i="1"/>
  <c r="P228" i="1"/>
  <c r="S59" i="1"/>
  <c r="Q351" i="1"/>
  <c r="R351" i="1"/>
  <c r="O193" i="1"/>
  <c r="R193" i="1" s="1"/>
  <c r="Q430" i="1"/>
  <c r="R282" i="1"/>
  <c r="Q262" i="1"/>
  <c r="Q506" i="1"/>
  <c r="S506" i="1" s="1"/>
  <c r="R506" i="1"/>
  <c r="R531" i="1"/>
  <c r="R810" i="1"/>
  <c r="P875" i="1"/>
  <c r="S875" i="1" s="1"/>
  <c r="O811" i="1"/>
  <c r="Q811" i="1" s="1"/>
  <c r="O885" i="1"/>
  <c r="P885" i="1"/>
  <c r="O672" i="1"/>
  <c r="P672" i="1"/>
  <c r="R30" i="1"/>
  <c r="O285" i="1"/>
  <c r="R285" i="1" s="1"/>
  <c r="P285" i="1"/>
  <c r="O430" i="1"/>
  <c r="R430" i="1" s="1"/>
  <c r="P430" i="1"/>
  <c r="O455" i="1"/>
  <c r="R455" i="1" s="1"/>
  <c r="P455" i="1"/>
  <c r="Q56" i="1"/>
  <c r="S56" i="1" s="1"/>
  <c r="O121" i="1"/>
  <c r="P121" i="1"/>
  <c r="P116" i="1"/>
  <c r="O116" i="1"/>
  <c r="R116" i="1" s="1"/>
  <c r="R312" i="1"/>
  <c r="P290" i="1"/>
  <c r="O252" i="1"/>
  <c r="R252" i="1" s="1"/>
  <c r="O181" i="1"/>
  <c r="Q181" i="1" s="1"/>
  <c r="P273" i="1"/>
  <c r="O273" i="1"/>
  <c r="R273" i="1" s="1"/>
  <c r="O382" i="1"/>
  <c r="Q382" i="1" s="1"/>
  <c r="P382" i="1"/>
  <c r="O486" i="1"/>
  <c r="O151" i="1"/>
  <c r="Q151" i="1" s="1"/>
  <c r="O617" i="1"/>
  <c r="R617" i="1" s="1"/>
  <c r="P617" i="1"/>
  <c r="O466" i="1"/>
  <c r="R466" i="1" s="1"/>
  <c r="P466" i="1"/>
  <c r="S533" i="1"/>
  <c r="P695" i="1"/>
  <c r="S695" i="1" s="1"/>
  <c r="O471" i="1"/>
  <c r="R471" i="1" s="1"/>
  <c r="P471" i="1"/>
  <c r="O628" i="1"/>
  <c r="P628" i="1" s="1"/>
  <c r="S628" i="1" s="1"/>
  <c r="P697" i="1"/>
  <c r="Q697" i="1"/>
  <c r="O839" i="1"/>
  <c r="R839" i="1" s="1"/>
  <c r="O300" i="1"/>
  <c r="R300" i="1" s="1"/>
  <c r="O813" i="1"/>
  <c r="P813" i="1" s="1"/>
  <c r="R598" i="1"/>
  <c r="P598" i="1"/>
  <c r="S598" i="1" s="1"/>
  <c r="O754" i="1"/>
  <c r="P754" i="1" s="1"/>
  <c r="O14" i="1"/>
  <c r="P14" i="1" s="1"/>
  <c r="O520" i="1"/>
  <c r="R520" i="1" s="1"/>
  <c r="P520" i="1"/>
  <c r="S520" i="1" s="1"/>
  <c r="O567" i="1"/>
  <c r="P567" i="1" s="1"/>
  <c r="O544" i="1"/>
  <c r="Q544" i="1" s="1"/>
  <c r="O768" i="1"/>
  <c r="R768" i="1" s="1"/>
  <c r="P768" i="1"/>
  <c r="Q595" i="1"/>
  <c r="P595" i="1"/>
  <c r="S595" i="1" s="1"/>
  <c r="R662" i="1"/>
  <c r="O810" i="1"/>
  <c r="P810" i="1" s="1"/>
  <c r="S468" i="1"/>
  <c r="Q530" i="1"/>
  <c r="S681" i="1"/>
  <c r="Q874" i="1"/>
  <c r="Q682" i="1"/>
  <c r="S682" i="1" s="1"/>
  <c r="O609" i="1"/>
  <c r="Q609" i="1" s="1"/>
  <c r="P609" i="1"/>
  <c r="P11" i="1"/>
  <c r="S11" i="1" s="1"/>
  <c r="Q11" i="1"/>
  <c r="S93" i="1"/>
  <c r="R114" i="1"/>
  <c r="Q32" i="1"/>
  <c r="R32" i="1"/>
  <c r="Q121" i="1"/>
  <c r="O69" i="1"/>
  <c r="R69" i="1" s="1"/>
  <c r="P69" i="1"/>
  <c r="P21" i="1"/>
  <c r="R201" i="1"/>
  <c r="R57" i="1"/>
  <c r="R70" i="1"/>
  <c r="Q221" i="1"/>
  <c r="O13" i="1"/>
  <c r="P13" i="1"/>
  <c r="O141" i="1"/>
  <c r="Q141" i="1" s="1"/>
  <c r="P141" i="1"/>
  <c r="S141" i="1" s="1"/>
  <c r="Q307" i="1"/>
  <c r="O307" i="1"/>
  <c r="R187" i="1"/>
  <c r="Q157" i="1"/>
  <c r="S157" i="1" s="1"/>
  <c r="O81" i="1"/>
  <c r="Q81" i="1" s="1"/>
  <c r="P81" i="1"/>
  <c r="O169" i="1"/>
  <c r="P169" i="1" s="1"/>
  <c r="R236" i="1"/>
  <c r="Q312" i="1"/>
  <c r="O291" i="1"/>
  <c r="R291" i="1" s="1"/>
  <c r="R172" i="1"/>
  <c r="S172" i="1" s="1"/>
  <c r="S255" i="1"/>
  <c r="O373" i="1"/>
  <c r="Q373" i="1" s="1"/>
  <c r="Q33" i="1"/>
  <c r="O488" i="1"/>
  <c r="R488" i="1" s="1"/>
  <c r="Q298" i="1"/>
  <c r="O454" i="1"/>
  <c r="S263" i="1"/>
  <c r="Q279" i="1"/>
  <c r="R279" i="1"/>
  <c r="S279" i="1" s="1"/>
  <c r="P345" i="1"/>
  <c r="O345" i="1"/>
  <c r="R345" i="1" s="1"/>
  <c r="R369" i="1"/>
  <c r="P369" i="1"/>
  <c r="O626" i="1"/>
  <c r="Q626" i="1" s="1"/>
  <c r="S479" i="1"/>
  <c r="P611" i="1"/>
  <c r="O611" i="1"/>
  <c r="R611" i="1" s="1"/>
  <c r="R142" i="1"/>
  <c r="P462" i="1"/>
  <c r="S462" i="1" s="1"/>
  <c r="O462" i="1"/>
  <c r="R533" i="1"/>
  <c r="Q533" i="1"/>
  <c r="S248" i="1"/>
  <c r="S379" i="1"/>
  <c r="O568" i="1"/>
  <c r="P568" i="1" s="1"/>
  <c r="S568" i="1" s="1"/>
  <c r="R859" i="1"/>
  <c r="O317" i="1"/>
  <c r="R317" i="1" s="1"/>
  <c r="Q391" i="1"/>
  <c r="R615" i="1"/>
  <c r="Q824" i="1"/>
  <c r="O499" i="1"/>
  <c r="Q499" i="1" s="1"/>
  <c r="P499" i="1"/>
  <c r="O484" i="1"/>
  <c r="Q484" i="1" s="1"/>
  <c r="S619" i="1"/>
  <c r="P769" i="1"/>
  <c r="S769" i="1" s="1"/>
  <c r="R769" i="1"/>
  <c r="S573" i="1"/>
  <c r="S616" i="1"/>
  <c r="Q770" i="1"/>
  <c r="S770" i="1" s="1"/>
  <c r="R770" i="1"/>
  <c r="S436" i="1"/>
  <c r="Q336" i="1"/>
  <c r="S336" i="1" s="1"/>
  <c r="R336" i="1"/>
  <c r="O443" i="1"/>
  <c r="P443" i="1"/>
  <c r="R590" i="1"/>
  <c r="O555" i="1"/>
  <c r="Q555" i="1" s="1"/>
  <c r="P555" i="1"/>
  <c r="O668" i="1"/>
  <c r="P668" i="1" s="1"/>
  <c r="O491" i="1"/>
  <c r="P491" i="1" s="1"/>
  <c r="P67" i="1"/>
  <c r="Q67" i="1"/>
  <c r="O46" i="1"/>
  <c r="P46" i="1" s="1"/>
  <c r="S46" i="1" s="1"/>
  <c r="O83" i="1"/>
  <c r="R83" i="1" s="1"/>
  <c r="P83" i="1"/>
  <c r="Q125" i="1"/>
  <c r="O125" i="1"/>
  <c r="P125" i="1" s="1"/>
  <c r="R100" i="1"/>
  <c r="Q114" i="1"/>
  <c r="Q41" i="1"/>
  <c r="S41" i="1" s="1"/>
  <c r="Q105" i="1"/>
  <c r="P32" i="1"/>
  <c r="S32" i="1" s="1"/>
  <c r="R121" i="1"/>
  <c r="P43" i="1"/>
  <c r="S43" i="1" s="1"/>
  <c r="P74" i="1"/>
  <c r="S74" i="1" s="1"/>
  <c r="O221" i="1"/>
  <c r="R221" i="1" s="1"/>
  <c r="P221" i="1"/>
  <c r="S221" i="1" s="1"/>
  <c r="R13" i="1"/>
  <c r="R145" i="1"/>
  <c r="P145" i="1"/>
  <c r="Q145" i="1"/>
  <c r="O370" i="1"/>
  <c r="R370" i="1" s="1"/>
  <c r="Q187" i="1"/>
  <c r="O346" i="1"/>
  <c r="O173" i="1"/>
  <c r="P173" i="1" s="1"/>
  <c r="P320" i="1"/>
  <c r="S320" i="1" s="1"/>
  <c r="R81" i="1"/>
  <c r="R327" i="1"/>
  <c r="O294" i="1"/>
  <c r="O301" i="1"/>
  <c r="P301" i="1" s="1"/>
  <c r="R33" i="1"/>
  <c r="Q316" i="1"/>
  <c r="O316" i="1"/>
  <c r="P316" i="1" s="1"/>
  <c r="O77" i="1"/>
  <c r="R77" i="1" s="1"/>
  <c r="P77" i="1"/>
  <c r="Q340" i="1"/>
  <c r="O298" i="1"/>
  <c r="R298" i="1" s="1"/>
  <c r="Q461" i="1"/>
  <c r="O461" i="1"/>
  <c r="O408" i="1"/>
  <c r="P408" i="1" s="1"/>
  <c r="S408" i="1" s="1"/>
  <c r="S267" i="1"/>
  <c r="S529" i="1"/>
  <c r="Q329" i="1"/>
  <c r="S470" i="1"/>
  <c r="R474" i="1"/>
  <c r="O741" i="1"/>
  <c r="Q614" i="1"/>
  <c r="R462" i="1"/>
  <c r="O641" i="1"/>
  <c r="R641" i="1" s="1"/>
  <c r="P641" i="1"/>
  <c r="O829" i="1"/>
  <c r="R829" i="1" s="1"/>
  <c r="O605" i="1"/>
  <c r="P605" i="1"/>
  <c r="O709" i="1"/>
  <c r="R709" i="1" s="1"/>
  <c r="O883" i="1"/>
  <c r="R883" i="1" s="1"/>
  <c r="O536" i="1"/>
  <c r="R536" i="1" s="1"/>
  <c r="O821" i="1"/>
  <c r="R821" i="1" s="1"/>
  <c r="P821" i="1"/>
  <c r="S821" i="1" s="1"/>
  <c r="R862" i="1"/>
  <c r="S862" i="1" s="1"/>
  <c r="R499" i="1"/>
  <c r="O777" i="1"/>
  <c r="Q777" i="1"/>
  <c r="P259" i="1"/>
  <c r="S259" i="1" s="1"/>
  <c r="O259" i="1"/>
  <c r="O539" i="1"/>
  <c r="Q539" i="1" s="1"/>
  <c r="P539" i="1"/>
  <c r="Q781" i="1"/>
  <c r="O388" i="1"/>
  <c r="R388" i="1" s="1"/>
  <c r="R730" i="1"/>
  <c r="S730" i="1" s="1"/>
  <c r="R481" i="1"/>
  <c r="R416" i="1"/>
  <c r="O729" i="1"/>
  <c r="Q729" i="1" s="1"/>
  <c r="O684" i="1"/>
  <c r="R684" i="1" s="1"/>
  <c r="P684" i="1"/>
  <c r="O876" i="1"/>
  <c r="P559" i="1"/>
  <c r="S559" i="1" s="1"/>
  <c r="O820" i="1"/>
  <c r="P820" i="1" s="1"/>
  <c r="O554" i="1"/>
  <c r="R554" i="1" s="1"/>
  <c r="P554" i="1"/>
  <c r="O893" i="1"/>
  <c r="R893" i="1" s="1"/>
  <c r="O654" i="1"/>
  <c r="P654" i="1" s="1"/>
  <c r="Q531" i="1"/>
  <c r="O274" i="1"/>
  <c r="Q274" i="1" s="1"/>
  <c r="R772" i="1"/>
  <c r="R132" i="1"/>
  <c r="Q772" i="1"/>
  <c r="P229" i="1"/>
  <c r="O229" i="1"/>
  <c r="R229" i="1" s="1"/>
  <c r="Q457" i="1"/>
  <c r="O685" i="1"/>
  <c r="P685" i="1" s="1"/>
  <c r="O240" i="1"/>
  <c r="P240" i="1"/>
  <c r="Q442" i="1"/>
  <c r="O442" i="1"/>
  <c r="P442" i="1" s="1"/>
  <c r="P170" i="1"/>
  <c r="R170" i="1"/>
  <c r="Q170" i="1"/>
  <c r="S666" i="1"/>
  <c r="O714" i="1"/>
  <c r="R714" i="1" s="1"/>
  <c r="P714" i="1"/>
  <c r="Q857" i="1"/>
  <c r="O727" i="1"/>
  <c r="P727" i="1"/>
  <c r="R794" i="1"/>
  <c r="Q46" i="1"/>
  <c r="R125" i="1"/>
  <c r="R11" i="1"/>
  <c r="O137" i="1"/>
  <c r="Q137" i="1" s="1"/>
  <c r="P137" i="1"/>
  <c r="R117" i="1"/>
  <c r="R41" i="1"/>
  <c r="O120" i="1"/>
  <c r="R120" i="1" s="1"/>
  <c r="P120" i="1"/>
  <c r="R87" i="1"/>
  <c r="R40" i="1"/>
  <c r="Q86" i="1"/>
  <c r="Q226" i="1"/>
  <c r="S226" i="1" s="1"/>
  <c r="O70" i="1"/>
  <c r="P70" i="1"/>
  <c r="Q19" i="1"/>
  <c r="S155" i="1"/>
  <c r="S196" i="1"/>
  <c r="O200" i="1"/>
  <c r="Q200" i="1" s="1"/>
  <c r="O392" i="1"/>
  <c r="P392" i="1" s="1"/>
  <c r="Q323" i="1"/>
  <c r="O323" i="1"/>
  <c r="O182" i="1"/>
  <c r="R182" i="1" s="1"/>
  <c r="P182" i="1"/>
  <c r="O376" i="1"/>
  <c r="Q376" i="1" s="1"/>
  <c r="S429" i="1"/>
  <c r="O340" i="1"/>
  <c r="R340" i="1" s="1"/>
  <c r="P340" i="1"/>
  <c r="O512" i="1"/>
  <c r="R512" i="1" s="1"/>
  <c r="O519" i="1"/>
  <c r="P519" i="1"/>
  <c r="R408" i="1"/>
  <c r="R573" i="1"/>
  <c r="O584" i="1"/>
  <c r="Q584" i="1" s="1"/>
  <c r="P329" i="1"/>
  <c r="O329" i="1"/>
  <c r="R329" i="1" s="1"/>
  <c r="P474" i="1"/>
  <c r="R364" i="1"/>
  <c r="O496" i="1"/>
  <c r="Q496" i="1" s="1"/>
  <c r="P496" i="1"/>
  <c r="Q21" i="1"/>
  <c r="O524" i="1"/>
  <c r="P524" i="1" s="1"/>
  <c r="O764" i="1"/>
  <c r="Q764" i="1" s="1"/>
  <c r="P764" i="1"/>
  <c r="P501" i="1"/>
  <c r="O614" i="1"/>
  <c r="R614" i="1" s="1"/>
  <c r="O142" i="1"/>
  <c r="P142" i="1" s="1"/>
  <c r="Q462" i="1"/>
  <c r="P731" i="1"/>
  <c r="O553" i="1"/>
  <c r="Q553" i="1" s="1"/>
  <c r="P553" i="1"/>
  <c r="R655" i="1"/>
  <c r="R543" i="1"/>
  <c r="R422" i="1"/>
  <c r="R605" i="1"/>
  <c r="R559" i="1"/>
  <c r="R834" i="1"/>
  <c r="O615" i="1"/>
  <c r="Q615" i="1" s="1"/>
  <c r="O873" i="1"/>
  <c r="R552" i="1"/>
  <c r="O744" i="1"/>
  <c r="R744" i="1" s="1"/>
  <c r="Q259" i="1"/>
  <c r="P627" i="1"/>
  <c r="S627" i="1" s="1"/>
  <c r="Q627" i="1"/>
  <c r="O781" i="1"/>
  <c r="P781" i="1"/>
  <c r="Q630" i="1"/>
  <c r="R630" i="1"/>
  <c r="P630" i="1"/>
  <c r="S630" i="1" s="1"/>
  <c r="O787" i="1"/>
  <c r="R787" i="1" s="1"/>
  <c r="O636" i="1"/>
  <c r="Q636" i="1" s="1"/>
  <c r="P636" i="1"/>
  <c r="S891" i="1"/>
  <c r="Q383" i="1"/>
  <c r="Q481" i="1"/>
  <c r="Q416" i="1"/>
  <c r="S416" i="1" s="1"/>
  <c r="O845" i="1"/>
  <c r="P845" i="1"/>
  <c r="O859" i="1"/>
  <c r="O321" i="1"/>
  <c r="P321" i="1" s="1"/>
  <c r="S321" i="1" s="1"/>
  <c r="R879" i="1"/>
  <c r="O689" i="1"/>
  <c r="R689" i="1" s="1"/>
  <c r="P689" i="1"/>
  <c r="O867" i="1"/>
  <c r="P867" i="1" s="1"/>
  <c r="R188" i="1"/>
  <c r="Q604" i="1"/>
  <c r="O247" i="1"/>
  <c r="P247" i="1" s="1"/>
  <c r="O201" i="1"/>
  <c r="Q201" i="1" s="1"/>
  <c r="O444" i="1"/>
  <c r="Q444" i="1" s="1"/>
  <c r="O861" i="1"/>
  <c r="R861" i="1" s="1"/>
  <c r="P861" i="1"/>
  <c r="O150" i="1"/>
  <c r="R150" i="1" s="1"/>
  <c r="R200" i="1"/>
  <c r="O543" i="1"/>
  <c r="P543" i="1" s="1"/>
  <c r="O723" i="1"/>
  <c r="Q723" i="1" s="1"/>
  <c r="P723" i="1"/>
  <c r="Q750" i="1"/>
  <c r="O750" i="1"/>
  <c r="P750" i="1" s="1"/>
  <c r="Q888" i="1"/>
  <c r="R875" i="1"/>
  <c r="R514" i="1"/>
  <c r="O623" i="1"/>
  <c r="Q623" i="1" s="1"/>
  <c r="S748" i="1"/>
  <c r="S313" i="1"/>
  <c r="R539" i="1"/>
  <c r="R781" i="1"/>
  <c r="Q456" i="1"/>
  <c r="S792" i="1"/>
  <c r="O383" i="1"/>
  <c r="R383" i="1" s="1"/>
  <c r="P383" i="1"/>
  <c r="O521" i="1"/>
  <c r="P521" i="1" s="1"/>
  <c r="Q872" i="1"/>
  <c r="S872" i="1" s="1"/>
  <c r="O761" i="1"/>
  <c r="P761" i="1" s="1"/>
  <c r="Q631" i="1"/>
  <c r="S631" i="1" s="1"/>
  <c r="R819" i="1"/>
  <c r="Q321" i="1"/>
  <c r="R660" i="1"/>
  <c r="S660" i="1" s="1"/>
  <c r="O879" i="1"/>
  <c r="P879" i="1" s="1"/>
  <c r="S879" i="1" s="1"/>
  <c r="R892" i="1"/>
  <c r="Q892" i="1"/>
  <c r="O483" i="1"/>
  <c r="P483" i="1"/>
  <c r="R697" i="1"/>
  <c r="O696" i="1"/>
  <c r="P696" i="1" s="1"/>
  <c r="S696" i="1" s="1"/>
  <c r="R58" i="1"/>
  <c r="O138" i="1"/>
  <c r="R138" i="1" s="1"/>
  <c r="S655" i="1"/>
  <c r="R46" i="1"/>
  <c r="R157" i="1"/>
  <c r="O467" i="1"/>
  <c r="Q467" i="1" s="1"/>
  <c r="O304" i="1"/>
  <c r="P304" i="1"/>
  <c r="R39" i="1"/>
  <c r="Q177" i="1"/>
  <c r="O177" i="1"/>
  <c r="P177" i="1" s="1"/>
  <c r="S587" i="1"/>
  <c r="O739" i="1"/>
  <c r="Q739" i="1" s="1"/>
  <c r="R872" i="1"/>
  <c r="Q879" i="1"/>
  <c r="O842" i="1"/>
  <c r="P842" i="1" s="1"/>
  <c r="R513" i="1"/>
  <c r="R483" i="1"/>
  <c r="O865" i="1"/>
  <c r="P865" i="1" s="1"/>
  <c r="O34" i="1"/>
  <c r="Q34" i="1" s="1"/>
  <c r="O62" i="1"/>
  <c r="R62" i="1" s="1"/>
  <c r="O64" i="1"/>
  <c r="R64" i="1" s="1"/>
  <c r="O161" i="1"/>
  <c r="R161" i="1" s="1"/>
  <c r="Q192" i="1"/>
  <c r="Q111" i="1"/>
  <c r="O148" i="1"/>
  <c r="P148" i="1" s="1"/>
  <c r="O411" i="1"/>
  <c r="R411" i="1" s="1"/>
  <c r="Q540" i="1"/>
  <c r="Q725" i="1"/>
  <c r="R816" i="1"/>
  <c r="P816" i="1"/>
  <c r="S816" i="1" s="1"/>
  <c r="S898" i="1"/>
  <c r="S366" i="1"/>
  <c r="R667" i="1"/>
  <c r="P670" i="1"/>
  <c r="S824" i="1"/>
  <c r="R672" i="1"/>
  <c r="P16" i="1"/>
  <c r="Q16" i="1"/>
  <c r="Q130" i="1"/>
  <c r="S130" i="1" s="1"/>
  <c r="O102" i="1"/>
  <c r="Q102" i="1" s="1"/>
  <c r="Q25" i="1"/>
  <c r="Q128" i="1"/>
  <c r="S128" i="1" s="1"/>
  <c r="R128" i="1"/>
  <c r="O214" i="1"/>
  <c r="R214" i="1" s="1"/>
  <c r="P214" i="1"/>
  <c r="Q112" i="1"/>
  <c r="R216" i="1"/>
  <c r="O171" i="1"/>
  <c r="P171" i="1"/>
  <c r="O390" i="1"/>
  <c r="R390" i="1" s="1"/>
  <c r="O253" i="1"/>
  <c r="Q253" i="1" s="1"/>
  <c r="P253" i="1"/>
  <c r="Q251" i="1"/>
  <c r="Q231" i="1"/>
  <c r="Q194" i="1"/>
  <c r="O437" i="1"/>
  <c r="Q437" i="1" s="1"/>
  <c r="Q438" i="1"/>
  <c r="R632" i="1"/>
  <c r="O439" i="1"/>
  <c r="P439" i="1" s="1"/>
  <c r="P644" i="1"/>
  <c r="R644" i="1"/>
  <c r="O531" i="1"/>
  <c r="P531" i="1" s="1"/>
  <c r="S531" i="1" s="1"/>
  <c r="Q600" i="1"/>
  <c r="Q672" i="1"/>
  <c r="O856" i="1"/>
  <c r="P526" i="1"/>
  <c r="O526" i="1"/>
  <c r="R53" i="1"/>
  <c r="R49" i="1"/>
  <c r="P133" i="1"/>
  <c r="R133" i="1"/>
  <c r="Q280" i="1"/>
  <c r="S280" i="1" s="1"/>
  <c r="R171" i="1"/>
  <c r="O449" i="1"/>
  <c r="Q449" i="1" s="1"/>
  <c r="P449" i="1"/>
  <c r="S33" i="1"/>
  <c r="Q227" i="1"/>
  <c r="Q455" i="1"/>
  <c r="Q326" i="1"/>
  <c r="Q278" i="1"/>
  <c r="Q270" i="1"/>
  <c r="P692" i="1"/>
  <c r="S692" i="1" s="1"/>
  <c r="Q683" i="1"/>
  <c r="R708" i="1"/>
  <c r="Q708" i="1"/>
  <c r="P708" i="1"/>
  <c r="S708" i="1" s="1"/>
  <c r="R780" i="1"/>
  <c r="P661" i="1"/>
  <c r="O661" i="1"/>
  <c r="Q661" i="1" s="1"/>
  <c r="Q860" i="1"/>
  <c r="Q54" i="1"/>
  <c r="O53" i="1"/>
  <c r="R240" i="1"/>
  <c r="O309" i="1"/>
  <c r="P309" i="1" s="1"/>
  <c r="Q119" i="1"/>
  <c r="O330" i="1"/>
  <c r="R330" i="1" s="1"/>
  <c r="O234" i="1"/>
  <c r="R234" i="1" s="1"/>
  <c r="O359" i="1"/>
  <c r="Q359" i="1" s="1"/>
  <c r="R239" i="1"/>
  <c r="Q432" i="1"/>
  <c r="O35" i="1"/>
  <c r="Q35" i="1" s="1"/>
  <c r="P35" i="1"/>
  <c r="P30" i="1"/>
  <c r="O30" i="1"/>
  <c r="Q30" i="1" s="1"/>
  <c r="O57" i="1"/>
  <c r="P57" i="1"/>
  <c r="Q250" i="1"/>
  <c r="R250" i="1"/>
  <c r="O305" i="1"/>
  <c r="R305" i="1" s="1"/>
  <c r="O451" i="1"/>
  <c r="R451" i="1" s="1"/>
  <c r="P451" i="1"/>
  <c r="S717" i="1"/>
  <c r="Q547" i="1"/>
  <c r="O26" i="1"/>
  <c r="Q26" i="1" s="1"/>
  <c r="R51" i="1"/>
  <c r="O86" i="1"/>
  <c r="R86" i="1" s="1"/>
  <c r="P86" i="1"/>
  <c r="P197" i="1"/>
  <c r="O197" i="1"/>
  <c r="R197" i="1" s="1"/>
  <c r="R371" i="1"/>
  <c r="R127" i="1"/>
  <c r="O341" i="1"/>
  <c r="Q341" i="1" s="1"/>
  <c r="O407" i="1"/>
  <c r="Q407" i="1" s="1"/>
  <c r="O659" i="1"/>
  <c r="R659" i="1" s="1"/>
  <c r="P659" i="1"/>
  <c r="O481" i="1"/>
  <c r="P481" i="1"/>
  <c r="Q59" i="1"/>
  <c r="Q51" i="1"/>
  <c r="Q135" i="1"/>
  <c r="P135" i="1"/>
  <c r="S135" i="1" s="1"/>
  <c r="O88" i="1"/>
  <c r="P88" i="1"/>
  <c r="S88" i="1" s="1"/>
  <c r="O98" i="1"/>
  <c r="Q98" i="1" s="1"/>
  <c r="P98" i="1"/>
  <c r="P397" i="1"/>
  <c r="S397" i="1" s="1"/>
  <c r="R384" i="1"/>
  <c r="O482" i="1"/>
  <c r="O206" i="1"/>
  <c r="R206" i="1" s="1"/>
  <c r="P206" i="1"/>
  <c r="Q127" i="1"/>
  <c r="Q380" i="1"/>
  <c r="S380" i="1" s="1"/>
  <c r="S509" i="1"/>
  <c r="O184" i="1"/>
  <c r="P184" i="1" s="1"/>
  <c r="R778" i="1"/>
  <c r="Q778" i="1"/>
  <c r="S778" i="1" s="1"/>
  <c r="O422" i="1"/>
  <c r="P422" i="1"/>
  <c r="R723" i="1"/>
  <c r="P606" i="1"/>
  <c r="O606" i="1"/>
  <c r="R606" i="1" s="1"/>
  <c r="S844" i="1"/>
  <c r="R663" i="1"/>
  <c r="O552" i="1"/>
  <c r="Q552" i="1" s="1"/>
  <c r="P552" i="1"/>
  <c r="P892" i="1"/>
  <c r="S892" i="1" s="1"/>
  <c r="Q375" i="1"/>
  <c r="S790" i="1"/>
  <c r="R648" i="1"/>
  <c r="O881" i="1"/>
  <c r="O538" i="1"/>
  <c r="R131" i="1"/>
  <c r="P131" i="1"/>
  <c r="O149" i="1"/>
  <c r="P149" i="1" s="1"/>
  <c r="R43" i="1"/>
  <c r="S45" i="1"/>
  <c r="R139" i="1"/>
  <c r="P293" i="1"/>
  <c r="O293" i="1"/>
  <c r="R293" i="1" s="1"/>
  <c r="Q162" i="1"/>
  <c r="O168" i="1"/>
  <c r="P168" i="1"/>
  <c r="Q88" i="1"/>
  <c r="S191" i="1"/>
  <c r="O243" i="1"/>
  <c r="R378" i="1"/>
  <c r="O103" i="1"/>
  <c r="R103" i="1" s="1"/>
  <c r="O204" i="1"/>
  <c r="P204" i="1" s="1"/>
  <c r="O134" i="1"/>
  <c r="P134" i="1" s="1"/>
  <c r="O20" i="1"/>
  <c r="P20" i="1" s="1"/>
  <c r="R297" i="1"/>
  <c r="O394" i="1"/>
  <c r="O203" i="1"/>
  <c r="P203" i="1" s="1"/>
  <c r="S203" i="1" s="1"/>
  <c r="Q384" i="1"/>
  <c r="S384" i="1" s="1"/>
  <c r="Q355" i="1"/>
  <c r="O355" i="1"/>
  <c r="O78" i="1"/>
  <c r="Q78" i="1" s="1"/>
  <c r="Q163" i="1"/>
  <c r="O302" i="1"/>
  <c r="R302" i="1" s="1"/>
  <c r="R207" i="1"/>
  <c r="Q363" i="1"/>
  <c r="Q131" i="1"/>
  <c r="Q97" i="1"/>
  <c r="Q306" i="1"/>
  <c r="O127" i="1"/>
  <c r="P127" i="1"/>
  <c r="Q657" i="1"/>
  <c r="R82" i="1"/>
  <c r="Q815" i="1"/>
  <c r="O762" i="1"/>
  <c r="R762" i="1" s="1"/>
  <c r="P762" i="1"/>
  <c r="Q560" i="1"/>
  <c r="Q731" i="1"/>
  <c r="R356" i="1"/>
  <c r="Q681" i="1"/>
  <c r="R511" i="1"/>
  <c r="O511" i="1"/>
  <c r="O625" i="1"/>
  <c r="R625" i="1" s="1"/>
  <c r="R428" i="1"/>
  <c r="Q428" i="1"/>
  <c r="P428" i="1"/>
  <c r="R850" i="1"/>
  <c r="O523" i="1"/>
  <c r="P523" i="1"/>
  <c r="Q773" i="1"/>
  <c r="Q663" i="1"/>
  <c r="S663" i="1" s="1"/>
  <c r="S561" i="1"/>
  <c r="S565" i="1"/>
  <c r="Q790" i="1"/>
  <c r="R790" i="1"/>
  <c r="O604" i="1"/>
  <c r="P604" i="1" s="1"/>
  <c r="O648" i="1"/>
  <c r="P648" i="1" s="1"/>
  <c r="Q469" i="1"/>
  <c r="S469" i="1" s="1"/>
  <c r="R469" i="1"/>
  <c r="Q620" i="1"/>
  <c r="O585" i="1"/>
  <c r="R585" i="1" s="1"/>
  <c r="R800" i="1"/>
  <c r="S702" i="1"/>
  <c r="O823" i="1"/>
  <c r="R823" i="1" s="1"/>
  <c r="S646" i="1"/>
  <c r="O642" i="1"/>
  <c r="R642" i="1" s="1"/>
  <c r="O838" i="1"/>
  <c r="R838" i="1" s="1"/>
  <c r="P838" i="1"/>
  <c r="S838" i="1" s="1"/>
  <c r="O752" i="1"/>
  <c r="P752" i="1"/>
  <c r="Q513" i="1"/>
  <c r="Q501" i="1"/>
  <c r="O732" i="1"/>
  <c r="P732" i="1"/>
  <c r="S732" i="1" s="1"/>
  <c r="O801" i="1"/>
  <c r="P801" i="1"/>
  <c r="O65" i="1"/>
  <c r="Q65" i="1" s="1"/>
  <c r="Q165" i="1"/>
  <c r="O202" i="1"/>
  <c r="P202" i="1" s="1"/>
  <c r="S202" i="1" s="1"/>
  <c r="O144" i="1"/>
  <c r="P144" i="1" s="1"/>
  <c r="O249" i="1"/>
  <c r="Q249" i="1" s="1"/>
  <c r="P249" i="1"/>
  <c r="Q171" i="1"/>
  <c r="Q390" i="1"/>
  <c r="O352" i="1"/>
  <c r="R231" i="1"/>
  <c r="O358" i="1"/>
  <c r="P358" i="1"/>
  <c r="O308" i="1"/>
  <c r="R308" i="1" s="1"/>
  <c r="R287" i="1"/>
  <c r="P287" i="1"/>
  <c r="O593" i="1"/>
  <c r="Q593" i="1" s="1"/>
  <c r="R85" i="1"/>
  <c r="P765" i="1"/>
  <c r="S765" i="1" s="1"/>
  <c r="R765" i="1"/>
  <c r="O758" i="1"/>
  <c r="Q758" i="1" s="1"/>
  <c r="O472" i="1"/>
  <c r="R472" i="1" s="1"/>
  <c r="P472" i="1"/>
  <c r="R788" i="1"/>
  <c r="O448" i="1"/>
  <c r="Q448" i="1" s="1"/>
  <c r="P448" i="1"/>
  <c r="O809" i="1"/>
  <c r="R809" i="1" s="1"/>
  <c r="P809" i="1"/>
  <c r="O674" i="1"/>
  <c r="R674" i="1" s="1"/>
  <c r="P674" i="1"/>
  <c r="R661" i="1"/>
  <c r="S874" i="1"/>
  <c r="O814" i="1"/>
  <c r="R814" i="1" s="1"/>
  <c r="Q79" i="1"/>
  <c r="O79" i="1"/>
  <c r="P79" i="1" s="1"/>
  <c r="O192" i="1"/>
  <c r="P192" i="1" s="1"/>
  <c r="S192" i="1" s="1"/>
  <c r="P111" i="1"/>
  <c r="O111" i="1"/>
  <c r="R111" i="1" s="1"/>
  <c r="O52" i="1"/>
  <c r="P52" i="1" s="1"/>
  <c r="R268" i="1"/>
  <c r="R220" i="1"/>
  <c r="Q354" i="1"/>
  <c r="R574" i="1"/>
  <c r="Q85" i="1"/>
  <c r="Q618" i="1"/>
  <c r="O618" i="1"/>
  <c r="P618" i="1" s="1"/>
  <c r="O707" i="1"/>
  <c r="Q707" i="1" s="1"/>
  <c r="P707" i="1"/>
  <c r="Q852" i="1"/>
  <c r="R675" i="1"/>
  <c r="Q885" i="1"/>
  <c r="O395" i="1"/>
  <c r="Q395" i="1" s="1"/>
  <c r="R424" i="1"/>
  <c r="R16" i="1"/>
  <c r="R23" i="1"/>
  <c r="R25" i="1"/>
  <c r="R309" i="1"/>
  <c r="O225" i="1"/>
  <c r="Q225" i="1" s="1"/>
  <c r="R258" i="1"/>
  <c r="O268" i="1"/>
  <c r="Q268" i="1" s="1"/>
  <c r="P268" i="1"/>
  <c r="O220" i="1"/>
  <c r="Q220" i="1" s="1"/>
  <c r="P220" i="1"/>
  <c r="Q285" i="1"/>
  <c r="Q239" i="1"/>
  <c r="S239" i="1" s="1"/>
  <c r="O194" i="1"/>
  <c r="R194" i="1" s="1"/>
  <c r="P194" i="1"/>
  <c r="S194" i="1" s="1"/>
  <c r="O438" i="1"/>
  <c r="P438" i="1"/>
  <c r="O334" i="1"/>
  <c r="P334" i="1" s="1"/>
  <c r="S334" i="1" s="1"/>
  <c r="O632" i="1"/>
  <c r="Q632" i="1" s="1"/>
  <c r="P632" i="1"/>
  <c r="R795" i="1"/>
  <c r="O680" i="1"/>
  <c r="R680" i="1" s="1"/>
  <c r="P680" i="1"/>
  <c r="Q508" i="1"/>
  <c r="S799" i="1"/>
  <c r="R435" i="1"/>
  <c r="R707" i="1"/>
  <c r="O527" i="1"/>
  <c r="R527" i="1" s="1"/>
  <c r="Q400" i="1"/>
  <c r="R580" i="1"/>
  <c r="R99" i="1"/>
  <c r="Q23" i="1"/>
  <c r="Q133" i="1"/>
  <c r="R195" i="1"/>
  <c r="O132" i="1"/>
  <c r="P132" i="1" s="1"/>
  <c r="O18" i="1"/>
  <c r="Q18" i="1" s="1"/>
  <c r="P18" i="1"/>
  <c r="R225" i="1"/>
  <c r="R280" i="1"/>
  <c r="S311" i="1"/>
  <c r="Q218" i="1"/>
  <c r="S218" i="1" s="1"/>
  <c r="Q319" i="1"/>
  <c r="O319" i="1"/>
  <c r="P319" i="1" s="1"/>
  <c r="O446" i="1"/>
  <c r="R446" i="1" s="1"/>
  <c r="P446" i="1"/>
  <c r="R438" i="1"/>
  <c r="O114" i="1"/>
  <c r="P114" i="1"/>
  <c r="S114" i="1" s="1"/>
  <c r="O72" i="1"/>
  <c r="Q72" i="1" s="1"/>
  <c r="P72" i="1"/>
  <c r="Q69" i="1"/>
  <c r="O146" i="1"/>
  <c r="Q146" i="1" s="1"/>
  <c r="O236" i="1"/>
  <c r="P236" i="1" s="1"/>
  <c r="O347" i="1"/>
  <c r="Q347" i="1" s="1"/>
  <c r="P347" i="1"/>
  <c r="R373" i="1"/>
  <c r="Q756" i="1"/>
  <c r="O492" i="1"/>
  <c r="P492" i="1" s="1"/>
  <c r="R137" i="1"/>
  <c r="O124" i="1"/>
  <c r="S36" i="1"/>
  <c r="Q87" i="1"/>
  <c r="O40" i="1"/>
  <c r="P40" i="1" s="1"/>
  <c r="S40" i="1" s="1"/>
  <c r="O283" i="1"/>
  <c r="P283" i="1" s="1"/>
  <c r="R357" i="1"/>
  <c r="O381" i="1"/>
  <c r="Q381" i="1" s="1"/>
  <c r="O295" i="1"/>
  <c r="R295" i="1" s="1"/>
  <c r="P295" i="1"/>
  <c r="Q535" i="1"/>
  <c r="P535" i="1"/>
  <c r="S535" i="1" s="1"/>
  <c r="R551" i="1"/>
  <c r="R441" i="1"/>
  <c r="R657" i="1"/>
  <c r="O264" i="1"/>
  <c r="Q422" i="1"/>
  <c r="Q605" i="1"/>
  <c r="O904" i="1"/>
  <c r="S908" i="1"/>
  <c r="O38" i="1"/>
  <c r="R38" i="1" s="1"/>
  <c r="Q143" i="1"/>
  <c r="R159" i="1"/>
  <c r="Q89" i="1"/>
  <c r="R89" i="1"/>
  <c r="P89" i="1"/>
  <c r="S89" i="1" s="1"/>
  <c r="O108" i="1"/>
  <c r="P108" i="1" s="1"/>
  <c r="R397" i="1"/>
  <c r="P351" i="1"/>
  <c r="Q304" i="1"/>
  <c r="O207" i="1"/>
  <c r="Q207" i="1" s="1"/>
  <c r="O537" i="1"/>
  <c r="Q537" i="1" s="1"/>
  <c r="R105" i="1"/>
  <c r="P105" i="1"/>
  <c r="P657" i="1"/>
  <c r="S657" i="1" s="1"/>
  <c r="O657" i="1"/>
  <c r="S179" i="1"/>
  <c r="O356" i="1"/>
  <c r="Q356" i="1" s="1"/>
  <c r="R681" i="1"/>
  <c r="Q625" i="1"/>
  <c r="R412" i="1"/>
  <c r="Q412" i="1"/>
  <c r="Q523" i="1"/>
  <c r="Q869" i="1"/>
  <c r="P514" i="1"/>
  <c r="S514" i="1" s="1"/>
  <c r="O514" i="1"/>
  <c r="O563" i="1"/>
  <c r="Q563" i="1" s="1"/>
  <c r="P563" i="1"/>
  <c r="R908" i="1"/>
  <c r="Q908" i="1"/>
  <c r="Q792" i="1"/>
  <c r="Q637" i="1"/>
  <c r="Q36" i="1"/>
  <c r="R34" i="1"/>
  <c r="R22" i="1"/>
  <c r="O61" i="1"/>
  <c r="P61" i="1"/>
  <c r="O152" i="1"/>
  <c r="P152" i="1"/>
  <c r="O15" i="1"/>
  <c r="Q15" i="1" s="1"/>
  <c r="P15" i="1"/>
  <c r="Q159" i="1"/>
  <c r="O139" i="1"/>
  <c r="P139" i="1" s="1"/>
  <c r="S139" i="1" s="1"/>
  <c r="O140" i="1"/>
  <c r="R140" i="1" s="1"/>
  <c r="R245" i="1"/>
  <c r="Q175" i="1"/>
  <c r="O265" i="1"/>
  <c r="P265" i="1" s="1"/>
  <c r="O378" i="1"/>
  <c r="Q378" i="1" s="1"/>
  <c r="P378" i="1"/>
  <c r="S378" i="1" s="1"/>
  <c r="Q209" i="1"/>
  <c r="P158" i="1"/>
  <c r="R158" i="1"/>
  <c r="P55" i="1"/>
  <c r="O55" i="1"/>
  <c r="R55" i="1" s="1"/>
  <c r="R115" i="1"/>
  <c r="P115" i="1"/>
  <c r="S115" i="1" s="1"/>
  <c r="O413" i="1"/>
  <c r="Q413" i="1"/>
  <c r="R203" i="1"/>
  <c r="R50" i="1"/>
  <c r="Q50" i="1"/>
  <c r="P50" i="1"/>
  <c r="R403" i="1"/>
  <c r="R365" i="1"/>
  <c r="Q153" i="1"/>
  <c r="Q84" i="1"/>
  <c r="P344" i="1"/>
  <c r="R97" i="1"/>
  <c r="R306" i="1"/>
  <c r="Q760" i="1"/>
  <c r="Q246" i="1"/>
  <c r="R528" i="1"/>
  <c r="Q423" i="1"/>
  <c r="O222" i="1"/>
  <c r="Q222" i="1" s="1"/>
  <c r="P566" i="1"/>
  <c r="S566" i="1" s="1"/>
  <c r="O815" i="1"/>
  <c r="R815" i="1" s="1"/>
  <c r="P815" i="1"/>
  <c r="Q712" i="1"/>
  <c r="R521" i="1"/>
  <c r="S608" i="1"/>
  <c r="O560" i="1"/>
  <c r="P560" i="1"/>
  <c r="P749" i="1"/>
  <c r="R749" i="1"/>
  <c r="Q749" i="1"/>
  <c r="Q562" i="1"/>
  <c r="S562" i="1" s="1"/>
  <c r="R562" i="1"/>
  <c r="R704" i="1"/>
  <c r="Q733" i="1"/>
  <c r="R733" i="1"/>
  <c r="P733" i="1"/>
  <c r="S733" i="1" s="1"/>
  <c r="Q694" i="1"/>
  <c r="O433" i="1"/>
  <c r="P433" i="1" s="1"/>
  <c r="S433" i="1" s="1"/>
  <c r="R785" i="1"/>
  <c r="Q850" i="1"/>
  <c r="S850" i="1" s="1"/>
  <c r="R523" i="1"/>
  <c r="O773" i="1"/>
  <c r="R773" i="1" s="1"/>
  <c r="P773" i="1"/>
  <c r="R110" i="1"/>
  <c r="Q774" i="1"/>
  <c r="S774" i="1" s="1"/>
  <c r="O375" i="1"/>
  <c r="R375" i="1" s="1"/>
  <c r="P375" i="1"/>
  <c r="O160" i="1"/>
  <c r="Q160" i="1" s="1"/>
  <c r="R567" i="1"/>
  <c r="R746" i="1"/>
  <c r="O753" i="1"/>
  <c r="Q753" i="1" s="1"/>
  <c r="O620" i="1"/>
  <c r="P620" i="1" s="1"/>
  <c r="R621" i="1"/>
  <c r="O901" i="1"/>
  <c r="R901" i="1" s="1"/>
  <c r="P901" i="1"/>
  <c r="P332" i="1"/>
  <c r="S332" i="1" s="1"/>
  <c r="Q332" i="1"/>
  <c r="O649" i="1"/>
  <c r="R649" i="1" s="1"/>
  <c r="P649" i="1"/>
  <c r="O909" i="1"/>
  <c r="P909" i="1"/>
  <c r="S909" i="1" s="1"/>
  <c r="Q804" i="1"/>
  <c r="S804" i="1" s="1"/>
  <c r="O464" i="1"/>
  <c r="P464" i="1" s="1"/>
  <c r="O767" i="1"/>
  <c r="P767" i="1" s="1"/>
  <c r="R732" i="1"/>
  <c r="O771" i="1"/>
  <c r="R771" i="1" s="1"/>
  <c r="P771" i="1"/>
  <c r="R727" i="1"/>
  <c r="O789" i="1"/>
  <c r="R789" i="1" s="1"/>
  <c r="P789" i="1"/>
  <c r="R631" i="1"/>
  <c r="R321" i="1"/>
  <c r="O547" i="1"/>
  <c r="R547" i="1" s="1"/>
  <c r="O716" i="1"/>
  <c r="R716" i="1" s="1"/>
  <c r="P716" i="1"/>
  <c r="O387" i="1"/>
  <c r="R387" i="1" s="1"/>
  <c r="Q902" i="1"/>
  <c r="O633" i="1"/>
  <c r="Q633" i="1" s="1"/>
  <c r="P880" i="1"/>
  <c r="Q880" i="1"/>
  <c r="S775" i="1"/>
  <c r="O860" i="1"/>
  <c r="P860" i="1" s="1"/>
  <c r="S860" i="1" s="1"/>
  <c r="R791" i="1"/>
  <c r="Q464" i="1"/>
  <c r="Q678" i="1"/>
  <c r="S678" i="1" s="1"/>
  <c r="Q483" i="1"/>
  <c r="Q689" i="1"/>
  <c r="Q840" i="1"/>
  <c r="R854" i="1"/>
  <c r="R801" i="1"/>
  <c r="R238" i="1"/>
  <c r="O363" i="1"/>
  <c r="P363" i="1" s="1"/>
  <c r="Q190" i="1"/>
  <c r="O371" i="1"/>
  <c r="Q371" i="1" s="1"/>
  <c r="P371" i="1"/>
  <c r="Q408" i="1"/>
  <c r="O522" i="1"/>
  <c r="P522" i="1"/>
  <c r="R444" i="1"/>
  <c r="O126" i="1"/>
  <c r="Q126" i="1" s="1"/>
  <c r="R358" i="1"/>
  <c r="R398" i="1"/>
  <c r="P364" i="1"/>
  <c r="O364" i="1"/>
  <c r="Q364" i="1" s="1"/>
  <c r="O503" i="1"/>
  <c r="R503" i="1" s="1"/>
  <c r="R326" i="1"/>
  <c r="Q334" i="1"/>
  <c r="Q671" i="1"/>
  <c r="O671" i="1"/>
  <c r="P671" i="1" s="1"/>
  <c r="R90" i="1"/>
  <c r="Q505" i="1"/>
  <c r="O505" i="1"/>
  <c r="P505" i="1" s="1"/>
  <c r="R712" i="1"/>
  <c r="O154" i="1"/>
  <c r="Q154" i="1" s="1"/>
  <c r="P154" i="1"/>
  <c r="O489" i="1"/>
  <c r="R489" i="1" s="1"/>
  <c r="Q303" i="1"/>
  <c r="R303" i="1"/>
  <c r="S303" i="1" s="1"/>
  <c r="O545" i="1"/>
  <c r="R545" i="1" s="1"/>
  <c r="O710" i="1"/>
  <c r="R710" i="1" s="1"/>
  <c r="Q471" i="1"/>
  <c r="Q589" i="1"/>
  <c r="O518" i="1"/>
  <c r="P518" i="1" s="1"/>
  <c r="O629" i="1"/>
  <c r="R629" i="1" s="1"/>
  <c r="P629" i="1"/>
  <c r="R694" i="1"/>
  <c r="O270" i="1"/>
  <c r="R270" i="1" s="1"/>
  <c r="P270" i="1"/>
  <c r="O425" i="1"/>
  <c r="Q425" i="1" s="1"/>
  <c r="O869" i="1"/>
  <c r="R869" i="1" s="1"/>
  <c r="P869" i="1"/>
  <c r="O478" i="1"/>
  <c r="P478" i="1" s="1"/>
  <c r="R14" i="1"/>
  <c r="R448" i="1"/>
  <c r="Q597" i="1"/>
  <c r="R456" i="1"/>
  <c r="S456" i="1" s="1"/>
  <c r="Q810" i="1"/>
  <c r="R822" i="1"/>
  <c r="S592" i="1"/>
  <c r="S884" i="1"/>
  <c r="O675" i="1"/>
  <c r="Q675" i="1" s="1"/>
  <c r="P675" i="1"/>
  <c r="S675" i="1" s="1"/>
  <c r="O841" i="1"/>
  <c r="R841" i="1" s="1"/>
  <c r="P841" i="1"/>
  <c r="R492" i="1"/>
  <c r="R719" i="1"/>
  <c r="R885" i="1"/>
  <c r="Q504" i="1"/>
  <c r="Q554" i="1"/>
  <c r="R530" i="1"/>
  <c r="O686" i="1"/>
  <c r="P686" i="1" s="1"/>
  <c r="O513" i="1"/>
  <c r="P513" i="1" s="1"/>
  <c r="S513" i="1" s="1"/>
  <c r="P796" i="1"/>
  <c r="S796" i="1" s="1"/>
  <c r="O796" i="1"/>
  <c r="Q796" i="1" s="1"/>
  <c r="R550" i="1"/>
  <c r="Q732" i="1"/>
  <c r="R889" i="1"/>
  <c r="Q771" i="1"/>
  <c r="Q99" i="1"/>
  <c r="S99" i="1" s="1"/>
  <c r="Q22" i="1"/>
  <c r="P143" i="1"/>
  <c r="S143" i="1" s="1"/>
  <c r="O143" i="1"/>
  <c r="R143" i="1" s="1"/>
  <c r="O51" i="1"/>
  <c r="P51" i="1"/>
  <c r="O159" i="1"/>
  <c r="P159" i="1" s="1"/>
  <c r="S159" i="1" s="1"/>
  <c r="O80" i="1"/>
  <c r="Q80" i="1" s="1"/>
  <c r="P80" i="1"/>
  <c r="S109" i="1"/>
  <c r="O87" i="1"/>
  <c r="P87" i="1"/>
  <c r="O47" i="1"/>
  <c r="R47" i="1" s="1"/>
  <c r="P47" i="1"/>
  <c r="Q40" i="1"/>
  <c r="Q139" i="1"/>
  <c r="Q293" i="1"/>
  <c r="Q70" i="1"/>
  <c r="Q13" i="1"/>
  <c r="R141" i="1"/>
  <c r="Q275" i="1"/>
  <c r="O275" i="1"/>
  <c r="O187" i="1"/>
  <c r="P187" i="1"/>
  <c r="S187" i="1" s="1"/>
  <c r="O147" i="1"/>
  <c r="Q147" i="1" s="1"/>
  <c r="R290" i="1"/>
  <c r="O166" i="1"/>
  <c r="R166" i="1" s="1"/>
  <c r="P166" i="1"/>
  <c r="R277" i="1"/>
  <c r="Q216" i="1"/>
  <c r="S216" i="1" s="1"/>
  <c r="Q188" i="1"/>
  <c r="O297" i="1"/>
  <c r="Q297" i="1" s="1"/>
  <c r="Q357" i="1"/>
  <c r="O357" i="1"/>
  <c r="P357" i="1" s="1"/>
  <c r="O314" i="1"/>
  <c r="Q314" i="1" s="1"/>
  <c r="P314" i="1"/>
  <c r="R304" i="1"/>
  <c r="O325" i="1"/>
  <c r="Q325" i="1" s="1"/>
  <c r="P325" i="1"/>
  <c r="O490" i="1"/>
  <c r="P490" i="1"/>
  <c r="Q230" i="1"/>
  <c r="Q267" i="1"/>
  <c r="Q261" i="1"/>
  <c r="S261" i="1" s="1"/>
  <c r="R420" i="1"/>
  <c r="O281" i="1"/>
  <c r="R281" i="1" s="1"/>
  <c r="Q573" i="1"/>
  <c r="Q296" i="1"/>
  <c r="O129" i="1"/>
  <c r="R129" i="1" s="1"/>
  <c r="P129" i="1"/>
  <c r="P410" i="1"/>
  <c r="O410" i="1"/>
  <c r="O215" i="1"/>
  <c r="Q215" i="1" s="1"/>
  <c r="P215" i="1"/>
  <c r="O354" i="1"/>
  <c r="R354" i="1" s="1"/>
  <c r="P354" i="1"/>
  <c r="S406" i="1"/>
  <c r="P82" i="1"/>
  <c r="O82" i="1"/>
  <c r="P549" i="1"/>
  <c r="S549" i="1" s="1"/>
  <c r="O246" i="1"/>
  <c r="R246" i="1" s="1"/>
  <c r="P246" i="1"/>
  <c r="Q525" i="1"/>
  <c r="R687" i="1"/>
  <c r="R556" i="1"/>
  <c r="R257" i="1"/>
  <c r="P254" i="1"/>
  <c r="Q254" i="1"/>
  <c r="O638" i="1"/>
  <c r="R638" i="1" s="1"/>
  <c r="R818" i="1"/>
  <c r="S818" i="1" s="1"/>
  <c r="Q766" i="1"/>
  <c r="R546" i="1"/>
  <c r="P677" i="1"/>
  <c r="S677" i="1" s="1"/>
  <c r="Q793" i="1"/>
  <c r="R706" i="1"/>
  <c r="Q706" i="1"/>
  <c r="S706" i="1" s="1"/>
  <c r="R673" i="1"/>
  <c r="R855" i="1"/>
  <c r="R458" i="1"/>
  <c r="R698" i="1"/>
  <c r="O110" i="1"/>
  <c r="Q110" i="1" s="1"/>
  <c r="P110" i="1"/>
  <c r="O583" i="1"/>
  <c r="R494" i="1"/>
  <c r="R254" i="1"/>
  <c r="O591" i="1"/>
  <c r="Q591" i="1" s="1"/>
  <c r="Q450" i="1"/>
  <c r="R604" i="1"/>
  <c r="Q502" i="1"/>
  <c r="Q730" i="1"/>
  <c r="R544" i="1"/>
  <c r="S836" i="1"/>
  <c r="R572" i="1"/>
  <c r="R808" i="1"/>
  <c r="O870" i="1"/>
  <c r="R870" i="1" s="1"/>
  <c r="P870" i="1"/>
  <c r="Q684" i="1"/>
  <c r="Q780" i="1"/>
  <c r="R569" i="1"/>
  <c r="P737" i="1"/>
  <c r="O737" i="1"/>
  <c r="R737" i="1" s="1"/>
  <c r="Q905" i="1"/>
  <c r="S812" i="1"/>
  <c r="O886" i="1"/>
  <c r="P886" i="1" s="1"/>
  <c r="O700" i="1"/>
  <c r="P700" i="1" s="1"/>
  <c r="Q871" i="1"/>
  <c r="R578" i="1"/>
  <c r="O783" i="1"/>
  <c r="R783" i="1" s="1"/>
  <c r="P783" i="1"/>
  <c r="R696" i="1"/>
  <c r="O676" i="1"/>
  <c r="R676" i="1" s="1"/>
  <c r="P676" i="1"/>
  <c r="O830" i="1"/>
  <c r="P830" i="1" s="1"/>
  <c r="S830" i="1" s="1"/>
  <c r="Q185" i="1"/>
  <c r="O97" i="1"/>
  <c r="P97" i="1"/>
  <c r="O296" i="1"/>
  <c r="P296" i="1" s="1"/>
  <c r="Q441" i="1"/>
  <c r="S441" i="1" s="1"/>
  <c r="O485" i="1"/>
  <c r="R485" i="1" s="1"/>
  <c r="P485" i="1"/>
  <c r="Q82" i="1"/>
  <c r="O389" i="1"/>
  <c r="R389" i="1" s="1"/>
  <c r="O525" i="1"/>
  <c r="R525" i="1" s="1"/>
  <c r="P525" i="1"/>
  <c r="Q564" i="1"/>
  <c r="S564" i="1" s="1"/>
  <c r="R564" i="1"/>
  <c r="Q687" i="1"/>
  <c r="Q556" i="1"/>
  <c r="O720" i="1"/>
  <c r="R720" i="1" s="1"/>
  <c r="Q257" i="1"/>
  <c r="R593" i="1"/>
  <c r="O348" i="1"/>
  <c r="P348" i="1" s="1"/>
  <c r="Q602" i="1"/>
  <c r="S759" i="1"/>
  <c r="Q641" i="1"/>
  <c r="Q818" i="1"/>
  <c r="P601" i="1"/>
  <c r="O601" i="1"/>
  <c r="R601" i="1" s="1"/>
  <c r="O766" i="1"/>
  <c r="R766" i="1" s="1"/>
  <c r="P766" i="1"/>
  <c r="P546" i="1"/>
  <c r="O546" i="1"/>
  <c r="Q546" i="1" s="1"/>
  <c r="O826" i="1"/>
  <c r="Q826" i="1" s="1"/>
  <c r="P826" i="1"/>
  <c r="Q805" i="1"/>
  <c r="Q606" i="1"/>
  <c r="Q821" i="1"/>
  <c r="Q673" i="1"/>
  <c r="Q855" i="1"/>
  <c r="Q366" i="1"/>
  <c r="R366" i="1"/>
  <c r="P494" i="1"/>
  <c r="S494" i="1" s="1"/>
  <c r="O494" i="1"/>
  <c r="Q494" i="1" s="1"/>
  <c r="R259" i="1"/>
  <c r="R603" i="1"/>
  <c r="R450" i="1"/>
  <c r="R665" i="1"/>
  <c r="P502" i="1"/>
  <c r="S502" i="1" s="1"/>
  <c r="O502" i="1"/>
  <c r="R502" i="1" s="1"/>
  <c r="O581" i="1"/>
  <c r="Q581" i="1" s="1"/>
  <c r="P581" i="1"/>
  <c r="O333" i="1"/>
  <c r="R333" i="1" s="1"/>
  <c r="O763" i="1"/>
  <c r="Q763" i="1" s="1"/>
  <c r="O840" i="1"/>
  <c r="R840" i="1" s="1"/>
  <c r="P840" i="1"/>
  <c r="Q515" i="1"/>
  <c r="O571" i="1"/>
  <c r="Q571" i="1" s="1"/>
  <c r="P571" i="1"/>
  <c r="Q809" i="1"/>
  <c r="O516" i="1"/>
  <c r="R516" i="1" s="1"/>
  <c r="O780" i="1"/>
  <c r="P780" i="1"/>
  <c r="O569" i="1"/>
  <c r="Q569" i="1" s="1"/>
  <c r="P569" i="1"/>
  <c r="O905" i="1"/>
  <c r="R905" i="1" s="1"/>
  <c r="O510" i="1"/>
  <c r="Q510" i="1" s="1"/>
  <c r="Q838" i="1"/>
  <c r="R555" i="1"/>
  <c r="O721" i="1"/>
  <c r="P721" i="1" s="1"/>
  <c r="R700" i="1"/>
  <c r="P722" i="1"/>
  <c r="O722" i="1"/>
  <c r="R722" i="1" s="1"/>
  <c r="Q696" i="1"/>
  <c r="R830" i="1"/>
  <c r="P534" i="1"/>
  <c r="O534" i="1"/>
  <c r="R534" i="1" s="1"/>
  <c r="O596" i="1"/>
  <c r="Q596" i="1" s="1"/>
  <c r="P596" i="1"/>
  <c r="Q798" i="1"/>
  <c r="S798" i="1" s="1"/>
  <c r="Q580" i="1"/>
  <c r="S580" i="1" s="1"/>
  <c r="R798" i="1"/>
  <c r="O896" i="1"/>
  <c r="R896" i="1" s="1"/>
  <c r="P896" i="1"/>
  <c r="O738" i="1"/>
  <c r="P738" i="1"/>
  <c r="O588" i="1"/>
  <c r="Q588" i="1" s="1"/>
  <c r="P588" i="1"/>
  <c r="O740" i="1"/>
  <c r="Q740" i="1" s="1"/>
  <c r="O907" i="1"/>
  <c r="R907" i="1" s="1"/>
  <c r="O894" i="1"/>
  <c r="Q894" i="1" s="1"/>
  <c r="Q599" i="1"/>
  <c r="O846" i="1"/>
  <c r="R846" i="1" s="1"/>
  <c r="O715" i="1"/>
  <c r="R715" i="1" s="1"/>
  <c r="P715" i="1"/>
  <c r="O118" i="1"/>
  <c r="R118" i="1" s="1"/>
  <c r="O12" i="1"/>
  <c r="R12" i="1" s="1"/>
  <c r="O213" i="1"/>
  <c r="R213" i="1" s="1"/>
  <c r="P213" i="1"/>
  <c r="R123" i="1"/>
  <c r="O71" i="1"/>
  <c r="Q71" i="1" s="1"/>
  <c r="O174" i="1"/>
  <c r="Q174" i="1" s="1"/>
  <c r="P174" i="1"/>
  <c r="S360" i="1"/>
  <c r="O232" i="1"/>
  <c r="P232" i="1" s="1"/>
  <c r="R168" i="1"/>
  <c r="R349" i="1"/>
  <c r="S349" i="1" s="1"/>
  <c r="O119" i="1"/>
  <c r="P119" i="1"/>
  <c r="P318" i="1"/>
  <c r="O318" i="1"/>
  <c r="O434" i="1"/>
  <c r="Q434" i="1"/>
  <c r="O76" i="1"/>
  <c r="Q76" i="1" s="1"/>
  <c r="R315" i="1"/>
  <c r="R78" i="1"/>
  <c r="S288" i="1"/>
  <c r="R289" i="1"/>
  <c r="Q289" i="1"/>
  <c r="Q286" i="1"/>
  <c r="R414" i="1"/>
  <c r="R233" i="1"/>
  <c r="R338" i="1"/>
  <c r="Q206" i="1"/>
  <c r="R477" i="1"/>
  <c r="O266" i="1"/>
  <c r="R266" i="1" s="1"/>
  <c r="P266" i="1"/>
  <c r="R442" i="1"/>
  <c r="O262" i="1"/>
  <c r="P262" i="1"/>
  <c r="Q582" i="1"/>
  <c r="O377" i="1"/>
  <c r="Q377" i="1" s="1"/>
  <c r="O528" i="1"/>
  <c r="Q528" i="1" s="1"/>
  <c r="P528" i="1"/>
  <c r="S419" i="1"/>
  <c r="O743" i="1"/>
  <c r="Q743" i="1" s="1"/>
  <c r="O440" i="1"/>
  <c r="P440" i="1" s="1"/>
  <c r="R717" i="1"/>
  <c r="Q717" i="1"/>
  <c r="Q574" i="1"/>
  <c r="S574" i="1" s="1"/>
  <c r="S664" i="1"/>
  <c r="O219" i="1"/>
  <c r="P219" i="1" s="1"/>
  <c r="R628" i="1"/>
  <c r="R568" i="1"/>
  <c r="O691" i="1"/>
  <c r="Q691" i="1" s="1"/>
  <c r="P691" i="1"/>
  <c r="Q831" i="1"/>
  <c r="R433" i="1"/>
  <c r="O610" i="1"/>
  <c r="R610" i="1" s="1"/>
  <c r="O776" i="1"/>
  <c r="P776" i="1" s="1"/>
  <c r="Q834" i="1"/>
  <c r="S834" i="1" s="1"/>
  <c r="O391" i="1"/>
  <c r="R391" i="1" s="1"/>
  <c r="Q736" i="1"/>
  <c r="Q514" i="1"/>
  <c r="R634" i="1"/>
  <c r="O607" i="1"/>
  <c r="Q607" i="1" s="1"/>
  <c r="Q517" i="1"/>
  <c r="S517" i="1" s="1"/>
  <c r="S613" i="1"/>
  <c r="O857" i="1"/>
  <c r="P857" i="1" s="1"/>
  <c r="O662" i="1"/>
  <c r="P662" i="1"/>
  <c r="O852" i="1"/>
  <c r="R852" i="1" s="1"/>
  <c r="O180" i="1"/>
  <c r="R180" i="1" s="1"/>
  <c r="P180" i="1"/>
  <c r="S806" i="1"/>
  <c r="R845" i="1"/>
  <c r="R443" i="1"/>
  <c r="R475" i="1"/>
  <c r="O586" i="1"/>
  <c r="P586" i="1" s="1"/>
  <c r="S803" i="1"/>
  <c r="O497" i="1"/>
  <c r="Q497" i="1" s="1"/>
  <c r="P497" i="1"/>
  <c r="R909" i="1"/>
  <c r="S576" i="1"/>
  <c r="Q738" i="1"/>
  <c r="O855" i="1"/>
  <c r="P855" i="1" s="1"/>
  <c r="R588" i="1"/>
  <c r="Q866" i="1"/>
  <c r="R752" i="1"/>
  <c r="Q906" i="1"/>
  <c r="R740" i="1"/>
  <c r="P599" i="1"/>
  <c r="O599" i="1"/>
  <c r="R599" i="1" s="1"/>
  <c r="O755" i="1"/>
  <c r="P755" i="1" s="1"/>
  <c r="O475" i="1"/>
  <c r="Q475" i="1" s="1"/>
  <c r="P475" i="1"/>
  <c r="Q755" i="1"/>
  <c r="Q39" i="1"/>
  <c r="O37" i="1"/>
  <c r="Q37" i="1"/>
  <c r="R65" i="1"/>
  <c r="O27" i="1"/>
  <c r="Q27" i="1" s="1"/>
  <c r="O17" i="1"/>
  <c r="R17" i="1" s="1"/>
  <c r="P17" i="1"/>
  <c r="R28" i="1"/>
  <c r="O39" i="1"/>
  <c r="P39" i="1" s="1"/>
  <c r="R79" i="1"/>
  <c r="Q49" i="1"/>
  <c r="O31" i="1"/>
  <c r="Q31" i="1" s="1"/>
  <c r="P31" i="1"/>
  <c r="R24" i="1"/>
  <c r="Q24" i="1"/>
  <c r="S24" i="1" s="1"/>
  <c r="Q123" i="1"/>
  <c r="S123" i="1" s="1"/>
  <c r="R102" i="1"/>
  <c r="R232" i="1"/>
  <c r="O19" i="1"/>
  <c r="R19" i="1" s="1"/>
  <c r="P19" i="1"/>
  <c r="Q168" i="1"/>
  <c r="R88" i="1"/>
  <c r="R177" i="1"/>
  <c r="Q349" i="1"/>
  <c r="R119" i="1"/>
  <c r="O217" i="1"/>
  <c r="R217" i="1" s="1"/>
  <c r="P217" i="1"/>
  <c r="R318" i="1"/>
  <c r="R247" i="1"/>
  <c r="O453" i="1"/>
  <c r="Q315" i="1"/>
  <c r="O260" i="1"/>
  <c r="Q260" i="1" s="1"/>
  <c r="O122" i="1"/>
  <c r="R122" i="1" s="1"/>
  <c r="O401" i="1"/>
  <c r="P401" i="1" s="1"/>
  <c r="P289" i="1"/>
  <c r="S289" i="1" s="1"/>
  <c r="O480" i="1"/>
  <c r="R480" i="1" s="1"/>
  <c r="P480" i="1"/>
  <c r="P286" i="1"/>
  <c r="O286" i="1"/>
  <c r="R286" i="1" s="1"/>
  <c r="S417" i="1"/>
  <c r="Q233" i="1"/>
  <c r="S233" i="1" s="1"/>
  <c r="R237" i="1"/>
  <c r="Q477" i="1"/>
  <c r="S477" i="1" s="1"/>
  <c r="O282" i="1"/>
  <c r="Q282" i="1" s="1"/>
  <c r="Q446" i="1"/>
  <c r="R262" i="1"/>
  <c r="R377" i="1"/>
  <c r="R540" i="1"/>
  <c r="S540" i="1" s="1"/>
  <c r="O284" i="1"/>
  <c r="R284" i="1" s="1"/>
  <c r="P284" i="1"/>
  <c r="R764" i="1"/>
  <c r="P728" i="1"/>
  <c r="O728" i="1"/>
  <c r="R728" i="1" s="1"/>
  <c r="O602" i="1"/>
  <c r="P431" i="1"/>
  <c r="O431" i="1"/>
  <c r="Q431" i="1" s="1"/>
  <c r="O802" i="1"/>
  <c r="Q802" i="1" s="1"/>
  <c r="P802" i="1"/>
  <c r="R386" i="1"/>
  <c r="Q386" i="1"/>
  <c r="S386" i="1" s="1"/>
  <c r="R560" i="1"/>
  <c r="S701" i="1"/>
  <c r="O500" i="1"/>
  <c r="R500" i="1" s="1"/>
  <c r="Q568" i="1"/>
  <c r="O831" i="1"/>
  <c r="R831" i="1" s="1"/>
  <c r="Q433" i="1"/>
  <c r="S782" i="1"/>
  <c r="O736" i="1"/>
  <c r="R736" i="1" s="1"/>
  <c r="O136" i="1"/>
  <c r="R136" i="1" s="1"/>
  <c r="P136" i="1"/>
  <c r="R670" i="1"/>
  <c r="O548" i="1"/>
  <c r="Q548" i="1" s="1"/>
  <c r="P548" i="1"/>
  <c r="S548" i="1" s="1"/>
  <c r="Q634" i="1"/>
  <c r="R774" i="1"/>
  <c r="O542" i="1"/>
  <c r="Q542" i="1" s="1"/>
  <c r="R517" i="1"/>
  <c r="O276" i="1"/>
  <c r="P276" i="1" s="1"/>
  <c r="Q861" i="1"/>
  <c r="Q662" i="1"/>
  <c r="R887" i="1"/>
  <c r="S825" i="1"/>
  <c r="Q845" i="1"/>
  <c r="Q443" i="1"/>
  <c r="O784" i="1"/>
  <c r="R784" i="1" s="1"/>
  <c r="P784" i="1"/>
  <c r="O819" i="1"/>
  <c r="P819" i="1" s="1"/>
  <c r="O848" i="1"/>
  <c r="Q848" i="1" s="1"/>
  <c r="R497" i="1"/>
  <c r="P699" i="1"/>
  <c r="S699" i="1" s="1"/>
  <c r="R699" i="1"/>
  <c r="Q909" i="1"/>
  <c r="S899" i="1"/>
  <c r="R866" i="1"/>
  <c r="Q752" i="1"/>
  <c r="O906" i="1"/>
  <c r="R906" i="1" s="1"/>
  <c r="R860" i="1"/>
  <c r="Q639" i="1"/>
  <c r="S639" i="1" s="1"/>
  <c r="R639" i="1"/>
  <c r="Q801" i="1"/>
  <c r="M10" i="1"/>
  <c r="S247" i="1" l="1"/>
  <c r="S492" i="1"/>
  <c r="S755" i="1"/>
  <c r="S148" i="1"/>
  <c r="S363" i="1"/>
  <c r="S685" i="1"/>
  <c r="S464" i="1"/>
  <c r="S283" i="1"/>
  <c r="S185" i="1"/>
  <c r="S857" i="1"/>
  <c r="R691" i="1"/>
  <c r="S599" i="1"/>
  <c r="S676" i="1"/>
  <c r="R348" i="1"/>
  <c r="S348" i="1" s="1"/>
  <c r="R813" i="1"/>
  <c r="S649" i="1"/>
  <c r="Q629" i="1"/>
  <c r="S629" i="1" s="1"/>
  <c r="R352" i="1"/>
  <c r="Q352" i="1"/>
  <c r="R394" i="1"/>
  <c r="Q394" i="1"/>
  <c r="Q881" i="1"/>
  <c r="P881" i="1"/>
  <c r="Q47" i="1"/>
  <c r="Q387" i="1"/>
  <c r="S54" i="1"/>
  <c r="S85" i="1"/>
  <c r="S112" i="1"/>
  <c r="R668" i="1"/>
  <c r="Q161" i="1"/>
  <c r="R894" i="1"/>
  <c r="Q768" i="1"/>
  <c r="S768" i="1" s="1"/>
  <c r="Q219" i="1"/>
  <c r="S219" i="1" s="1"/>
  <c r="S715" i="1"/>
  <c r="Q828" i="1"/>
  <c r="P389" i="1"/>
  <c r="Q113" i="1"/>
  <c r="Q536" i="1"/>
  <c r="P503" i="1"/>
  <c r="Q585" i="1"/>
  <c r="S375" i="1"/>
  <c r="R518" i="1"/>
  <c r="S50" i="1"/>
  <c r="Q281" i="1"/>
  <c r="Q217" i="1"/>
  <c r="P527" i="1"/>
  <c r="S527" i="1" s="1"/>
  <c r="P758" i="1"/>
  <c r="S758" i="1" s="1"/>
  <c r="Q901" i="1"/>
  <c r="Q140" i="1"/>
  <c r="R154" i="1"/>
  <c r="S154" i="1" s="1"/>
  <c r="R184" i="1"/>
  <c r="R542" i="1"/>
  <c r="Q524" i="1"/>
  <c r="S727" i="1"/>
  <c r="S554" i="1"/>
  <c r="R581" i="1"/>
  <c r="S581" i="1" s="1"/>
  <c r="R283" i="1"/>
  <c r="S67" i="1"/>
  <c r="P291" i="1"/>
  <c r="S291" i="1" s="1"/>
  <c r="Q846" i="1"/>
  <c r="S885" i="1"/>
  <c r="S589" i="1"/>
  <c r="Q813" i="1"/>
  <c r="S813" i="1" s="1"/>
  <c r="Q459" i="1"/>
  <c r="Q478" i="1"/>
  <c r="Q787" i="1"/>
  <c r="Q716" i="1"/>
  <c r="S805" i="1"/>
  <c r="S292" i="1"/>
  <c r="S414" i="1"/>
  <c r="S306" i="1"/>
  <c r="S785" i="1"/>
  <c r="Q284" i="1"/>
  <c r="P198" i="1"/>
  <c r="S198" i="1" s="1"/>
  <c r="S75" i="1"/>
  <c r="S507" i="1"/>
  <c r="S551" i="1"/>
  <c r="S480" i="1"/>
  <c r="S184" i="1"/>
  <c r="S896" i="1"/>
  <c r="R160" i="1"/>
  <c r="Q348" i="1"/>
  <c r="S30" i="1"/>
  <c r="R392" i="1"/>
  <c r="Q129" i="1"/>
  <c r="S129" i="1" s="1"/>
  <c r="S455" i="1"/>
  <c r="S794" i="1"/>
  <c r="R310" i="1"/>
  <c r="S212" i="1"/>
  <c r="P542" i="1"/>
  <c r="S542" i="1" s="1"/>
  <c r="Q453" i="1"/>
  <c r="P453" i="1"/>
  <c r="Q819" i="1"/>
  <c r="S819" i="1" s="1"/>
  <c r="P516" i="1"/>
  <c r="P906" i="1"/>
  <c r="S906" i="1" s="1"/>
  <c r="P500" i="1"/>
  <c r="R524" i="1"/>
  <c r="S524" i="1" s="1"/>
  <c r="R453" i="1"/>
  <c r="R174" i="1"/>
  <c r="S174" i="1" s="1"/>
  <c r="P27" i="1"/>
  <c r="R596" i="1"/>
  <c r="S596" i="1" s="1"/>
  <c r="Q144" i="1"/>
  <c r="S144" i="1" s="1"/>
  <c r="Q893" i="1"/>
  <c r="R847" i="1"/>
  <c r="Q720" i="1"/>
  <c r="R410" i="1"/>
  <c r="Q410" i="1"/>
  <c r="Q490" i="1"/>
  <c r="R490" i="1"/>
  <c r="S490" i="1" s="1"/>
  <c r="R18" i="1"/>
  <c r="P489" i="1"/>
  <c r="S489" i="1" s="1"/>
  <c r="P387" i="1"/>
  <c r="S387" i="1" s="1"/>
  <c r="Q849" i="1"/>
  <c r="P222" i="1"/>
  <c r="S222" i="1" s="1"/>
  <c r="S105" i="1"/>
  <c r="R149" i="1"/>
  <c r="Q120" i="1"/>
  <c r="S120" i="1" s="1"/>
  <c r="P146" i="1"/>
  <c r="S146" i="1" s="1"/>
  <c r="P395" i="1"/>
  <c r="S395" i="1" s="1"/>
  <c r="R811" i="1"/>
  <c r="P585" i="1"/>
  <c r="Q134" i="1"/>
  <c r="S134" i="1" s="1"/>
  <c r="P407" i="1"/>
  <c r="P26" i="1"/>
  <c r="R526" i="1"/>
  <c r="Q526" i="1"/>
  <c r="S526" i="1" s="1"/>
  <c r="R464" i="1"/>
  <c r="R296" i="1"/>
  <c r="S296" i="1" s="1"/>
  <c r="Q659" i="1"/>
  <c r="S659" i="1" s="1"/>
  <c r="R407" i="1"/>
  <c r="R519" i="1"/>
  <c r="Q519" i="1"/>
  <c r="S519" i="1" s="1"/>
  <c r="P323" i="1"/>
  <c r="S323" i="1" s="1"/>
  <c r="R323" i="1"/>
  <c r="P388" i="1"/>
  <c r="P536" i="1"/>
  <c r="S536" i="1" s="1"/>
  <c r="Q142" i="1"/>
  <c r="S142" i="1" s="1"/>
  <c r="P298" i="1"/>
  <c r="S298" i="1" s="1"/>
  <c r="Q611" i="1"/>
  <c r="R126" i="1"/>
  <c r="Q674" i="1"/>
  <c r="S674" i="1" s="1"/>
  <c r="P578" i="1"/>
  <c r="S578" i="1" s="1"/>
  <c r="R52" i="1"/>
  <c r="S52" i="1" s="1"/>
  <c r="R510" i="1"/>
  <c r="Q305" i="1"/>
  <c r="P847" i="1"/>
  <c r="S847" i="1" s="1"/>
  <c r="P624" i="1"/>
  <c r="P113" i="1"/>
  <c r="S113" i="1" s="1"/>
  <c r="P597" i="1"/>
  <c r="S597" i="1" s="1"/>
  <c r="R148" i="1"/>
  <c r="Q649" i="1"/>
  <c r="Q301" i="1"/>
  <c r="P656" i="1"/>
  <c r="S656" i="1" s="1"/>
  <c r="S582" i="1"/>
  <c r="P272" i="1"/>
  <c r="S272" i="1" s="1"/>
  <c r="P415" i="1"/>
  <c r="R415" i="1"/>
  <c r="P138" i="1"/>
  <c r="S246" i="1"/>
  <c r="Q42" i="1"/>
  <c r="S42" i="1" s="1"/>
  <c r="Q61" i="1"/>
  <c r="S61" i="1" s="1"/>
  <c r="R61" i="1"/>
  <c r="R904" i="1"/>
  <c r="P904" i="1"/>
  <c r="P381" i="1"/>
  <c r="S381" i="1" s="1"/>
  <c r="Q38" i="1"/>
  <c r="S268" i="1"/>
  <c r="Q52" i="1"/>
  <c r="P593" i="1"/>
  <c r="S593" i="1" s="1"/>
  <c r="S523" i="1"/>
  <c r="P302" i="1"/>
  <c r="R94" i="1"/>
  <c r="S451" i="1"/>
  <c r="P359" i="1"/>
  <c r="S359" i="1" s="1"/>
  <c r="S861" i="1"/>
  <c r="Q700" i="1"/>
  <c r="S700" i="1" s="1"/>
  <c r="Q873" i="1"/>
  <c r="P873" i="1"/>
  <c r="S873" i="1" s="1"/>
  <c r="Q184" i="1"/>
  <c r="Q283" i="1"/>
  <c r="R876" i="1"/>
  <c r="P876" i="1"/>
  <c r="P346" i="1"/>
  <c r="Q346" i="1"/>
  <c r="Q388" i="1"/>
  <c r="Q709" i="1"/>
  <c r="S69" i="1"/>
  <c r="P544" i="1"/>
  <c r="S544" i="1" s="1"/>
  <c r="S617" i="1"/>
  <c r="R359" i="1"/>
  <c r="S257" i="1"/>
  <c r="S25" i="1"/>
  <c r="Q492" i="1"/>
  <c r="Q252" i="1"/>
  <c r="S683" i="1"/>
  <c r="Q676" i="1"/>
  <c r="S163" i="1"/>
  <c r="R272" i="1"/>
  <c r="P338" i="1"/>
  <c r="S338" i="1" s="1"/>
  <c r="Q208" i="1"/>
  <c r="R767" i="1"/>
  <c r="Q77" i="1"/>
  <c r="S77" i="1" s="1"/>
  <c r="Q236" i="1"/>
  <c r="S236" i="1" s="1"/>
  <c r="Q17" i="1"/>
  <c r="S17" i="1" s="1"/>
  <c r="S855" i="1"/>
  <c r="R620" i="1"/>
  <c r="S620" i="1" s="1"/>
  <c r="Q500" i="1"/>
  <c r="P894" i="1"/>
  <c r="P720" i="1"/>
  <c r="S720" i="1" s="1"/>
  <c r="Q516" i="1"/>
  <c r="P591" i="1"/>
  <c r="S591" i="1" s="1"/>
  <c r="P147" i="1"/>
  <c r="Q150" i="1"/>
  <c r="Q645" i="1"/>
  <c r="R758" i="1"/>
  <c r="P126" i="1"/>
  <c r="S126" i="1" s="1"/>
  <c r="P547" i="1"/>
  <c r="S547" i="1" s="1"/>
  <c r="S749" i="1"/>
  <c r="R413" i="1"/>
  <c r="P413" i="1"/>
  <c r="S413" i="1" s="1"/>
  <c r="P207" i="1"/>
  <c r="S207" i="1" s="1"/>
  <c r="Q904" i="1"/>
  <c r="Q132" i="1"/>
  <c r="S132" i="1" s="1"/>
  <c r="Q643" i="1"/>
  <c r="S287" i="1"/>
  <c r="R724" i="1"/>
  <c r="P103" i="1"/>
  <c r="S103" i="1" s="1"/>
  <c r="R341" i="1"/>
  <c r="Q266" i="1"/>
  <c r="S266" i="1" s="1"/>
  <c r="P234" i="1"/>
  <c r="Q234" i="1"/>
  <c r="P102" i="1"/>
  <c r="S102" i="1" s="1"/>
  <c r="R96" i="1"/>
  <c r="P739" i="1"/>
  <c r="S739" i="1" s="1"/>
  <c r="P623" i="1"/>
  <c r="S623" i="1" s="1"/>
  <c r="P787" i="1"/>
  <c r="S787" i="1" s="1"/>
  <c r="R873" i="1"/>
  <c r="S731" i="1"/>
  <c r="Q503" i="1"/>
  <c r="P200" i="1"/>
  <c r="S200" i="1" s="1"/>
  <c r="P274" i="1"/>
  <c r="S274" i="1" s="1"/>
  <c r="Q876" i="1"/>
  <c r="P709" i="1"/>
  <c r="R346" i="1"/>
  <c r="R820" i="1"/>
  <c r="S369" i="1"/>
  <c r="P488" i="1"/>
  <c r="Q169" i="1"/>
  <c r="S169" i="1" s="1"/>
  <c r="S567" i="1"/>
  <c r="P839" i="1"/>
  <c r="S839" i="1" s="1"/>
  <c r="P252" i="1"/>
  <c r="R253" i="1"/>
  <c r="S253" i="1" s="1"/>
  <c r="P643" i="1"/>
  <c r="S643" i="1" s="1"/>
  <c r="Q193" i="1"/>
  <c r="P424" i="1"/>
  <c r="S424" i="1" s="1"/>
  <c r="P645" i="1"/>
  <c r="S645" i="1" s="1"/>
  <c r="P603" i="1"/>
  <c r="S603" i="1" s="1"/>
  <c r="Q638" i="1"/>
  <c r="P258" i="1"/>
  <c r="S258" i="1" s="1"/>
  <c r="P337" i="1"/>
  <c r="P570" i="1"/>
  <c r="P156" i="1"/>
  <c r="R212" i="1"/>
  <c r="Q213" i="1"/>
  <c r="R753" i="1"/>
  <c r="P742" i="1"/>
  <c r="Q742" i="1"/>
  <c r="R15" i="1"/>
  <c r="S15" i="1" s="1"/>
  <c r="P504" i="1"/>
  <c r="S504" i="1" s="1"/>
  <c r="S579" i="1"/>
  <c r="P208" i="1"/>
  <c r="S208" i="1" s="1"/>
  <c r="P575" i="1"/>
  <c r="S575" i="1" s="1"/>
  <c r="S245" i="1"/>
  <c r="S691" i="1"/>
  <c r="S47" i="1"/>
  <c r="R124" i="1"/>
  <c r="P124" i="1"/>
  <c r="S124" i="1" s="1"/>
  <c r="S820" i="1"/>
  <c r="S466" i="1"/>
  <c r="S550" i="1"/>
  <c r="P846" i="1"/>
  <c r="S166" i="1"/>
  <c r="Q310" i="1"/>
  <c r="S310" i="1" s="1"/>
  <c r="Q152" i="1"/>
  <c r="S152" i="1" s="1"/>
  <c r="R152" i="1"/>
  <c r="P38" i="1"/>
  <c r="Q124" i="1"/>
  <c r="R395" i="1"/>
  <c r="P856" i="1"/>
  <c r="R856" i="1"/>
  <c r="S636" i="1"/>
  <c r="P512" i="1"/>
  <c r="S512" i="1" s="1"/>
  <c r="P741" i="1"/>
  <c r="R741" i="1"/>
  <c r="P317" i="1"/>
  <c r="S669" i="1"/>
  <c r="S269" i="1"/>
  <c r="S719" i="1"/>
  <c r="P92" i="1"/>
  <c r="S398" i="1"/>
  <c r="R181" i="1"/>
  <c r="P341" i="1"/>
  <c r="S341" i="1" s="1"/>
  <c r="P161" i="1"/>
  <c r="P150" i="1"/>
  <c r="S150" i="1" s="1"/>
  <c r="Q392" i="1"/>
  <c r="S392" i="1" s="1"/>
  <c r="P883" i="1"/>
  <c r="Q883" i="1"/>
  <c r="Q741" i="1"/>
  <c r="R626" i="1"/>
  <c r="P626" i="1"/>
  <c r="S81" i="1"/>
  <c r="Q300" i="1"/>
  <c r="P300" i="1"/>
  <c r="S300" i="1" s="1"/>
  <c r="P181" i="1"/>
  <c r="S181" i="1" s="1"/>
  <c r="P193" i="1"/>
  <c r="S772" i="1"/>
  <c r="R633" i="1"/>
  <c r="P71" i="1"/>
  <c r="R833" i="1"/>
  <c r="S833" i="1" s="1"/>
  <c r="R381" i="1"/>
  <c r="Q518" i="1"/>
  <c r="S518" i="1" s="1"/>
  <c r="S31" i="1"/>
  <c r="S534" i="1"/>
  <c r="S546" i="1"/>
  <c r="S684" i="1"/>
  <c r="R867" i="1"/>
  <c r="S673" i="1"/>
  <c r="S837" i="1"/>
  <c r="S399" i="1"/>
  <c r="S498" i="1"/>
  <c r="Q401" i="1"/>
  <c r="S401" i="1" s="1"/>
  <c r="S475" i="1"/>
  <c r="R553" i="1"/>
  <c r="S553" i="1" s="1"/>
  <c r="Q480" i="1"/>
  <c r="S119" i="1"/>
  <c r="S213" i="1"/>
  <c r="P907" i="1"/>
  <c r="P510" i="1"/>
  <c r="R623" i="1"/>
  <c r="S766" i="1"/>
  <c r="S97" i="1"/>
  <c r="Q714" i="1"/>
  <c r="S714" i="1" s="1"/>
  <c r="Q389" i="1"/>
  <c r="S80" i="1"/>
  <c r="Q867" i="1"/>
  <c r="S867" i="1" s="1"/>
  <c r="R439" i="1"/>
  <c r="S439" i="1" s="1"/>
  <c r="P140" i="1"/>
  <c r="S446" i="1"/>
  <c r="S632" i="1"/>
  <c r="Q330" i="1"/>
  <c r="S707" i="1"/>
  <c r="P642" i="1"/>
  <c r="Q610" i="1"/>
  <c r="R222" i="1"/>
  <c r="P78" i="1"/>
  <c r="S78" i="1" s="1"/>
  <c r="R243" i="1"/>
  <c r="Q243" i="1"/>
  <c r="Q149" i="1"/>
  <c r="S149" i="1" s="1"/>
  <c r="S206" i="1"/>
  <c r="P305" i="1"/>
  <c r="R571" i="1"/>
  <c r="S571" i="1" s="1"/>
  <c r="P64" i="1"/>
  <c r="S64" i="1" s="1"/>
  <c r="Q865" i="1"/>
  <c r="S865" i="1" s="1"/>
  <c r="Q761" i="1"/>
  <c r="P444" i="1"/>
  <c r="S444" i="1" s="1"/>
  <c r="P615" i="1"/>
  <c r="S615" i="1" s="1"/>
  <c r="S474" i="1"/>
  <c r="R98" i="1"/>
  <c r="S98" i="1" s="1"/>
  <c r="S170" i="1"/>
  <c r="S605" i="1"/>
  <c r="Q586" i="1"/>
  <c r="R496" i="1"/>
  <c r="S496" i="1" s="1"/>
  <c r="Q686" i="1"/>
  <c r="S686" i="1" s="1"/>
  <c r="P151" i="1"/>
  <c r="S151" i="1" s="1"/>
  <c r="Q291" i="1"/>
  <c r="Q277" i="1"/>
  <c r="S277" i="1" s="1"/>
  <c r="Q214" i="1"/>
  <c r="S214" i="1" s="1"/>
  <c r="S188" i="1"/>
  <c r="P29" i="1"/>
  <c r="R29" i="1"/>
  <c r="S693" i="1"/>
  <c r="R72" i="1"/>
  <c r="S72" i="1" s="1"/>
  <c r="S515" i="1"/>
  <c r="P558" i="1"/>
  <c r="P600" i="1"/>
  <c r="S600" i="1" s="1"/>
  <c r="Q183" i="1"/>
  <c r="P724" i="1"/>
  <c r="S724" i="1" s="1"/>
  <c r="Q156" i="1"/>
  <c r="S367" i="1"/>
  <c r="S162" i="1"/>
  <c r="P736" i="1"/>
  <c r="S736" i="1" s="1"/>
  <c r="R669" i="1"/>
  <c r="P282" i="1"/>
  <c r="S282" i="1" s="1"/>
  <c r="P122" i="1"/>
  <c r="S122" i="1" s="1"/>
  <c r="P852" i="1"/>
  <c r="S852" i="1" s="1"/>
  <c r="P391" i="1"/>
  <c r="S391" i="1" s="1"/>
  <c r="P377" i="1"/>
  <c r="S377" i="1" s="1"/>
  <c r="P740" i="1"/>
  <c r="S740" i="1" s="1"/>
  <c r="P905" i="1"/>
  <c r="S905" i="1" s="1"/>
  <c r="P763" i="1"/>
  <c r="S763" i="1" s="1"/>
  <c r="R721" i="1"/>
  <c r="Q601" i="1"/>
  <c r="R185" i="1"/>
  <c r="S357" i="1"/>
  <c r="Q688" i="1"/>
  <c r="Q624" i="1"/>
  <c r="S671" i="1"/>
  <c r="R522" i="1"/>
  <c r="Q522" i="1"/>
  <c r="S522" i="1" s="1"/>
  <c r="Q823" i="1"/>
  <c r="Q886" i="1"/>
  <c r="S886" i="1" s="1"/>
  <c r="P753" i="1"/>
  <c r="S753" i="1" s="1"/>
  <c r="Q762" i="1"/>
  <c r="S762" i="1" s="1"/>
  <c r="S344" i="1"/>
  <c r="R301" i="1"/>
  <c r="P356" i="1"/>
  <c r="S356" i="1" s="1"/>
  <c r="S351" i="1"/>
  <c r="R134" i="1"/>
  <c r="R215" i="1"/>
  <c r="S215" i="1" s="1"/>
  <c r="P225" i="1"/>
  <c r="S225" i="1" s="1"/>
  <c r="Q570" i="1"/>
  <c r="P308" i="1"/>
  <c r="S308" i="1" s="1"/>
  <c r="R20" i="1"/>
  <c r="R886" i="1"/>
  <c r="Q648" i="1"/>
  <c r="S648" i="1" s="1"/>
  <c r="S428" i="1"/>
  <c r="P355" i="1"/>
  <c r="R355" i="1"/>
  <c r="P243" i="1"/>
  <c r="S243" i="1" s="1"/>
  <c r="Q20" i="1"/>
  <c r="S20" i="1" s="1"/>
  <c r="R80" i="1"/>
  <c r="R376" i="1"/>
  <c r="P330" i="1"/>
  <c r="R339" i="1"/>
  <c r="P390" i="1"/>
  <c r="S390" i="1" s="1"/>
  <c r="P62" i="1"/>
  <c r="S62" i="1" s="1"/>
  <c r="S177" i="1"/>
  <c r="P201" i="1"/>
  <c r="S201" i="1" s="1"/>
  <c r="Q136" i="1"/>
  <c r="S136" i="1" s="1"/>
  <c r="P376" i="1"/>
  <c r="S376" i="1" s="1"/>
  <c r="R26" i="1"/>
  <c r="R274" i="1"/>
  <c r="P729" i="1"/>
  <c r="S729" i="1" s="1"/>
  <c r="P777" i="1"/>
  <c r="R777" i="1"/>
  <c r="Q485" i="1"/>
  <c r="R325" i="1"/>
  <c r="S325" i="1" s="1"/>
  <c r="S125" i="1"/>
  <c r="R848" i="1"/>
  <c r="P484" i="1"/>
  <c r="Q829" i="1"/>
  <c r="R151" i="1"/>
  <c r="R316" i="1"/>
  <c r="S316" i="1" s="1"/>
  <c r="P307" i="1"/>
  <c r="R307" i="1"/>
  <c r="S697" i="1"/>
  <c r="R478" i="1"/>
  <c r="S478" i="1" s="1"/>
  <c r="Q229" i="1"/>
  <c r="S229" i="1" s="1"/>
  <c r="S189" i="1"/>
  <c r="Q29" i="1"/>
  <c r="Q14" i="1"/>
  <c r="S14" i="1" s="1"/>
  <c r="R347" i="1"/>
  <c r="P350" i="1"/>
  <c r="S350" i="1" s="1"/>
  <c r="P808" i="1"/>
  <c r="S808" i="1" s="1"/>
  <c r="P458" i="1"/>
  <c r="S458" i="1" s="1"/>
  <c r="S409" i="1"/>
  <c r="Q402" i="1"/>
  <c r="S402" i="1" s="1"/>
  <c r="R402" i="1"/>
  <c r="S209" i="1"/>
  <c r="Q783" i="1"/>
  <c r="S783" i="1" s="1"/>
  <c r="Q853" i="1"/>
  <c r="S612" i="1"/>
  <c r="S165" i="1"/>
  <c r="Q521" i="1"/>
  <c r="S521" i="1" s="1"/>
  <c r="S440" i="1"/>
  <c r="Q856" i="1"/>
  <c r="S688" i="1"/>
  <c r="R173" i="1"/>
  <c r="P281" i="1"/>
  <c r="R755" i="1"/>
  <c r="R857" i="1"/>
  <c r="Q12" i="1"/>
  <c r="R802" i="1"/>
  <c r="R31" i="1"/>
  <c r="Q575" i="1"/>
  <c r="S82" i="1"/>
  <c r="R275" i="1"/>
  <c r="P275" i="1"/>
  <c r="S275" i="1" s="1"/>
  <c r="P425" i="1"/>
  <c r="S425" i="1" s="1"/>
  <c r="Q797" i="1"/>
  <c r="S797" i="1" s="1"/>
  <c r="S55" i="1"/>
  <c r="P264" i="1"/>
  <c r="R264" i="1"/>
  <c r="Q488" i="1"/>
  <c r="S618" i="1"/>
  <c r="S79" i="1"/>
  <c r="R437" i="1"/>
  <c r="P65" i="1"/>
  <c r="S65" i="1" s="1"/>
  <c r="R739" i="1"/>
  <c r="S131" i="1"/>
  <c r="S606" i="1"/>
  <c r="Q138" i="1"/>
  <c r="S16" i="1"/>
  <c r="P411" i="1"/>
  <c r="S411" i="1" s="1"/>
  <c r="Q333" i="1"/>
  <c r="R750" i="1"/>
  <c r="S750" i="1" s="1"/>
  <c r="P614" i="1"/>
  <c r="S614" i="1" s="1"/>
  <c r="S329" i="1"/>
  <c r="Q122" i="1"/>
  <c r="S442" i="1"/>
  <c r="P829" i="1"/>
  <c r="P370" i="1"/>
  <c r="Q370" i="1"/>
  <c r="Q108" i="1"/>
  <c r="S228" i="1"/>
  <c r="S420" i="1"/>
  <c r="P331" i="1"/>
  <c r="S331" i="1" s="1"/>
  <c r="Q466" i="1"/>
  <c r="S327" i="1"/>
  <c r="S650" i="1"/>
  <c r="Q814" i="1"/>
  <c r="Q842" i="1"/>
  <c r="S842" i="1" s="1"/>
  <c r="S227" i="1"/>
  <c r="R426" i="1"/>
  <c r="Q426" i="1"/>
  <c r="S426" i="1" s="1"/>
  <c r="Q337" i="1"/>
  <c r="P698" i="1"/>
  <c r="S698" i="1" s="1"/>
  <c r="Q612" i="1"/>
  <c r="Q837" i="1"/>
  <c r="R144" i="1"/>
  <c r="R418" i="1"/>
  <c r="Q418" i="1"/>
  <c r="S869" i="1"/>
  <c r="S662" i="1"/>
  <c r="Q715" i="1"/>
  <c r="R205" i="1"/>
  <c r="P859" i="1"/>
  <c r="Q859" i="1"/>
  <c r="S345" i="1"/>
  <c r="S116" i="1"/>
  <c r="R685" i="1"/>
  <c r="Q180" i="1"/>
  <c r="S687" i="1"/>
  <c r="R382" i="1"/>
  <c r="S382" i="1" s="1"/>
  <c r="R686" i="1"/>
  <c r="S508" i="1"/>
  <c r="Q361" i="1"/>
  <c r="S667" i="1"/>
  <c r="R881" i="1"/>
  <c r="S746" i="1"/>
  <c r="S90" i="1"/>
  <c r="Q92" i="1"/>
  <c r="S791" i="1"/>
  <c r="Q870" i="1"/>
  <c r="S870" i="1" s="1"/>
  <c r="Q176" i="1"/>
  <c r="Q534" i="1"/>
  <c r="S84" i="1"/>
  <c r="S866" i="1"/>
  <c r="S107" i="1"/>
  <c r="Q118" i="1"/>
  <c r="S168" i="1"/>
  <c r="Q538" i="1"/>
  <c r="R538" i="1"/>
  <c r="S422" i="1"/>
  <c r="Q482" i="1"/>
  <c r="P482" i="1"/>
  <c r="S482" i="1" s="1"/>
  <c r="S481" i="1"/>
  <c r="S57" i="1"/>
  <c r="Q309" i="1"/>
  <c r="S309" i="1" s="1"/>
  <c r="S644" i="1"/>
  <c r="S171" i="1"/>
  <c r="S304" i="1"/>
  <c r="S383" i="1"/>
  <c r="S723" i="1"/>
  <c r="Q205" i="1"/>
  <c r="S205" i="1" s="1"/>
  <c r="R761" i="1"/>
  <c r="S501" i="1"/>
  <c r="Q232" i="1"/>
  <c r="S232" i="1" s="1"/>
  <c r="S240" i="1"/>
  <c r="Q907" i="1"/>
  <c r="S641" i="1"/>
  <c r="Q182" i="1"/>
  <c r="S182" i="1" s="1"/>
  <c r="S145" i="1"/>
  <c r="S499" i="1"/>
  <c r="R467" i="1"/>
  <c r="P373" i="1"/>
  <c r="S373" i="1" s="1"/>
  <c r="R484" i="1"/>
  <c r="R495" i="1"/>
  <c r="R486" i="1"/>
  <c r="Q486" i="1"/>
  <c r="S121" i="1"/>
  <c r="S672" i="1"/>
  <c r="S725" i="1"/>
  <c r="P96" i="1"/>
  <c r="S96" i="1" s="1"/>
  <c r="S251" i="1"/>
  <c r="S871" i="1"/>
  <c r="Q273" i="1"/>
  <c r="S273" i="1" s="1"/>
  <c r="R235" i="1"/>
  <c r="Q235" i="1"/>
  <c r="S58" i="1"/>
  <c r="Q665" i="1"/>
  <c r="S665" i="1" s="1"/>
  <c r="R147" i="1"/>
  <c r="S902" i="1"/>
  <c r="R399" i="1"/>
  <c r="S175" i="1"/>
  <c r="S590" i="1"/>
  <c r="R393" i="1"/>
  <c r="Q393" i="1"/>
  <c r="S238" i="1"/>
  <c r="R27" i="1"/>
  <c r="S365" i="1"/>
  <c r="Q264" i="1"/>
  <c r="S284" i="1"/>
  <c r="S737" i="1"/>
  <c r="S364" i="1"/>
  <c r="S771" i="1"/>
  <c r="S293" i="1"/>
  <c r="S661" i="1"/>
  <c r="Q512" i="1"/>
  <c r="S609" i="1"/>
  <c r="S176" i="1"/>
  <c r="S889" i="1"/>
  <c r="Q491" i="1"/>
  <c r="S491" i="1" s="1"/>
  <c r="S418" i="1"/>
  <c r="P76" i="1"/>
  <c r="P537" i="1"/>
  <c r="R537" i="1"/>
  <c r="S449" i="1"/>
  <c r="P744" i="1"/>
  <c r="Q820" i="1"/>
  <c r="P811" i="1"/>
  <c r="S811" i="1" s="1"/>
  <c r="S432" i="1"/>
  <c r="Q878" i="1"/>
  <c r="P878" i="1"/>
  <c r="S853" i="1"/>
  <c r="S800" i="1"/>
  <c r="P94" i="1"/>
  <c r="S94" i="1" s="1"/>
  <c r="P607" i="1"/>
  <c r="S87" i="1"/>
  <c r="S716" i="1"/>
  <c r="S773" i="1"/>
  <c r="S809" i="1"/>
  <c r="Q204" i="1"/>
  <c r="S204" i="1" s="1"/>
  <c r="S340" i="1"/>
  <c r="S21" i="1"/>
  <c r="R440" i="1"/>
  <c r="S495" i="1"/>
  <c r="P361" i="1"/>
  <c r="S361" i="1" s="1"/>
  <c r="R878" i="1"/>
  <c r="P445" i="1"/>
  <c r="S445" i="1" s="1"/>
  <c r="R445" i="1"/>
  <c r="Q532" i="1"/>
  <c r="S532" i="1" s="1"/>
  <c r="S186" i="1"/>
  <c r="R37" i="1"/>
  <c r="P37" i="1"/>
  <c r="P434" i="1"/>
  <c r="S434" i="1" s="1"/>
  <c r="R434" i="1"/>
  <c r="R609" i="1"/>
  <c r="S318" i="1"/>
  <c r="Q744" i="1"/>
  <c r="Q302" i="1"/>
  <c r="S448" i="1"/>
  <c r="R797" i="1"/>
  <c r="S761" i="1"/>
  <c r="Q295" i="1"/>
  <c r="S295" i="1" s="1"/>
  <c r="S431" i="1"/>
  <c r="Q173" i="1"/>
  <c r="S173" i="1" s="1"/>
  <c r="S588" i="1"/>
  <c r="R583" i="1"/>
  <c r="Q583" i="1"/>
  <c r="Q489" i="1"/>
  <c r="S604" i="1"/>
  <c r="R183" i="1"/>
  <c r="S183" i="1" s="1"/>
  <c r="S781" i="1"/>
  <c r="P584" i="1"/>
  <c r="R584" i="1"/>
  <c r="R260" i="1"/>
  <c r="Q654" i="1"/>
  <c r="S654" i="1" s="1"/>
  <c r="R654" i="1"/>
  <c r="S276" i="1"/>
  <c r="S39" i="1"/>
  <c r="S262" i="1"/>
  <c r="P12" i="1"/>
  <c r="S12" i="1" s="1"/>
  <c r="P638" i="1"/>
  <c r="S638" i="1" s="1"/>
  <c r="P297" i="1"/>
  <c r="S297" i="1" s="1"/>
  <c r="S51" i="1"/>
  <c r="P710" i="1"/>
  <c r="S158" i="1"/>
  <c r="R505" i="1"/>
  <c r="S505" i="1" s="1"/>
  <c r="S347" i="1"/>
  <c r="P823" i="1"/>
  <c r="R586" i="1"/>
  <c r="S586" i="1" s="1"/>
  <c r="R276" i="1"/>
  <c r="Q776" i="1"/>
  <c r="S776" i="1" s="1"/>
  <c r="Q276" i="1"/>
  <c r="Q64" i="1"/>
  <c r="S738" i="1"/>
  <c r="S780" i="1"/>
  <c r="P333" i="1"/>
  <c r="S110" i="1"/>
  <c r="Q55" i="1"/>
  <c r="S270" i="1"/>
  <c r="S880" i="1"/>
  <c r="S815" i="1"/>
  <c r="R186" i="1"/>
  <c r="R108" i="1"/>
  <c r="S108" i="1" s="1"/>
  <c r="S472" i="1"/>
  <c r="S801" i="1"/>
  <c r="P625" i="1"/>
  <c r="S625" i="1" s="1"/>
  <c r="S127" i="1"/>
  <c r="P538" i="1"/>
  <c r="S538" i="1" s="1"/>
  <c r="R482" i="1"/>
  <c r="S86" i="1"/>
  <c r="Q685" i="1"/>
  <c r="S133" i="1"/>
  <c r="Q680" i="1"/>
  <c r="S680" i="1" s="1"/>
  <c r="S670" i="1"/>
  <c r="Q247" i="1"/>
  <c r="P34" i="1"/>
  <c r="S34" i="1" s="1"/>
  <c r="S845" i="1"/>
  <c r="Q317" i="1"/>
  <c r="S764" i="1"/>
  <c r="Q197" i="1"/>
  <c r="S197" i="1" s="1"/>
  <c r="S70" i="1"/>
  <c r="Q722" i="1"/>
  <c r="S722" i="1" s="1"/>
  <c r="R294" i="1"/>
  <c r="Q294" i="1"/>
  <c r="R729" i="1"/>
  <c r="S13" i="1"/>
  <c r="Q83" i="1"/>
  <c r="S810" i="1"/>
  <c r="S754" i="1"/>
  <c r="S471" i="1"/>
  <c r="P486" i="1"/>
  <c r="S486" i="1" s="1"/>
  <c r="Q558" i="1"/>
  <c r="S49" i="1"/>
  <c r="Q767" i="1"/>
  <c r="P235" i="1"/>
  <c r="Q58" i="1"/>
  <c r="S734" i="1"/>
  <c r="S278" i="1"/>
  <c r="R491" i="1"/>
  <c r="Q447" i="1"/>
  <c r="S447" i="1" s="1"/>
  <c r="Q148" i="1"/>
  <c r="S315" i="1"/>
  <c r="S634" i="1"/>
  <c r="S621" i="1"/>
  <c r="P393" i="1"/>
  <c r="P572" i="1"/>
  <c r="S572" i="1" s="1"/>
  <c r="P423" i="1"/>
  <c r="S423" i="1" s="1"/>
  <c r="Q365" i="1"/>
  <c r="R176" i="1"/>
  <c r="S286" i="1"/>
  <c r="S485" i="1"/>
  <c r="S410" i="1"/>
  <c r="R265" i="1"/>
  <c r="Q265" i="1"/>
  <c r="S265" i="1" s="1"/>
  <c r="S18" i="1"/>
  <c r="S611" i="1"/>
  <c r="S430" i="1"/>
  <c r="S459" i="1"/>
  <c r="Q440" i="1"/>
  <c r="S901" i="1"/>
  <c r="R76" i="1"/>
  <c r="S220" i="1"/>
  <c r="S752" i="1"/>
  <c r="P437" i="1"/>
  <c r="S437" i="1" s="1"/>
  <c r="S689" i="1"/>
  <c r="Q454" i="1"/>
  <c r="R454" i="1"/>
  <c r="S828" i="1"/>
  <c r="S339" i="1"/>
  <c r="S473" i="1"/>
  <c r="S217" i="1"/>
  <c r="P743" i="1"/>
  <c r="R743" i="1"/>
  <c r="Q721" i="1"/>
  <c r="S721" i="1" s="1"/>
  <c r="S826" i="1"/>
  <c r="S841" i="1"/>
  <c r="Q166" i="1"/>
  <c r="S552" i="1"/>
  <c r="Q439" i="1"/>
  <c r="S539" i="1"/>
  <c r="S555" i="1"/>
  <c r="P454" i="1"/>
  <c r="S454" i="1" s="1"/>
  <c r="S285" i="1"/>
  <c r="Q527" i="1"/>
  <c r="Q669" i="1"/>
  <c r="R249" i="1"/>
  <c r="S249" i="1" s="1"/>
  <c r="R532" i="1"/>
  <c r="S767" i="1"/>
  <c r="S802" i="1"/>
  <c r="S180" i="1"/>
  <c r="S528" i="1"/>
  <c r="S840" i="1"/>
  <c r="S560" i="1"/>
  <c r="S111" i="1"/>
  <c r="S137" i="1"/>
  <c r="S290" i="1"/>
  <c r="S497" i="1"/>
  <c r="R401" i="1"/>
  <c r="S569" i="1"/>
  <c r="S601" i="1"/>
  <c r="Q642" i="1"/>
  <c r="S371" i="1"/>
  <c r="Q668" i="1"/>
  <c r="S668" i="1" s="1"/>
  <c r="R204" i="1"/>
  <c r="S358" i="1"/>
  <c r="R363" i="1"/>
  <c r="R169" i="1"/>
  <c r="R449" i="1"/>
  <c r="S301" i="1"/>
  <c r="S83" i="1"/>
  <c r="S443" i="1"/>
  <c r="Q710" i="1"/>
  <c r="Q784" i="1"/>
  <c r="S784" i="1" s="1"/>
  <c r="R71" i="1"/>
  <c r="Q807" i="1"/>
  <c r="S807" i="1" s="1"/>
  <c r="P602" i="1"/>
  <c r="R602" i="1"/>
  <c r="P260" i="1"/>
  <c r="R431" i="1"/>
  <c r="S525" i="1"/>
  <c r="P583" i="1"/>
  <c r="S354" i="1"/>
  <c r="R842" i="1"/>
  <c r="S789" i="1"/>
  <c r="S438" i="1"/>
  <c r="R865" i="1"/>
  <c r="S483" i="1"/>
  <c r="S19" i="1"/>
  <c r="P848" i="1"/>
  <c r="S848" i="1" s="1"/>
  <c r="R607" i="1"/>
  <c r="P831" i="1"/>
  <c r="S831" i="1" s="1"/>
  <c r="R219" i="1"/>
  <c r="P610" i="1"/>
  <c r="S610" i="1" s="1"/>
  <c r="Q728" i="1"/>
  <c r="S728" i="1" s="1"/>
  <c r="P118" i="1"/>
  <c r="S118" i="1" s="1"/>
  <c r="Q473" i="1"/>
  <c r="S254" i="1"/>
  <c r="P545" i="1"/>
  <c r="P633" i="1"/>
  <c r="P160" i="1"/>
  <c r="S160" i="1" s="1"/>
  <c r="R636" i="1"/>
  <c r="R319" i="1"/>
  <c r="S319" i="1" s="1"/>
  <c r="R35" i="1"/>
  <c r="S35" i="1" s="1"/>
  <c r="P814" i="1"/>
  <c r="P352" i="1"/>
  <c r="R563" i="1"/>
  <c r="S563" i="1" s="1"/>
  <c r="Q511" i="1"/>
  <c r="P511" i="1"/>
  <c r="S511" i="1" s="1"/>
  <c r="P394" i="1"/>
  <c r="S394" i="1" s="1"/>
  <c r="R42" i="1"/>
  <c r="Q543" i="1"/>
  <c r="S543" i="1" s="1"/>
  <c r="R776" i="1"/>
  <c r="P53" i="1"/>
  <c r="Q53" i="1"/>
  <c r="P467" i="1"/>
  <c r="R314" i="1"/>
  <c r="S314" i="1" s="1"/>
  <c r="P893" i="1"/>
  <c r="S893" i="1" s="1"/>
  <c r="Q545" i="1"/>
  <c r="R461" i="1"/>
  <c r="P461" i="1"/>
  <c r="S461" i="1" s="1"/>
  <c r="P294" i="1"/>
  <c r="P849" i="1"/>
  <c r="S849" i="1" s="1"/>
  <c r="P230" i="1"/>
  <c r="S230" i="1" s="1"/>
  <c r="S117" i="1"/>
  <c r="S640" i="1"/>
  <c r="P403" i="1"/>
  <c r="S403" i="1" s="1"/>
  <c r="L10" i="1"/>
  <c r="N10" i="1"/>
  <c r="S859" i="1" l="1"/>
  <c r="S904" i="1"/>
  <c r="S743" i="1"/>
  <c r="S607" i="1"/>
  <c r="S76" i="1"/>
  <c r="S355" i="1"/>
  <c r="S883" i="1"/>
  <c r="S317" i="1"/>
  <c r="S894" i="1"/>
  <c r="S624" i="1"/>
  <c r="S27" i="1"/>
  <c r="S846" i="1"/>
  <c r="S140" i="1"/>
  <c r="S138" i="1"/>
  <c r="S193" i="1"/>
  <c r="S488" i="1"/>
  <c r="S415" i="1"/>
  <c r="S26" i="1"/>
  <c r="S856" i="1"/>
  <c r="S156" i="1"/>
  <c r="S407" i="1"/>
  <c r="S516" i="1"/>
  <c r="S264" i="1"/>
  <c r="S294" i="1"/>
  <c r="S823" i="1"/>
  <c r="S741" i="1"/>
  <c r="S235" i="1"/>
  <c r="S305" i="1"/>
  <c r="S161" i="1"/>
  <c r="S307" i="1"/>
  <c r="S467" i="1"/>
  <c r="S393" i="1"/>
  <c r="S370" i="1"/>
  <c r="S484" i="1"/>
  <c r="S570" i="1"/>
  <c r="S234" i="1"/>
  <c r="S346" i="1"/>
  <c r="S503" i="1"/>
  <c r="S602" i="1"/>
  <c r="S537" i="1"/>
  <c r="S29" i="1"/>
  <c r="S252" i="1"/>
  <c r="S878" i="1"/>
  <c r="S71" i="1"/>
  <c r="S742" i="1"/>
  <c r="S302" i="1"/>
  <c r="S545" i="1"/>
  <c r="S53" i="1"/>
  <c r="S583" i="1"/>
  <c r="S333" i="1"/>
  <c r="S829" i="1"/>
  <c r="S330" i="1"/>
  <c r="S337" i="1"/>
  <c r="S876" i="1"/>
  <c r="S881" i="1"/>
  <c r="S777" i="1"/>
  <c r="S352" i="1"/>
  <c r="S584" i="1"/>
  <c r="S500" i="1"/>
  <c r="S710" i="1"/>
  <c r="S633" i="1"/>
  <c r="S38" i="1"/>
  <c r="S585" i="1"/>
  <c r="S453" i="1"/>
  <c r="S37" i="1"/>
  <c r="S744" i="1"/>
  <c r="S281" i="1"/>
  <c r="S558" i="1"/>
  <c r="S510" i="1"/>
  <c r="S626" i="1"/>
  <c r="S92" i="1"/>
  <c r="S709" i="1"/>
  <c r="S147" i="1"/>
  <c r="S388" i="1"/>
  <c r="S389" i="1"/>
  <c r="S814" i="1"/>
  <c r="S260" i="1"/>
  <c r="S642" i="1"/>
  <c r="S907" i="1"/>
  <c r="O10" i="1"/>
  <c r="P10" i="1" s="1"/>
  <c r="Q10" i="1" l="1"/>
  <c r="R10" i="1"/>
  <c r="S10" i="1" l="1"/>
</calcChain>
</file>

<file path=xl/sharedStrings.xml><?xml version="1.0" encoding="utf-8"?>
<sst xmlns="http://schemas.openxmlformats.org/spreadsheetml/2006/main" count="2749" uniqueCount="39">
  <si>
    <t>상품</t>
    <phoneticPr fontId="1" type="noConversion"/>
  </si>
  <si>
    <t>서비스</t>
    <phoneticPr fontId="1" type="noConversion"/>
  </si>
  <si>
    <t>용도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</si>
  <si>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</si>
  <si>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</si>
  <si>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</si>
  <si>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</si>
  <si>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</si>
  <si>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</si>
  <si>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</si>
  <si>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</si>
  <si>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공급량합계</t>
    <phoneticPr fontId="1" type="noConversion"/>
  </si>
  <si>
    <t>보정공급량합계</t>
    <phoneticPr fontId="1" type="noConversion"/>
  </si>
  <si>
    <t>일반용(1)</t>
  </si>
  <si>
    <t>업무용</t>
  </si>
  <si>
    <t>영업용</t>
  </si>
  <si>
    <t>총합계</t>
  </si>
  <si>
    <t>합계 : 보정공급량합계</t>
  </si>
  <si>
    <t>공급월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</si>
  <si>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</si>
  <si>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</si>
  <si>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</si>
  <si>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상품</t>
  </si>
  <si>
    <t>서비스</t>
  </si>
  <si>
    <t>일반용(1)(동절기)</t>
  </si>
  <si>
    <t>용도</t>
  </si>
  <si>
    <t>2026년 3월</t>
    <phoneticPr fontId="1" type="noConversion"/>
  </si>
  <si>
    <t>3월 공급량</t>
    <phoneticPr fontId="1" type="noConversion"/>
  </si>
  <si>
    <t>3월보정공급량</t>
    <phoneticPr fontId="1" type="noConversion"/>
  </si>
  <si>
    <t>합계 : 3월보정공급량</t>
  </si>
  <si>
    <t>2026년 4월</t>
    <phoneticPr fontId="1" type="noConversion"/>
  </si>
  <si>
    <t>4월 공급량</t>
    <phoneticPr fontId="1" type="noConversion"/>
  </si>
  <si>
    <t>4월보정공급량</t>
    <phoneticPr fontId="1" type="noConversion"/>
  </si>
  <si>
    <t>일반용(1)(기타)</t>
  </si>
  <si>
    <t>합계 : 4월보정공급량</t>
  </si>
  <si>
    <t>2026년 5월</t>
    <phoneticPr fontId="1" type="noConversion"/>
  </si>
  <si>
    <t>5월 공급량</t>
    <phoneticPr fontId="1" type="noConversion"/>
  </si>
  <si>
    <t>5월보정공급량</t>
    <phoneticPr fontId="1" type="noConversion"/>
  </si>
  <si>
    <t>합계 : 5월보정공급량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</si>
</sst>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pivotButton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0" borderId="4" xfId="0" applyNumberFormat="1" applyBorder="1">
      <alignment vertical="center"/>
    </xf>
    <xf numFmtId="0" fontId="0" fillId="0" borderId="5" xfId="0" applyNumberFormat="1" applyBorder="1">
      <alignment vertical="center"/>
    </xf>
    <xf numFmtId="0" fontId="0" fillId="0" borderId="3" xfId="0" applyNumberFormat="1" applyBorder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183.366469097222" createdVersion="8" refreshedVersion="8" minRefreshableVersion="3" recordCount="900" xr:uid="{DE589864-3B4D-4D7D-A38D-62F7354189E5}">
  <cacheSource type="worksheet">
    <worksheetSource ref="A9:S909" sheet="4월계산내역"/>
  </cacheSource>
  <cacheFields count="19">
    <cacheField name="상품" numFmtId="0">
      <sharedItems count="1">
        <s v="일반용(1)"/>
      </sharedItems>
    </cacheField>
    <cacheField name="서비스" numFmtId="0">
      <sharedItems count="2">
        <s v="일반용(1)(동절기)"/>
        <s v="일반용(1)(기타)"/>
      </sharedItems>
    </cacheField>
    <cacheField name="용도" numFmtId="0">
      <sharedItems count="2">
        <s v="영업용"/>
        <s v="업무용"/>
      </sharedItems>
    </cacheField>
    <cacheField name="이전일수" numFmtId="0">
      <sharedItems containsSemiMixedTypes="0" containsString="0" containsNumber="1" containsInteger="1" minValue="0" maxValue="31"/>
    </cacheField>
    <cacheField name="당월일수" numFmtId="0">
      <sharedItems containsSemiMixedTypes="0" containsString="0" containsNumber="1" containsInteger="1" minValue="1" maxValue="30"/>
    </cacheField>
    <cacheField name="이후일수" numFmtId="0">
      <sharedItems containsSemiMixedTypes="0" containsString="0" containsNumber="1" containsInteger="1" minValue="0" maxValue="19"/>
    </cacheField>
    <cacheField name="사용기간시작일" numFmtId="0">
      <sharedItems containsSemiMixedTypes="0" containsString="0" containsNumber="1" containsInteger="1" minValue="20260216" maxValue="20260428"/>
    </cacheField>
    <cacheField name="사용기간종료일" numFmtId="0">
      <sharedItems containsSemiMixedTypes="0" containsString="0" containsNumber="1" containsInteger="1" minValue="20260401" maxValue="20260519"/>
    </cacheField>
    <cacheField name="사용열량" numFmtId="0">
      <sharedItems containsSemiMixedTypes="0" containsString="0" containsNumber="1" minValue="4.9565999999999999" maxValue="27546724.137200002"/>
    </cacheField>
    <cacheField name="총일수" numFmtId="0">
      <sharedItems containsSemiMixedTypes="0" containsString="0" containsNumber="1" containsInteger="1" minValue="2" maxValue="44"/>
    </cacheField>
    <cacheField name="일평균" numFmtId="0">
      <sharedItems containsSemiMixedTypes="0" containsString="0" containsNumber="1" minValue="0.26152272727272724" maxValue="918224.13790666673"/>
    </cacheField>
    <cacheField name="3월 공급량" numFmtId="0">
      <sharedItems containsSemiMixedTypes="0" containsString="0" containsNumber="1" minValue="0" maxValue="37168902.328609332"/>
    </cacheField>
    <cacheField name="4월 공급량" numFmtId="0">
      <sharedItems containsSemiMixedTypes="0" containsString="0" containsNumber="1" minValue="0.620996875" maxValue="26628499.999293335"/>
    </cacheField>
    <cacheField name="5월 공급량" numFmtId="0">
      <sharedItems containsSemiMixedTypes="0" containsString="0" containsNumber="1" minValue="0" maxValue="8225280.3866405506"/>
    </cacheField>
    <cacheField name="공급량합계" numFmtId="0">
      <sharedItems containsSemiMixedTypes="0" containsString="0" containsNumber="1" minValue="5.3130661591531698" maxValue="37937824.647306107"/>
    </cacheField>
    <cacheField name="3월보정공급량" numFmtId="0">
      <sharedItems containsSemiMixedTypes="0" containsString="0" containsNumber="1" minValue="0" maxValue="23353472.784915898"/>
    </cacheField>
    <cacheField name="4월보정공급량" numFmtId="0">
      <sharedItems containsSemiMixedTypes="0" containsString="0" containsNumber="1" minValue="0.39002552741658247" maxValue="26850919.208860286"/>
    </cacheField>
    <cacheField name="5월보정공급량" numFmtId="0">
      <sharedItems containsSemiMixedTypes="0" containsString="0" containsNumber="1" minValue="0" maxValue="9392294.4620336797"/>
    </cacheField>
    <cacheField name="보정공급량합계" numFmtId="0">
      <sharedItems containsSemiMixedTypes="0" containsString="0" containsNumber="1" minValue="4.9566000000000008" maxValue="27546724.1372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x v="0"/>
    <x v="0"/>
    <n v="28"/>
    <n v="3"/>
    <n v="0"/>
    <n v="20260304"/>
    <n v="20260403"/>
    <n v="5962309.5562000005"/>
    <n v="31"/>
    <n v="192332.56632903227"/>
    <n v="8677345.1432261001"/>
    <n v="576997.69898709678"/>
    <n v="0"/>
    <n v="9254342.8422131967"/>
    <n v="5590566.3699757224"/>
    <n v="371743.18622427841"/>
    <n v="0"/>
    <n v="5962309.5562000005"/>
  </r>
  <r>
    <x v="0"/>
    <x v="1"/>
    <x v="0"/>
    <n v="0"/>
    <n v="15"/>
    <n v="15"/>
    <n v="20260416"/>
    <n v="20260515"/>
    <n v="12041038.684"/>
    <n v="30"/>
    <n v="401367.95613333333"/>
    <n v="0"/>
    <n v="6020519.3420000002"/>
    <n v="4524392.7370065581"/>
    <n v="10544912.079006558"/>
    <n v="0"/>
    <n v="6874718.8930210471"/>
    <n v="5166319.7909789532"/>
    <n v="12041038.684"/>
  </r>
  <r>
    <x v="0"/>
    <x v="1"/>
    <x v="1"/>
    <n v="0"/>
    <n v="29"/>
    <n v="2"/>
    <n v="20260402"/>
    <n v="20260502"/>
    <n v="694543.4865"/>
    <n v="31"/>
    <n v="22404.628596774193"/>
    <n v="0"/>
    <n v="649734.22930645163"/>
    <n v="33673.951744136626"/>
    <n v="683408.18105058826"/>
    <n v="0"/>
    <n v="660320.85865165968"/>
    <n v="34222.627848340235"/>
    <n v="694543.48649999988"/>
  </r>
  <r>
    <x v="0"/>
    <x v="0"/>
    <x v="0"/>
    <n v="26"/>
    <n v="3"/>
    <n v="0"/>
    <n v="20260306"/>
    <n v="20260403"/>
    <n v="3003673.4917000001"/>
    <n v="29"/>
    <n v="103574.94798965518"/>
    <n v="4339144.2295116773"/>
    <n v="310724.84396896552"/>
    <n v="0"/>
    <n v="4649869.0734806424"/>
    <n v="2802954.7268717317"/>
    <n v="200718.76482826861"/>
    <n v="0"/>
    <n v="3003673.4917000001"/>
  </r>
  <r>
    <x v="0"/>
    <x v="1"/>
    <x v="0"/>
    <n v="0"/>
    <n v="27"/>
    <n v="4"/>
    <n v="20260404"/>
    <n v="20260504"/>
    <n v="8841062.9045000002"/>
    <n v="31"/>
    <n v="285195.57756451616"/>
    <n v="0"/>
    <n v="7700280.5942419367"/>
    <n v="857292.68620247708"/>
    <n v="8557573.2804444134"/>
    <n v="0"/>
    <n v="7955370.3935630377"/>
    <n v="885692.51093696349"/>
    <n v="8841062.904500002"/>
  </r>
  <r>
    <x v="0"/>
    <x v="1"/>
    <x v="1"/>
    <n v="30"/>
    <n v="2"/>
    <n v="0"/>
    <n v="20260302"/>
    <n v="20260402"/>
    <n v="88834.863899999997"/>
    <n v="32"/>
    <n v="2776.0894968749999"/>
    <n v="134193.26875530055"/>
    <n v="5552.1789937499998"/>
    <n v="0"/>
    <n v="139745.44774905057"/>
    <n v="85305.3960482533"/>
    <n v="3529.467851746685"/>
    <n v="0"/>
    <n v="88834.863899999982"/>
  </r>
  <r>
    <x v="0"/>
    <x v="1"/>
    <x v="0"/>
    <n v="0"/>
    <n v="15"/>
    <n v="0"/>
    <n v="20260401"/>
    <n v="20260415"/>
    <n v="14865.2377"/>
    <n v="15"/>
    <n v="991.01584666666668"/>
    <n v="0"/>
    <n v="14865.2377"/>
    <n v="0"/>
    <n v="14865.2377"/>
    <n v="0"/>
    <n v="14865.2377"/>
    <n v="0"/>
    <n v="14865.2377"/>
  </r>
  <r>
    <x v="0"/>
    <x v="1"/>
    <x v="0"/>
    <n v="27"/>
    <n v="6"/>
    <n v="0"/>
    <n v="20260305"/>
    <n v="20260406"/>
    <n v="261731.24230000001"/>
    <n v="33"/>
    <n v="7931.2497666666668"/>
    <n v="345049.50198169873"/>
    <n v="47587.498599999999"/>
    <n v="0"/>
    <n v="392637.00058169873"/>
    <n v="230009.48630635955"/>
    <n v="31721.75599364045"/>
    <n v="0"/>
    <n v="261731.24230000001"/>
  </r>
  <r>
    <x v="0"/>
    <x v="0"/>
    <x v="0"/>
    <n v="27"/>
    <n v="6"/>
    <n v="0"/>
    <n v="20260305"/>
    <n v="20260406"/>
    <n v="1177790.5881000001"/>
    <n v="33"/>
    <n v="35690.623881818181"/>
    <n v="1552722.7559513901"/>
    <n v="214143.7432909091"/>
    <n v="0"/>
    <n v="1766866.4992422992"/>
    <n v="1035042.6864013174"/>
    <n v="142747.90169868263"/>
    <n v="0"/>
    <n v="1177790.5881000001"/>
  </r>
  <r>
    <x v="0"/>
    <x v="1"/>
    <x v="0"/>
    <n v="0"/>
    <n v="24"/>
    <n v="6"/>
    <n v="20260407"/>
    <n v="20260506"/>
    <n v="1331845.9397"/>
    <n v="30"/>
    <n v="44394.864656666665"/>
    <n v="0"/>
    <n v="1065476.7517599999"/>
    <n v="200175.22589300747"/>
    <n v="1265651.9776530075"/>
    <n v="0"/>
    <n v="1121201.4919834062"/>
    <n v="210644.44771659366"/>
    <n v="1331845.9397"/>
  </r>
  <r>
    <x v="0"/>
    <x v="0"/>
    <x v="1"/>
    <n v="28"/>
    <n v="3"/>
    <n v="0"/>
    <n v="20260304"/>
    <n v="20260403"/>
    <n v="1315422.6143"/>
    <n v="31"/>
    <n v="42432.987558064517"/>
    <n v="1914421.9074664561"/>
    <n v="127298.96267419355"/>
    <n v="0"/>
    <n v="2041720.8701406496"/>
    <n v="1233407.5177569401"/>
    <n v="82015.096543059975"/>
    <n v="0"/>
    <n v="1315422.6143"/>
  </r>
  <r>
    <x v="0"/>
    <x v="1"/>
    <x v="1"/>
    <n v="25"/>
    <n v="2"/>
    <n v="0"/>
    <n v="20260307"/>
    <n v="20260402"/>
    <n v="8016.8687"/>
    <n v="27"/>
    <n v="296.92106296296294"/>
    <n v="11960.711895321061"/>
    <n v="593.84212592592587"/>
    <n v="0"/>
    <n v="12554.554021246988"/>
    <n v="7637.6633260759199"/>
    <n v="379.20537392407897"/>
    <n v="0"/>
    <n v="8016.8686999999991"/>
  </r>
  <r>
    <x v="0"/>
    <x v="1"/>
    <x v="0"/>
    <n v="0"/>
    <n v="26"/>
    <n v="3"/>
    <n v="20260405"/>
    <n v="20260503"/>
    <n v="395866.57150000002"/>
    <n v="29"/>
    <n v="13650.571431034483"/>
    <n v="0"/>
    <n v="354914.85720689653"/>
    <n v="30775.025905677903"/>
    <n v="385689.88311257446"/>
    <n v="0"/>
    <n v="364279.52572429186"/>
    <n v="31587.045775708095"/>
    <n v="395866.57149999996"/>
  </r>
  <r>
    <x v="0"/>
    <x v="0"/>
    <x v="0"/>
    <n v="27"/>
    <n v="5"/>
    <n v="0"/>
    <n v="20260305"/>
    <n v="20260405"/>
    <n v="458130.2671"/>
    <n v="32"/>
    <n v="14316.570846875"/>
    <n v="622843.28272718994"/>
    <n v="71582.854234375001"/>
    <n v="0"/>
    <n v="694426.13696156489"/>
    <n v="410905.27025056595"/>
    <n v="47224.996849434086"/>
    <n v="0"/>
    <n v="458130.26710000006"/>
  </r>
  <r>
    <x v="0"/>
    <x v="0"/>
    <x v="0"/>
    <n v="26"/>
    <n v="4"/>
    <n v="0"/>
    <n v="20260306"/>
    <n v="20260404"/>
    <n v="407554.39059999998"/>
    <n v="30"/>
    <n v="13585.146353333334"/>
    <n v="569132.88927768054"/>
    <n v="54340.585413333334"/>
    <n v="0"/>
    <n v="623473.47469101392"/>
    <n v="372032.84065121668"/>
    <n v="35521.549948783271"/>
    <n v="0"/>
    <n v="407554.39059999993"/>
  </r>
  <r>
    <x v="0"/>
    <x v="1"/>
    <x v="0"/>
    <n v="0"/>
    <n v="27"/>
    <n v="8"/>
    <n v="20260404"/>
    <n v="20260508"/>
    <n v="250400.02960000001"/>
    <n v="35"/>
    <n v="7154.2865600000005"/>
    <n v="0"/>
    <n v="193165.73712000001"/>
    <n v="43011.308907812338"/>
    <n v="236177.04602781235"/>
    <n v="0"/>
    <n v="204798.50648507939"/>
    <n v="45601.523114920608"/>
    <n v="250400.02960000001"/>
  </r>
  <r>
    <x v="0"/>
    <x v="1"/>
    <x v="1"/>
    <n v="0"/>
    <n v="29"/>
    <n v="4"/>
    <n v="20260402"/>
    <n v="20260504"/>
    <n v="1633122.0608999999"/>
    <n v="33"/>
    <n v="49488.547299999998"/>
    <n v="0"/>
    <n v="1435167.8717"/>
    <n v="148761.6673911355"/>
    <n v="1583929.5390911356"/>
    <n v="0"/>
    <n v="1479740.2627600809"/>
    <n v="153381.798139919"/>
    <n v="1633122.0608999999"/>
  </r>
  <r>
    <x v="0"/>
    <x v="1"/>
    <x v="1"/>
    <n v="25"/>
    <n v="1"/>
    <n v="0"/>
    <n v="20260307"/>
    <n v="20260401"/>
    <n v="9612.7756000000008"/>
    <n v="26"/>
    <n v="369.72213846153852"/>
    <n v="14893.318565318717"/>
    <n v="369.72213846153852"/>
    <n v="0"/>
    <n v="15263.040703780256"/>
    <n v="9379.9218705001731"/>
    <n v="232.85372949982718"/>
    <n v="0"/>
    <n v="9612.7756000000008"/>
  </r>
  <r>
    <x v="0"/>
    <x v="1"/>
    <x v="0"/>
    <n v="0"/>
    <n v="27"/>
    <n v="1"/>
    <n v="20260404"/>
    <n v="20260501"/>
    <n v="3512542.9780999999"/>
    <n v="28"/>
    <n v="125447.96350357143"/>
    <n v="0"/>
    <n v="3387095.0145964287"/>
    <n v="94273.570552017394"/>
    <n v="3481368.5851484463"/>
    <n v="0"/>
    <n v="3417425.2219176898"/>
    <n v="95117.756182310055"/>
    <n v="3512542.9780999999"/>
  </r>
  <r>
    <x v="0"/>
    <x v="1"/>
    <x v="0"/>
    <n v="30"/>
    <n v="3"/>
    <n v="0"/>
    <n v="20260302"/>
    <n v="20260403"/>
    <n v="292309.36090000003"/>
    <n v="33"/>
    <n v="8857.8594212121225"/>
    <n v="428179.67909372196"/>
    <n v="26573.578263636366"/>
    <n v="0"/>
    <n v="454753.25735735835"/>
    <n v="275228.2173273096"/>
    <n v="17081.143572690431"/>
    <n v="0"/>
    <n v="292309.36090000003"/>
  </r>
  <r>
    <x v="0"/>
    <x v="1"/>
    <x v="1"/>
    <n v="0"/>
    <n v="28"/>
    <n v="5"/>
    <n v="20260403"/>
    <n v="20260505"/>
    <n v="419679.14030000003"/>
    <n v="33"/>
    <n v="12717.549706060607"/>
    <n v="0"/>
    <n v="356091.39176969696"/>
    <n v="47785.902057667117"/>
    <n v="403877.2938273641"/>
    <n v="0"/>
    <n v="370023.59738999413"/>
    <n v="49655.542910005897"/>
    <n v="419679.14030000003"/>
  </r>
  <r>
    <x v="0"/>
    <x v="0"/>
    <x v="1"/>
    <n v="26"/>
    <n v="7"/>
    <n v="0"/>
    <n v="20260306"/>
    <n v="20260407"/>
    <n v="349907.06819999998"/>
    <n v="33"/>
    <n v="10603.24449090909"/>
    <n v="444209.80207902141"/>
    <n v="74222.711436363636"/>
    <n v="0"/>
    <n v="518432.51351538504"/>
    <n v="299811.73143871507"/>
    <n v="50095.336761284918"/>
    <n v="0"/>
    <n v="349907.06819999998"/>
  </r>
  <r>
    <x v="0"/>
    <x v="1"/>
    <x v="0"/>
    <n v="0"/>
    <n v="28"/>
    <n v="5"/>
    <n v="20260403"/>
    <n v="20260505"/>
    <n v="2187667.1734000002"/>
    <n v="33"/>
    <n v="66292.944648484859"/>
    <n v="0"/>
    <n v="1856202.450157576"/>
    <n v="249094.22281063962"/>
    <n v="2105296.6729682158"/>
    <n v="0"/>
    <n v="1928827.0482417115"/>
    <n v="258840.12515828875"/>
    <n v="2187667.1734000002"/>
  </r>
  <r>
    <x v="0"/>
    <x v="1"/>
    <x v="0"/>
    <n v="0"/>
    <n v="23"/>
    <n v="8"/>
    <n v="20260408"/>
    <n v="20260508"/>
    <n v="465555.6102"/>
    <n v="31"/>
    <n v="15017.92290967742"/>
    <n v="0"/>
    <n v="345412.22692258068"/>
    <n v="90287.202784598456"/>
    <n v="435699.42970717914"/>
    <n v="0"/>
    <n v="369081.50231814093"/>
    <n v="96474.107881859076"/>
    <n v="465555.6102"/>
  </r>
  <r>
    <x v="0"/>
    <x v="1"/>
    <x v="0"/>
    <n v="0"/>
    <n v="28"/>
    <n v="8"/>
    <n v="20260403"/>
    <n v="20260508"/>
    <n v="507170.92119999998"/>
    <n v="36"/>
    <n v="14088.081144444444"/>
    <n v="0"/>
    <n v="394466.27204444446"/>
    <n v="84697.028129947634"/>
    <n v="479163.30017439206"/>
    <n v="0"/>
    <n v="417523.25877690956"/>
    <n v="89647.662423090442"/>
    <n v="507170.92119999998"/>
  </r>
  <r>
    <x v="0"/>
    <x v="1"/>
    <x v="1"/>
    <n v="25"/>
    <n v="3"/>
    <n v="0"/>
    <n v="20260307"/>
    <n v="20260403"/>
    <n v="38061.2808"/>
    <n v="28"/>
    <n v="1359.3314571428571"/>
    <n v="54757.219871467074"/>
    <n v="4077.994371428571"/>
    <n v="0"/>
    <n v="58835.214242895643"/>
    <n v="35423.172128703634"/>
    <n v="2638.1086712963643"/>
    <n v="0"/>
    <n v="38061.2808"/>
  </r>
  <r>
    <x v="0"/>
    <x v="1"/>
    <x v="0"/>
    <n v="0"/>
    <n v="24"/>
    <n v="2"/>
    <n v="20260407"/>
    <n v="20260502"/>
    <n v="505339.40950000001"/>
    <n v="26"/>
    <n v="19436.131134615385"/>
    <n v="0"/>
    <n v="466467.14723076927"/>
    <n v="29212.327224829929"/>
    <n v="495679.47445559921"/>
    <n v="0"/>
    <n v="475557.7845777063"/>
    <n v="29781.624922293726"/>
    <n v="505339.40950000001"/>
  </r>
  <r>
    <x v="0"/>
    <x v="1"/>
    <x v="0"/>
    <n v="15"/>
    <n v="16"/>
    <n v="0"/>
    <n v="20260317"/>
    <n v="20260416"/>
    <n v="863051.03899999999"/>
    <n v="31"/>
    <n v="27840.356096774194"/>
    <n v="672886.8777723544"/>
    <n v="445445.69754838711"/>
    <n v="0"/>
    <n v="1118332.5753207416"/>
    <n v="519287.13497801806"/>
    <n v="343763.90402198187"/>
    <n v="0"/>
    <n v="863051.03899999987"/>
  </r>
  <r>
    <x v="0"/>
    <x v="1"/>
    <x v="0"/>
    <n v="0"/>
    <n v="22"/>
    <n v="4"/>
    <n v="20260409"/>
    <n v="20260504"/>
    <n v="150271.02830000001"/>
    <n v="26"/>
    <n v="5779.6549346153852"/>
    <n v="0"/>
    <n v="127152.40856153847"/>
    <n v="17373.536947987741"/>
    <n v="144525.94550952621"/>
    <n v="0"/>
    <n v="132206.8720464083"/>
    <n v="18064.156253591704"/>
    <n v="150271.02830000001"/>
  </r>
  <r>
    <x v="0"/>
    <x v="1"/>
    <x v="1"/>
    <n v="27"/>
    <n v="4"/>
    <n v="0"/>
    <n v="20260305"/>
    <n v="20260404"/>
    <n v="67209.095499999996"/>
    <n v="31"/>
    <n v="2168.0353387096775"/>
    <n v="94320.50886160649"/>
    <n v="8672.14135483871"/>
    <n v="0"/>
    <n v="102992.6502164452"/>
    <n v="61549.985114142684"/>
    <n v="5659.1103858573115"/>
    <n v="0"/>
    <n v="67209.095499999996"/>
  </r>
  <r>
    <x v="0"/>
    <x v="1"/>
    <x v="1"/>
    <n v="26"/>
    <n v="4"/>
    <n v="0"/>
    <n v="20260306"/>
    <n v="20260404"/>
    <n v="33291.972900000001"/>
    <n v="30"/>
    <n v="1109.73243"/>
    <n v="46490.866405430505"/>
    <n v="4438.9297200000001"/>
    <n v="0"/>
    <n v="50929.796125430505"/>
    <n v="30390.317303749656"/>
    <n v="2901.6555962503453"/>
    <n v="0"/>
    <n v="33291.972900000001"/>
  </r>
  <r>
    <x v="0"/>
    <x v="1"/>
    <x v="1"/>
    <n v="0"/>
    <n v="24"/>
    <n v="7"/>
    <n v="20260407"/>
    <n v="20260507"/>
    <n v="429902.2598"/>
    <n v="31"/>
    <n v="13867.814832258064"/>
    <n v="0"/>
    <n v="332827.5559741935"/>
    <n v="72951.195733662244"/>
    <n v="405778.75170785573"/>
    <n v="0"/>
    <n v="352614.12243692583"/>
    <n v="77288.137363074158"/>
    <n v="429902.2598"/>
  </r>
  <r>
    <x v="0"/>
    <x v="1"/>
    <x v="0"/>
    <n v="25"/>
    <n v="8"/>
    <n v="0"/>
    <n v="20260307"/>
    <n v="20260408"/>
    <n v="40013.896699999998"/>
    <n v="33"/>
    <n v="1212.5423242424242"/>
    <n v="48844.191976221155"/>
    <n v="9700.3385939393938"/>
    <n v="0"/>
    <n v="58544.530570160547"/>
    <n v="33383.92900408087"/>
    <n v="6629.9676959191256"/>
    <n v="0"/>
    <n v="40013.896699999998"/>
  </r>
  <r>
    <x v="0"/>
    <x v="1"/>
    <x v="0"/>
    <n v="24"/>
    <n v="5"/>
    <n v="0"/>
    <n v="20260308"/>
    <n v="20260405"/>
    <n v="23713.464"/>
    <n v="29"/>
    <n v="817.7056551724138"/>
    <n v="31621.630317265452"/>
    <n v="4088.5282758620688"/>
    <n v="0"/>
    <n v="35710.158593127519"/>
    <n v="20998.461549652551"/>
    <n v="2715.0024503474492"/>
    <n v="0"/>
    <n v="23713.464"/>
  </r>
  <r>
    <x v="0"/>
    <x v="1"/>
    <x v="1"/>
    <n v="0"/>
    <n v="22"/>
    <n v="4"/>
    <n v="20260409"/>
    <n v="20260504"/>
    <n v="22287.3884"/>
    <n v="26"/>
    <n v="857.2072461538462"/>
    <n v="0"/>
    <n v="18858.559415384618"/>
    <n v="2576.7492924087042"/>
    <n v="21435.308707793323"/>
    <n v="0"/>
    <n v="19608.21017718027"/>
    <n v="2679.178222819728"/>
    <n v="22287.388399999996"/>
  </r>
  <r>
    <x v="0"/>
    <x v="0"/>
    <x v="0"/>
    <n v="14"/>
    <n v="15"/>
    <n v="0"/>
    <n v="20260318"/>
    <n v="20260415"/>
    <n v="224680.3"/>
    <n v="29"/>
    <n v="7747.5965517241375"/>
    <n v="174771.67437876246"/>
    <n v="116213.94827586206"/>
    <n v="0"/>
    <n v="290985.62265462452"/>
    <n v="134947.39661942056"/>
    <n v="89732.903380579432"/>
    <n v="0"/>
    <n v="224680.3"/>
  </r>
  <r>
    <x v="0"/>
    <x v="0"/>
    <x v="1"/>
    <n v="23"/>
    <n v="6"/>
    <n v="0"/>
    <n v="20260309"/>
    <n v="20260406"/>
    <n v="2237.5421000000001"/>
    <n v="29"/>
    <n v="77.156624137931033"/>
    <n v="2859.4141873489207"/>
    <n v="462.9397448275862"/>
    <n v="0"/>
    <n v="3322.353932176507"/>
    <n v="1925.7609984192941"/>
    <n v="311.78110158070598"/>
    <n v="0"/>
    <n v="2237.5421000000001"/>
  </r>
  <r>
    <x v="0"/>
    <x v="0"/>
    <x v="1"/>
    <n v="15"/>
    <n v="17"/>
    <n v="0"/>
    <n v="20260317"/>
    <n v="20260417"/>
    <n v="508421.75459999999"/>
    <n v="32"/>
    <n v="15888.17983125"/>
    <n v="384009.01493405266"/>
    <n v="270099.05713124998"/>
    <n v="0"/>
    <n v="654108.07206530264"/>
    <n v="298480.55006955651"/>
    <n v="209941.20453044344"/>
    <n v="0"/>
    <n v="508421.75459999999"/>
  </r>
  <r>
    <x v="0"/>
    <x v="0"/>
    <x v="1"/>
    <n v="31"/>
    <n v="3"/>
    <n v="0"/>
    <n v="20260216"/>
    <n v="20260403"/>
    <n v="23632.614099999999"/>
    <n v="34"/>
    <n v="695.07688529411757"/>
    <n v="34719.267525355652"/>
    <n v="2085.2306558823529"/>
    <n v="0"/>
    <n v="36804.498181238007"/>
    <n v="22293.662237179087"/>
    <n v="1338.9518628209132"/>
    <n v="0"/>
    <n v="23632.614099999999"/>
  </r>
  <r>
    <x v="0"/>
    <x v="1"/>
    <x v="1"/>
    <n v="0"/>
    <n v="23"/>
    <n v="5"/>
    <n v="20260408"/>
    <n v="20260505"/>
    <n v="61157.957699999999"/>
    <n v="28"/>
    <n v="2184.212775"/>
    <n v="0"/>
    <n v="50236.893824999999"/>
    <n v="8207.1295297957531"/>
    <n v="58444.023354795754"/>
    <n v="0"/>
    <n v="52569.718016797517"/>
    <n v="8588.2396832024824"/>
    <n v="61157.957699999999"/>
  </r>
  <r>
    <x v="0"/>
    <x v="1"/>
    <x v="1"/>
    <n v="0"/>
    <n v="26"/>
    <n v="5"/>
    <n v="20260405"/>
    <n v="20260505"/>
    <n v="132753.93419999999"/>
    <n v="31"/>
    <n v="4282.3849741935483"/>
    <n v="0"/>
    <n v="111342.00932903225"/>
    <n v="16090.963564507809"/>
    <n v="127432.97289354006"/>
    <n v="0"/>
    <n v="115991.09276459034"/>
    <n v="16762.841435409639"/>
    <n v="132753.93419999999"/>
  </r>
  <r>
    <x v="0"/>
    <x v="1"/>
    <x v="0"/>
    <n v="0"/>
    <n v="26"/>
    <n v="1"/>
    <n v="20260405"/>
    <n v="20260501"/>
    <n v="708775.94559999998"/>
    <n v="27"/>
    <n v="26250.960948148146"/>
    <n v="0"/>
    <n v="682524.98465185182"/>
    <n v="19727.477034197069"/>
    <n v="702252.46168604889"/>
    <n v="0"/>
    <n v="688865.21270538704"/>
    <n v="19910.732894612916"/>
    <n v="708775.94559999998"/>
  </r>
  <r>
    <x v="0"/>
    <x v="0"/>
    <x v="0"/>
    <n v="28"/>
    <n v="5"/>
    <n v="0"/>
    <n v="20260304"/>
    <n v="20260405"/>
    <n v="375467.47389999998"/>
    <n v="33"/>
    <n v="11377.802239393939"/>
    <n v="513325.0124354476"/>
    <n v="56889.011196969695"/>
    <n v="0"/>
    <n v="570214.02363241732"/>
    <n v="338007.90180683008"/>
    <n v="37459.572093169903"/>
    <n v="0"/>
    <n v="375467.47389999998"/>
  </r>
  <r>
    <x v="0"/>
    <x v="0"/>
    <x v="0"/>
    <n v="29"/>
    <n v="6"/>
    <n v="0"/>
    <n v="20260303"/>
    <n v="20260406"/>
    <n v="245426.74179999999"/>
    <n v="35"/>
    <n v="7012.1926228571429"/>
    <n v="327663.33671405492"/>
    <n v="42073.155737142857"/>
    <n v="0"/>
    <n v="369736.49245119776"/>
    <n v="217499.07509511319"/>
    <n v="27927.666704886808"/>
    <n v="0"/>
    <n v="245426.74179999999"/>
  </r>
  <r>
    <x v="0"/>
    <x v="1"/>
    <x v="0"/>
    <n v="0"/>
    <n v="23"/>
    <n v="4"/>
    <n v="20260408"/>
    <n v="20260504"/>
    <n v="1036972.1360000001"/>
    <n v="27"/>
    <n v="38406.37540740741"/>
    <n v="0"/>
    <n v="883346.63437037042"/>
    <n v="115448.86151984154"/>
    <n v="998795.49589021201"/>
    <n v="0"/>
    <n v="917110.5096494566"/>
    <n v="119861.62635054339"/>
    <n v="1036972.1359999999"/>
  </r>
  <r>
    <x v="0"/>
    <x v="1"/>
    <x v="0"/>
    <n v="0"/>
    <n v="15"/>
    <n v="19"/>
    <n v="20260416"/>
    <n v="20260519"/>
    <n v="4431.1135000000004"/>
    <n v="34"/>
    <n v="130.32686764705883"/>
    <n v="0"/>
    <n v="1954.9030147058825"/>
    <n v="1860.8608491310767"/>
    <n v="3815.763863836959"/>
    <n v="0"/>
    <n v="2270.16069357694"/>
    <n v="2160.9528064230608"/>
    <n v="4431.1135000000013"/>
  </r>
  <r>
    <x v="0"/>
    <x v="0"/>
    <x v="0"/>
    <n v="13"/>
    <n v="2"/>
    <n v="0"/>
    <n v="20260319"/>
    <n v="20260402"/>
    <n v="986.95029999999997"/>
    <n v="15"/>
    <n v="65.796686666666659"/>
    <n v="1378.2353687455859"/>
    <n v="131.59337333333332"/>
    <n v="0"/>
    <n v="1509.8287420789193"/>
    <n v="900.92986889433962"/>
    <n v="86.020431105660222"/>
    <n v="0"/>
    <n v="986.95029999999986"/>
  </r>
  <r>
    <x v="0"/>
    <x v="1"/>
    <x v="0"/>
    <n v="23"/>
    <n v="8"/>
    <n v="0"/>
    <n v="20260309"/>
    <n v="20260408"/>
    <n v="33925.618199999997"/>
    <n v="31"/>
    <n v="1094.3747806451613"/>
    <n v="40557.383232054264"/>
    <n v="8754.9982451612905"/>
    <n v="0"/>
    <n v="49312.381477215553"/>
    <n v="27902.410256894524"/>
    <n v="6023.2079431054726"/>
    <n v="0"/>
    <n v="33925.618199999997"/>
  </r>
  <r>
    <x v="0"/>
    <x v="0"/>
    <x v="0"/>
    <n v="23"/>
    <n v="8"/>
    <n v="0"/>
    <n v="20260309"/>
    <n v="20260408"/>
    <n v="97536.151700000002"/>
    <n v="31"/>
    <n v="3146.3274741935484"/>
    <n v="116602.47604498127"/>
    <n v="25170.619793548387"/>
    <n v="0"/>
    <n v="141773.09583852967"/>
    <n v="80219.428974535258"/>
    <n v="17316.722725464748"/>
    <n v="0"/>
    <n v="97536.151700000002"/>
  </r>
  <r>
    <x v="0"/>
    <x v="1"/>
    <x v="1"/>
    <n v="24"/>
    <n v="7"/>
    <n v="0"/>
    <n v="20260308"/>
    <n v="20260407"/>
    <n v="2168.4014000000002"/>
    <n v="31"/>
    <n v="69.948432258064528"/>
    <n v="2704.9873657415569"/>
    <n v="489.63902580645168"/>
    <n v="0"/>
    <n v="3194.6263915480085"/>
    <n v="1836.05144137499"/>
    <n v="332.34995862501017"/>
    <n v="0"/>
    <n v="2168.4014000000002"/>
  </r>
  <r>
    <x v="0"/>
    <x v="0"/>
    <x v="1"/>
    <n v="26"/>
    <n v="5"/>
    <n v="0"/>
    <n v="20260306"/>
    <n v="20260405"/>
    <n v="59072.117200000001"/>
    <n v="31"/>
    <n v="1905.5521677419356"/>
    <n v="79830.749164525027"/>
    <n v="9527.760838709677"/>
    <n v="0"/>
    <n v="89358.510003234696"/>
    <n v="52773.612391700779"/>
    <n v="6298.504808299228"/>
    <n v="0"/>
    <n v="59072.117200000008"/>
  </r>
  <r>
    <x v="0"/>
    <x v="1"/>
    <x v="1"/>
    <n v="25"/>
    <n v="5"/>
    <n v="0"/>
    <n v="20260307"/>
    <n v="20260405"/>
    <n v="1608.0721000000001"/>
    <n v="30"/>
    <n v="53.602403333333335"/>
    <n v="2159.2368583389084"/>
    <n v="268.01201666666668"/>
    <n v="0"/>
    <n v="2427.248875005575"/>
    <n v="1430.5119614808661"/>
    <n v="177.56013851913386"/>
    <n v="0"/>
    <n v="1608.0721000000001"/>
  </r>
  <r>
    <x v="0"/>
    <x v="0"/>
    <x v="1"/>
    <n v="25"/>
    <n v="5"/>
    <n v="0"/>
    <n v="20260307"/>
    <n v="20260405"/>
    <n v="8040.3608999999997"/>
    <n v="30"/>
    <n v="268.01202999999998"/>
    <n v="10796.184828794056"/>
    <n v="1340.0601499999998"/>
    <n v="0"/>
    <n v="12136.244978794055"/>
    <n v="7152.5601632371227"/>
    <n v="887.80073676287736"/>
    <n v="0"/>
    <n v="8040.3608999999997"/>
  </r>
  <r>
    <x v="0"/>
    <x v="1"/>
    <x v="1"/>
    <n v="0"/>
    <n v="26"/>
    <n v="6"/>
    <n v="20260405"/>
    <n v="20260506"/>
    <n v="54922.648000000001"/>
    <n v="32"/>
    <n v="1716.33275"/>
    <n v="0"/>
    <n v="44624.6515"/>
    <n v="7738.897248495703"/>
    <n v="52363.548748495705"/>
    <n v="0"/>
    <n v="46805.537153888588"/>
    <n v="8117.11084611141"/>
    <n v="54922.648000000001"/>
  </r>
  <r>
    <x v="0"/>
    <x v="1"/>
    <x v="0"/>
    <n v="0"/>
    <n v="20"/>
    <n v="0"/>
    <n v="20260402"/>
    <n v="20260421"/>
    <n v="46494.383000000002"/>
    <n v="20"/>
    <n v="2324.7191499999999"/>
    <n v="0"/>
    <n v="46494.383000000002"/>
    <n v="0"/>
    <n v="46494.383000000002"/>
    <n v="0"/>
    <n v="46494.383000000002"/>
    <n v="0"/>
    <n v="46494.383000000002"/>
  </r>
  <r>
    <x v="0"/>
    <x v="1"/>
    <x v="1"/>
    <n v="24"/>
    <n v="1"/>
    <n v="0"/>
    <n v="20260308"/>
    <n v="20260401"/>
    <n v="55.622"/>
    <n v="25"/>
    <n v="2.2248800000000002"/>
    <n v="86.038701597879125"/>
    <n v="2.2248800000000002"/>
    <n v="0"/>
    <n v="88.263581597879124"/>
    <n v="54.219923706248359"/>
    <n v="1.4020762937516422"/>
    <n v="0"/>
    <n v="55.622"/>
  </r>
  <r>
    <x v="0"/>
    <x v="1"/>
    <x v="1"/>
    <n v="13"/>
    <n v="15"/>
    <n v="0"/>
    <n v="20260319"/>
    <n v="20260415"/>
    <n v="4944.9463999999998"/>
    <n v="28"/>
    <n v="176.60522857142857"/>
    <n v="3699.3287147672181"/>
    <n v="2649.0784285714285"/>
    <n v="0"/>
    <n v="6348.4071433386471"/>
    <n v="2881.5074076809201"/>
    <n v="2063.4389923190793"/>
    <n v="0"/>
    <n v="4944.9463999999989"/>
  </r>
  <r>
    <x v="0"/>
    <x v="1"/>
    <x v="0"/>
    <n v="24"/>
    <n v="8"/>
    <n v="0"/>
    <n v="20260308"/>
    <n v="20260408"/>
    <n v="49405.657599999999"/>
    <n v="32"/>
    <n v="1543.9268"/>
    <n v="59705.448039520503"/>
    <n v="12351.4144"/>
    <n v="0"/>
    <n v="72056.862439520497"/>
    <n v="40936.932622773944"/>
    <n v="8468.7249772260584"/>
    <n v="0"/>
    <n v="49405.657600000006"/>
  </r>
  <r>
    <x v="0"/>
    <x v="1"/>
    <x v="0"/>
    <n v="0"/>
    <n v="29"/>
    <n v="9"/>
    <n v="20260402"/>
    <n v="20260509"/>
    <n v="134202.0839"/>
    <n v="38"/>
    <n v="3531.6337868421051"/>
    <n v="0"/>
    <n v="102417.37981842105"/>
    <n v="23886.059677839414"/>
    <n v="126303.43949626046"/>
    <n v="0"/>
    <n v="108822.26053405975"/>
    <n v="25379.82336594025"/>
    <n v="134202.0839"/>
  </r>
  <r>
    <x v="0"/>
    <x v="1"/>
    <x v="1"/>
    <n v="0"/>
    <n v="22"/>
    <n v="8"/>
    <n v="20260409"/>
    <n v="20260508"/>
    <n v="58508.503700000001"/>
    <n v="30"/>
    <n v="1950.2834566666668"/>
    <n v="0"/>
    <n v="42906.236046666672"/>
    <n v="11725.0327491056"/>
    <n v="54631.268795772274"/>
    <n v="0"/>
    <n v="45951.333839124381"/>
    <n v="12557.169860875618"/>
    <n v="58508.503700000001"/>
  </r>
  <r>
    <x v="0"/>
    <x v="1"/>
    <x v="0"/>
    <n v="0"/>
    <n v="28"/>
    <n v="11"/>
    <n v="20260403"/>
    <n v="20260511"/>
    <n v="6622.0014000000001"/>
    <n v="39"/>
    <n v="169.7949076923077"/>
    <n v="0"/>
    <n v="4754.2574153846153"/>
    <n v="1403.6010580732282"/>
    <n v="6157.8584734578435"/>
    <n v="0"/>
    <n v="5112.6052013596727"/>
    <n v="1509.3961986403274"/>
    <n v="6622.0014000000001"/>
  </r>
  <r>
    <x v="0"/>
    <x v="1"/>
    <x v="1"/>
    <n v="0"/>
    <n v="26"/>
    <n v="7"/>
    <n v="20260405"/>
    <n v="20260507"/>
    <n v="84836.564899999998"/>
    <n v="33"/>
    <n v="2570.8049969696967"/>
    <n v="0"/>
    <n v="66840.929921212111"/>
    <n v="13523.637342688407"/>
    <n v="80364.567263900521"/>
    <n v="0"/>
    <n v="70560.386029533896"/>
    <n v="14276.178870466105"/>
    <n v="84836.564899999998"/>
  </r>
  <r>
    <x v="0"/>
    <x v="1"/>
    <x v="1"/>
    <n v="0"/>
    <n v="26"/>
    <n v="1"/>
    <n v="20260405"/>
    <n v="20260501"/>
    <n v="106810.601"/>
    <n v="27"/>
    <n v="3955.9481851851851"/>
    <n v="0"/>
    <n v="102854.65281481482"/>
    <n v="2972.8769596611533"/>
    <n v="105827.52977447597"/>
    <n v="0"/>
    <n v="103810.10788221538"/>
    <n v="3000.4931177846051"/>
    <n v="106810.60099999998"/>
  </r>
  <r>
    <x v="0"/>
    <x v="1"/>
    <x v="0"/>
    <n v="22"/>
    <n v="7"/>
    <n v="0"/>
    <n v="20260310"/>
    <n v="20260407"/>
    <n v="54637.054199999999"/>
    <n v="29"/>
    <n v="1884.0363517241378"/>
    <n v="66786.39058140399"/>
    <n v="13188.254462068964"/>
    <n v="0"/>
    <n v="79974.645043472949"/>
    <n v="45627.10644148523"/>
    <n v="9009.9477585147761"/>
    <n v="0"/>
    <n v="54637.054200000006"/>
  </r>
  <r>
    <x v="0"/>
    <x v="1"/>
    <x v="1"/>
    <n v="0"/>
    <n v="29"/>
    <n v="14"/>
    <n v="20260402"/>
    <n v="20260514"/>
    <n v="84.332999999999998"/>
    <n v="43"/>
    <n v="1.9612325581395349"/>
    <n v="0"/>
    <n v="56.875744186046511"/>
    <n v="20.634002106122999"/>
    <n v="77.50974629216951"/>
    <n v="0"/>
    <n v="61.882567856197859"/>
    <n v="22.450432143802139"/>
    <n v="84.332999999999998"/>
  </r>
  <r>
    <x v="0"/>
    <x v="1"/>
    <x v="0"/>
    <n v="24"/>
    <n v="2"/>
    <n v="0"/>
    <n v="20260308"/>
    <n v="20260402"/>
    <n v="6317.1377000000002"/>
    <n v="26"/>
    <n v="242.96683461538461"/>
    <n v="9395.8105523238664"/>
    <n v="485.93366923076923"/>
    <n v="0"/>
    <n v="9881.7442215546362"/>
    <n v="6006.4931586343982"/>
    <n v="310.64454136560147"/>
    <n v="0"/>
    <n v="6317.1376999999993"/>
  </r>
  <r>
    <x v="0"/>
    <x v="1"/>
    <x v="0"/>
    <n v="0"/>
    <n v="24"/>
    <n v="13"/>
    <n v="20260407"/>
    <n v="20260513"/>
    <n v="8482.02"/>
    <n v="37"/>
    <n v="229.24378378378378"/>
    <n v="0"/>
    <n v="5501.8508108108108"/>
    <n v="2239.5835091095519"/>
    <n v="7741.4343199203631"/>
    <n v="0"/>
    <n v="6028.1863393492667"/>
    <n v="2453.8336606507328"/>
    <n v="8482.02"/>
  </r>
  <r>
    <x v="0"/>
    <x v="1"/>
    <x v="1"/>
    <n v="0"/>
    <n v="15"/>
    <n v="13"/>
    <n v="20260416"/>
    <n v="20260513"/>
    <n v="3967.9234000000001"/>
    <n v="28"/>
    <n v="141.71155000000002"/>
    <n v="0"/>
    <n v="2125.6732500000003"/>
    <n v="1384.4425580136676"/>
    <n v="3510.1158080136679"/>
    <n v="0"/>
    <n v="2402.9146303870916"/>
    <n v="1565.0087696129081"/>
    <n v="3967.9233999999997"/>
  </r>
  <r>
    <x v="0"/>
    <x v="1"/>
    <x v="0"/>
    <n v="0"/>
    <n v="23"/>
    <n v="3"/>
    <n v="20260408"/>
    <n v="20260503"/>
    <n v="37862.347399999999"/>
    <n v="26"/>
    <n v="1456.2441307692307"/>
    <n v="0"/>
    <n v="33493.615007692308"/>
    <n v="3283.0824025084921"/>
    <n v="36776.697410200803"/>
    <n v="0"/>
    <n v="34482.34823693963"/>
    <n v="3379.999163060369"/>
    <n v="37862.347399999999"/>
  </r>
  <r>
    <x v="0"/>
    <x v="0"/>
    <x v="0"/>
    <n v="28"/>
    <n v="8"/>
    <n v="0"/>
    <n v="20260304"/>
    <n v="20260408"/>
    <n v="91529.797699999996"/>
    <n v="36"/>
    <n v="2542.4943805555554"/>
    <n v="114708.0896692801"/>
    <n v="20339.955044444443"/>
    <n v="0"/>
    <n v="135048.04471372455"/>
    <n v="77744.244755552994"/>
    <n v="13785.55294444699"/>
    <n v="0"/>
    <n v="91529.797699999981"/>
  </r>
  <r>
    <x v="0"/>
    <x v="1"/>
    <x v="0"/>
    <n v="26"/>
    <n v="8"/>
    <n v="0"/>
    <n v="20260306"/>
    <n v="20260408"/>
    <n v="8339.3119000000006"/>
    <n v="34"/>
    <n v="245.27387941176471"/>
    <n v="10275.445550846905"/>
    <n v="1962.1910352941177"/>
    <n v="0"/>
    <n v="12237.636586141023"/>
    <n v="7002.1809159640125"/>
    <n v="1337.1309840359879"/>
    <n v="0"/>
    <n v="8339.3119000000006"/>
  </r>
  <r>
    <x v="0"/>
    <x v="1"/>
    <x v="0"/>
    <n v="23"/>
    <n v="1"/>
    <n v="0"/>
    <n v="20260309"/>
    <n v="20260401"/>
    <n v="3722.7959000000001"/>
    <n v="24"/>
    <n v="155.11649583333335"/>
    <n v="5748.5966219150969"/>
    <n v="155.11649583333335"/>
    <n v="0"/>
    <n v="5903.7131177484298"/>
    <n v="3624.9816866069664"/>
    <n v="97.814213393034251"/>
    <n v="0"/>
    <n v="3722.7959000000005"/>
  </r>
  <r>
    <x v="0"/>
    <x v="1"/>
    <x v="0"/>
    <n v="0"/>
    <n v="15"/>
    <n v="0"/>
    <n v="20260404"/>
    <n v="20260418"/>
    <n v="1643.4911999999999"/>
    <n v="15"/>
    <n v="109.56608"/>
    <n v="0"/>
    <n v="1643.4911999999999"/>
    <n v="0"/>
    <n v="1643.4911999999999"/>
    <n v="0"/>
    <n v="1643.4911999999999"/>
    <n v="0"/>
    <n v="1643.4911999999999"/>
  </r>
  <r>
    <x v="0"/>
    <x v="1"/>
    <x v="1"/>
    <n v="22"/>
    <n v="7"/>
    <n v="0"/>
    <n v="20260310"/>
    <n v="20260407"/>
    <n v="1392.0822000000001"/>
    <n v="29"/>
    <n v="48.002834482758622"/>
    <n v="1701.6317386053393"/>
    <n v="336.01984137931038"/>
    <n v="0"/>
    <n v="2037.6515799846497"/>
    <n v="1162.5202647674391"/>
    <n v="229.56193523256084"/>
    <n v="0"/>
    <n v="1392.0822000000001"/>
  </r>
  <r>
    <x v="0"/>
    <x v="1"/>
    <x v="0"/>
    <n v="23"/>
    <n v="3"/>
    <n v="0"/>
    <n v="20260309"/>
    <n v="20260403"/>
    <n v="3173.5092"/>
    <n v="26"/>
    <n v="122.05804615384615"/>
    <n v="4523.454891293225"/>
    <n v="366.17413846153846"/>
    <n v="0"/>
    <n v="4889.6290297547639"/>
    <n v="2935.8517028487181"/>
    <n v="237.65749715128149"/>
    <n v="0"/>
    <n v="3173.5091999999995"/>
  </r>
  <r>
    <x v="0"/>
    <x v="1"/>
    <x v="0"/>
    <n v="0"/>
    <n v="12"/>
    <n v="0"/>
    <n v="20260404"/>
    <n v="20260415"/>
    <n v="9645.4912000000004"/>
    <n v="12"/>
    <n v="803.79093333333333"/>
    <n v="0"/>
    <n v="9645.4912000000004"/>
    <n v="0"/>
    <n v="9645.4912000000004"/>
    <n v="0"/>
    <n v="9645.4912000000004"/>
    <n v="0"/>
    <n v="9645.4912000000004"/>
  </r>
  <r>
    <x v="0"/>
    <x v="1"/>
    <x v="1"/>
    <n v="0"/>
    <n v="16"/>
    <n v="0"/>
    <n v="20260401"/>
    <n v="20260416"/>
    <n v="5229813.5455999998"/>
    <n v="16"/>
    <n v="326863.34659999999"/>
    <n v="0"/>
    <n v="5229813.5455999998"/>
    <n v="0"/>
    <n v="5229813.5455999998"/>
    <n v="0"/>
    <n v="5229813.5455999998"/>
    <n v="0"/>
    <n v="5229813.5455999998"/>
  </r>
  <r>
    <x v="0"/>
    <x v="1"/>
    <x v="1"/>
    <n v="0"/>
    <n v="15"/>
    <n v="0"/>
    <n v="20260416"/>
    <n v="20260430"/>
    <n v="26729.409199999998"/>
    <n v="15"/>
    <n v="1781.9606133333332"/>
    <n v="0"/>
    <n v="26729.409199999998"/>
    <n v="0"/>
    <n v="26729.409199999998"/>
    <n v="0"/>
    <n v="26729.409199999998"/>
    <n v="0"/>
    <n v="26729.409199999998"/>
  </r>
  <r>
    <x v="0"/>
    <x v="1"/>
    <x v="1"/>
    <n v="0"/>
    <n v="26"/>
    <n v="8"/>
    <n v="20260405"/>
    <n v="20260508"/>
    <n v="8269.2813000000006"/>
    <n v="34"/>
    <n v="243.21415588235297"/>
    <n v="0"/>
    <n v="6323.5680529411775"/>
    <n v="1462.1946020301298"/>
    <n v="7785.7626549713077"/>
    <n v="0"/>
    <n v="6716.2801342364573"/>
    <n v="1553.0011657635425"/>
    <n v="8269.2813000000006"/>
  </r>
  <r>
    <x v="0"/>
    <x v="1"/>
    <x v="0"/>
    <n v="26"/>
    <n v="13"/>
    <n v="0"/>
    <n v="20260306"/>
    <n v="20260413"/>
    <n v="3301.4164000000001"/>
    <n v="39"/>
    <n v="84.651702564102564"/>
    <n v="3546.3782876922246"/>
    <n v="1100.4721333333334"/>
    <n v="0"/>
    <n v="4646.8504210255578"/>
    <n v="2519.5714040236012"/>
    <n v="781.84499597639865"/>
    <n v="0"/>
    <n v="3301.4164000000001"/>
  </r>
  <r>
    <x v="0"/>
    <x v="1"/>
    <x v="0"/>
    <n v="27"/>
    <n v="10"/>
    <n v="0"/>
    <n v="20260305"/>
    <n v="20260410"/>
    <n v="934.21600000000001"/>
    <n v="37"/>
    <n v="25.24908108108108"/>
    <n v="1098.462803319848"/>
    <n v="252.49081081081079"/>
    <n v="0"/>
    <n v="1350.9536141306589"/>
    <n v="759.61270285850458"/>
    <n v="174.60329714149529"/>
    <n v="0"/>
    <n v="934.21599999999989"/>
  </r>
  <r>
    <x v="0"/>
    <x v="1"/>
    <x v="0"/>
    <n v="0"/>
    <n v="15"/>
    <n v="0"/>
    <n v="20260408"/>
    <n v="20260422"/>
    <n v="1731.3382999999999"/>
    <n v="15"/>
    <n v="115.42255333333333"/>
    <n v="0"/>
    <n v="1731.3382999999999"/>
    <n v="0"/>
    <n v="1731.3382999999999"/>
    <n v="0"/>
    <n v="1731.3382999999999"/>
    <n v="0"/>
    <n v="1731.3382999999999"/>
  </r>
  <r>
    <x v="0"/>
    <x v="1"/>
    <x v="0"/>
    <n v="22"/>
    <n v="14"/>
    <n v="0"/>
    <n v="20260310"/>
    <n v="20260414"/>
    <n v="687.78319999999997"/>
    <n v="36"/>
    <n v="19.105088888888886"/>
    <n v="677.24804113153425"/>
    <n v="267.47124444444444"/>
    <n v="0"/>
    <n v="944.71928557597869"/>
    <n v="493.05633116104781"/>
    <n v="194.72686883895219"/>
    <n v="0"/>
    <n v="687.78319999999997"/>
  </r>
  <r>
    <x v="0"/>
    <x v="0"/>
    <x v="0"/>
    <n v="31"/>
    <n v="3"/>
    <n v="0"/>
    <n v="20260228"/>
    <n v="20260403"/>
    <n v="42380.9349"/>
    <n v="34"/>
    <n v="1246.4980852941176"/>
    <n v="62262.896966941218"/>
    <n v="3739.4942558823527"/>
    <n v="0"/>
    <n v="66002.391222823571"/>
    <n v="39979.760341302033"/>
    <n v="2401.1745586979669"/>
    <n v="0"/>
    <n v="42380.9349"/>
  </r>
  <r>
    <x v="0"/>
    <x v="1"/>
    <x v="0"/>
    <n v="22"/>
    <n v="6"/>
    <n v="0"/>
    <n v="20260310"/>
    <n v="20260406"/>
    <n v="4402.1769000000004"/>
    <n v="28"/>
    <n v="157.2206035714286"/>
    <n v="5573.2452444224155"/>
    <n v="943.32362142857164"/>
    <n v="0"/>
    <n v="6516.5688658509871"/>
    <n v="3764.9278290604407"/>
    <n v="637.24907093955994"/>
    <n v="0"/>
    <n v="4402.1769000000004"/>
  </r>
  <r>
    <x v="0"/>
    <x v="0"/>
    <x v="0"/>
    <n v="6"/>
    <n v="30"/>
    <n v="4"/>
    <n v="20260326"/>
    <n v="20260504"/>
    <n v="4201.9480999999996"/>
    <n v="40"/>
    <n v="105.04870249999999"/>
    <n v="1015.5889270030156"/>
    <n v="3151.4610749999997"/>
    <n v="315.77447700056746"/>
    <n v="4482.8244790035824"/>
    <n v="951.95606747242209"/>
    <n v="2954.0027583822834"/>
    <n v="295.98927414529442"/>
    <n v="4201.9480999999996"/>
  </r>
  <r>
    <x v="0"/>
    <x v="1"/>
    <x v="0"/>
    <n v="0"/>
    <n v="21"/>
    <n v="1"/>
    <n v="20260410"/>
    <n v="20260501"/>
    <n v="20433.9323"/>
    <n v="22"/>
    <n v="928.81510454545457"/>
    <n v="0"/>
    <n v="19505.117195454546"/>
    <n v="698.00030102244318"/>
    <n v="20203.117496476989"/>
    <n v="0"/>
    <n v="19727.957546402722"/>
    <n v="705.97475359727935"/>
    <n v="20433.9323"/>
  </r>
  <r>
    <x v="0"/>
    <x v="0"/>
    <x v="0"/>
    <n v="9"/>
    <n v="3"/>
    <n v="0"/>
    <n v="20260323"/>
    <n v="20260403"/>
    <n v="7508.2682999999997"/>
    <n v="12"/>
    <n v="625.68902500000002"/>
    <n v="9073.5463230111727"/>
    <n v="1877.0670749999999"/>
    <n v="0"/>
    <n v="10950.613398011174"/>
    <n v="6221.260649930291"/>
    <n v="1287.007650069708"/>
    <n v="0"/>
    <n v="7508.2682999999988"/>
  </r>
  <r>
    <x v="0"/>
    <x v="0"/>
    <x v="0"/>
    <n v="12"/>
    <n v="2"/>
    <n v="0"/>
    <n v="20260320"/>
    <n v="20260402"/>
    <n v="5100.5409"/>
    <n v="14"/>
    <n v="364.32434999999998"/>
    <n v="7044.4235272219785"/>
    <n v="728.64869999999996"/>
    <n v="0"/>
    <n v="7773.0722272219782"/>
    <n v="4622.4155992899005"/>
    <n v="478.12530071009928"/>
    <n v="0"/>
    <n v="5100.5409"/>
  </r>
  <r>
    <x v="0"/>
    <x v="1"/>
    <x v="0"/>
    <n v="16"/>
    <n v="2"/>
    <n v="0"/>
    <n v="20260316"/>
    <n v="20260402"/>
    <n v="589.91589999999997"/>
    <n v="18"/>
    <n v="32.773105555555553"/>
    <n v="844.91611512538157"/>
    <n v="65.546211111111106"/>
    <n v="0"/>
    <n v="910.46232623649269"/>
    <n v="547.44654019789277"/>
    <n v="42.469359802107192"/>
    <n v="0"/>
    <n v="589.91589999999997"/>
  </r>
  <r>
    <x v="0"/>
    <x v="1"/>
    <x v="0"/>
    <n v="5"/>
    <n v="30"/>
    <n v="4"/>
    <n v="20260327"/>
    <n v="20260504"/>
    <n v="51412.904399999999"/>
    <n v="39"/>
    <n v="1318.2796000000001"/>
    <n v="10620.709986509708"/>
    <n v="39548.387999999999"/>
    <n v="3962.7243490277028"/>
    <n v="54131.822335537407"/>
    <n v="10087.255954767183"/>
    <n v="37561.962699401905"/>
    <n v="3763.6857458309119"/>
    <n v="51412.904399999999"/>
  </r>
  <r>
    <x v="0"/>
    <x v="0"/>
    <x v="0"/>
    <n v="5"/>
    <n v="30"/>
    <n v="4"/>
    <n v="20260327"/>
    <n v="20260504"/>
    <n v="7560.7213000000002"/>
    <n v="39"/>
    <n v="193.86464871794871"/>
    <n v="1561.8691290299223"/>
    <n v="5815.9394615384617"/>
    <n v="582.75358572666789"/>
    <n v="7960.5621762950514"/>
    <n v="1483.4200060434648"/>
    <n v="5523.8180913034257"/>
    <n v="553.48320265310974"/>
    <n v="7560.7213000000002"/>
  </r>
  <r>
    <x v="0"/>
    <x v="1"/>
    <x v="0"/>
    <n v="5"/>
    <n v="30"/>
    <n v="1"/>
    <n v="20260327"/>
    <n v="20260501"/>
    <n v="37088.186000000002"/>
    <n v="36"/>
    <n v="1030.227388888889"/>
    <n v="8300.0194477317582"/>
    <n v="30906.82166666667"/>
    <n v="774.21116866733587"/>
    <n v="39981.052283065765"/>
    <n v="7699.4638085470615"/>
    <n v="28670.529793125956"/>
    <n v="718.19239832698361"/>
    <n v="37088.186000000002"/>
  </r>
  <r>
    <x v="0"/>
    <x v="1"/>
    <x v="0"/>
    <n v="0"/>
    <n v="8"/>
    <n v="7"/>
    <n v="20260423"/>
    <n v="20260507"/>
    <n v="1096.7913000000001"/>
    <n v="15"/>
    <n v="73.119420000000005"/>
    <n v="0"/>
    <n v="584.95536000000004"/>
    <n v="384.64236686691549"/>
    <n v="969.59772686691554"/>
    <n v="0"/>
    <n v="661.69085586607287"/>
    <n v="435.10044413392723"/>
    <n v="1096.7913000000001"/>
  </r>
  <r>
    <x v="0"/>
    <x v="1"/>
    <x v="0"/>
    <n v="9"/>
    <n v="1"/>
    <n v="0"/>
    <n v="20260323"/>
    <n v="20260401"/>
    <n v="638.47479999999996"/>
    <n v="10"/>
    <n v="63.847479999999997"/>
    <n v="925.89616285426985"/>
    <n v="63.847479999999997"/>
    <n v="0"/>
    <n v="989.74364285426986"/>
    <n v="597.28735988071423"/>
    <n v="41.187440119285768"/>
    <n v="0"/>
    <n v="638.47479999999996"/>
  </r>
  <r>
    <x v="0"/>
    <x v="1"/>
    <x v="0"/>
    <n v="6"/>
    <n v="30"/>
    <n v="1"/>
    <n v="20260326"/>
    <n v="20260501"/>
    <n v="1873.3857"/>
    <n v="37"/>
    <n v="50.632045945945947"/>
    <n v="489.50005083794952"/>
    <n v="1518.9613783783784"/>
    <n v="38.049750847826473"/>
    <n v="2046.5111800641544"/>
    <n v="448.09058671271987"/>
    <n v="1390.4641972281527"/>
    <n v="34.83091605912773"/>
    <n v="1873.3857000000003"/>
  </r>
  <r>
    <x v="0"/>
    <x v="0"/>
    <x v="0"/>
    <n v="2"/>
    <n v="30"/>
    <n v="1"/>
    <n v="20260330"/>
    <n v="20260501"/>
    <n v="4498.4971999999998"/>
    <n v="33"/>
    <n v="136.31809696969697"/>
    <n v="439.2983017648333"/>
    <n v="4089.5429090909092"/>
    <n v="102.44242611258979"/>
    <n v="4631.2836369683318"/>
    <n v="426.70290471509082"/>
    <n v="3972.2890602027501"/>
    <n v="99.505235082159402"/>
    <n v="4498.4972000000007"/>
  </r>
  <r>
    <x v="0"/>
    <x v="0"/>
    <x v="0"/>
    <n v="8"/>
    <n v="3"/>
    <n v="0"/>
    <n v="20260324"/>
    <n v="20260403"/>
    <n v="5776.1189000000004"/>
    <n v="11"/>
    <n v="525.10171818181823"/>
    <n v="6768.7650628616784"/>
    <n v="1575.3051545454546"/>
    <n v="0"/>
    <n v="8344.0702174071339"/>
    <n v="4685.6259344140835"/>
    <n v="1090.4929655859157"/>
    <n v="0"/>
    <n v="5776.1188999999995"/>
  </r>
  <r>
    <x v="0"/>
    <x v="1"/>
    <x v="0"/>
    <n v="0"/>
    <n v="9"/>
    <n v="2"/>
    <n v="20260422"/>
    <n v="20260502"/>
    <n v="759.45929999999998"/>
    <n v="11"/>
    <n v="69.041754545454538"/>
    <n v="0"/>
    <n v="621.37579090909082"/>
    <n v="103.76912524356243"/>
    <n v="725.1449161526532"/>
    <n v="0"/>
    <n v="650.77974441928086"/>
    <n v="108.67955558071922"/>
    <n v="759.4593000000001"/>
  </r>
  <r>
    <x v="0"/>
    <x v="1"/>
    <x v="0"/>
    <n v="8"/>
    <n v="5"/>
    <n v="0"/>
    <n v="20260324"/>
    <n v="20260405"/>
    <n v="292.23660000000001"/>
    <n v="13"/>
    <n v="22.479738461538464"/>
    <n v="289.77255844370245"/>
    <n v="112.39869230769231"/>
    <n v="0"/>
    <n v="402.17125075139478"/>
    <n v="210.56240866216422"/>
    <n v="81.674191337835794"/>
    <n v="0"/>
    <n v="292.23660000000001"/>
  </r>
  <r>
    <x v="0"/>
    <x v="1"/>
    <x v="0"/>
    <n v="2"/>
    <n v="30"/>
    <n v="4"/>
    <n v="20260330"/>
    <n v="20260504"/>
    <n v="8324.7579000000005"/>
    <n v="36"/>
    <n v="231.24327500000001"/>
    <n v="745.2039036652651"/>
    <n v="6937.2982500000007"/>
    <n v="695.11305218665984"/>
    <n v="8377.6152058519256"/>
    <n v="740.50215147323684"/>
    <n v="6893.5284078222248"/>
    <n v="690.72734070453896"/>
    <n v="8324.7579000000005"/>
  </r>
  <r>
    <x v="0"/>
    <x v="1"/>
    <x v="0"/>
    <n v="11"/>
    <n v="4"/>
    <n v="0"/>
    <n v="20260321"/>
    <n v="20260404"/>
    <n v="776.37260000000003"/>
    <n v="15"/>
    <n v="51.758173333333339"/>
    <n v="917.37656145982567"/>
    <n v="207.03269333333336"/>
    <n v="0"/>
    <n v="1124.4092547931591"/>
    <n v="633.4224155159967"/>
    <n v="142.95018448400324"/>
    <n v="0"/>
    <n v="776.37259999999992"/>
  </r>
  <r>
    <x v="0"/>
    <x v="0"/>
    <x v="0"/>
    <n v="12"/>
    <n v="7"/>
    <n v="0"/>
    <n v="20260320"/>
    <n v="20260407"/>
    <n v="1863.5912000000001"/>
    <n v="19"/>
    <n v="98.083747368421058"/>
    <n v="1896.5063894307423"/>
    <n v="686.58623157894738"/>
    <n v="0"/>
    <n v="2583.0926210096895"/>
    <n v="1368.2485054312137"/>
    <n v="495.34269456878633"/>
    <n v="0"/>
    <n v="1863.5912000000001"/>
  </r>
  <r>
    <x v="0"/>
    <x v="1"/>
    <x v="0"/>
    <n v="0"/>
    <n v="30"/>
    <n v="6"/>
    <n v="20260401"/>
    <n v="20260506"/>
    <n v="67719.3894"/>
    <n v="36"/>
    <n v="1881.0941499999999"/>
    <n v="0"/>
    <n v="56432.824499999995"/>
    <n v="8481.8018776349527"/>
    <n v="64914.626377634951"/>
    <n v="0"/>
    <n v="58871.114731918336"/>
    <n v="8848.2746680816545"/>
    <n v="67719.389399999985"/>
  </r>
  <r>
    <x v="0"/>
    <x v="1"/>
    <x v="0"/>
    <n v="0"/>
    <n v="20"/>
    <n v="2"/>
    <n v="20260411"/>
    <n v="20260502"/>
    <n v="10555.4583"/>
    <n v="22"/>
    <n v="479.79355909090913"/>
    <n v="0"/>
    <n v="9595.8711818181819"/>
    <n v="721.12532846454098"/>
    <n v="10316.996510282723"/>
    <n v="0"/>
    <n v="9817.6652488833552"/>
    <n v="737.79305111664462"/>
    <n v="10555.4583"/>
  </r>
  <r>
    <x v="0"/>
    <x v="1"/>
    <x v="0"/>
    <n v="0"/>
    <n v="7"/>
    <n v="6"/>
    <n v="20260424"/>
    <n v="20260506"/>
    <n v="801.16340000000002"/>
    <n v="13"/>
    <n v="61.627953846153851"/>
    <n v="0"/>
    <n v="431.39567692307696"/>
    <n v="277.87875192058192"/>
    <n v="709.27442884365882"/>
    <n v="0"/>
    <n v="487.28448850533215"/>
    <n v="313.87891149466793"/>
    <n v="801.16340000000014"/>
  </r>
  <r>
    <x v="0"/>
    <x v="0"/>
    <x v="0"/>
    <n v="18"/>
    <n v="8"/>
    <n v="0"/>
    <n v="20260314"/>
    <n v="20260408"/>
    <n v="961.85220000000004"/>
    <n v="26"/>
    <n v="36.994315384615383"/>
    <n v="1072.9599558834921"/>
    <n v="295.95452307692307"/>
    <n v="0"/>
    <n v="1368.9144789604152"/>
    <n v="753.90311808388935"/>
    <n v="207.9490819161106"/>
    <n v="0"/>
    <n v="961.85219999999993"/>
  </r>
  <r>
    <x v="0"/>
    <x v="1"/>
    <x v="0"/>
    <n v="0"/>
    <n v="8"/>
    <n v="3"/>
    <n v="20260423"/>
    <n v="20260503"/>
    <n v="1138.8688999999999"/>
    <n v="11"/>
    <n v="103.53353636363636"/>
    <n v="0"/>
    <n v="828.26829090909087"/>
    <n v="233.41493649514499"/>
    <n v="1061.6832274042358"/>
    <n v="0"/>
    <n v="888.48441138023088"/>
    <n v="250.38448861976909"/>
    <n v="1138.8688999999999"/>
  </r>
  <r>
    <x v="0"/>
    <x v="1"/>
    <x v="0"/>
    <n v="0"/>
    <n v="7"/>
    <n v="1"/>
    <n v="20260424"/>
    <n v="20260501"/>
    <n v="9866.4971000000005"/>
    <n v="8"/>
    <n v="1233.3121375000001"/>
    <n v="0"/>
    <n v="8633.1849624999995"/>
    <n v="926.82842797966612"/>
    <n v="9560.0133904796658"/>
    <n v="0"/>
    <n v="8909.955553105774"/>
    <n v="956.54154689422614"/>
    <n v="9866.4971000000005"/>
  </r>
  <r>
    <x v="0"/>
    <x v="1"/>
    <x v="1"/>
    <n v="0"/>
    <n v="7"/>
    <n v="15"/>
    <n v="20260424"/>
    <n v="20260515"/>
    <n v="26355.294000000002"/>
    <n v="22"/>
    <n v="1197.9679090909092"/>
    <n v="0"/>
    <n v="8385.775363636365"/>
    <n v="13504.011030858945"/>
    <n v="21889.78639449531"/>
    <n v="0"/>
    <n v="10096.470159351178"/>
    <n v="16258.823840648822"/>
    <n v="26355.294000000002"/>
  </r>
  <r>
    <x v="0"/>
    <x v="0"/>
    <x v="0"/>
    <n v="1"/>
    <n v="30"/>
    <n v="7"/>
    <n v="20260331"/>
    <n v="20260507"/>
    <n v="59.930599999999998"/>
    <n v="38"/>
    <n v="1.5771210526315789"/>
    <n v="2.5412128525115478"/>
    <n v="47.313631578947366"/>
    <n v="8.2963947815758328"/>
    <n v="58.151239213034749"/>
    <n v="2.6189710320840578"/>
    <n v="48.761374083833296"/>
    <n v="8.550254884082646"/>
    <n v="59.930599999999998"/>
  </r>
  <r>
    <x v="0"/>
    <x v="1"/>
    <x v="0"/>
    <n v="20"/>
    <n v="5"/>
    <n v="0"/>
    <n v="20260312"/>
    <n v="20260405"/>
    <n v="58.944499999999998"/>
    <n v="25"/>
    <n v="2.35778"/>
    <n v="75.98174952261374"/>
    <n v="11.7889"/>
    <n v="0"/>
    <n v="87.770649522613738"/>
    <n v="51.027379415504782"/>
    <n v="7.9171205844952102"/>
    <n v="0"/>
    <n v="58.944499999999991"/>
  </r>
  <r>
    <x v="0"/>
    <x v="1"/>
    <x v="1"/>
    <n v="0"/>
    <n v="13"/>
    <n v="0"/>
    <n v="20260403"/>
    <n v="20260415"/>
    <n v="42.108199999999997"/>
    <n v="13"/>
    <n v="3.2390923076923075"/>
    <n v="0"/>
    <n v="42.108199999999997"/>
    <n v="0"/>
    <n v="42.108199999999997"/>
    <n v="0"/>
    <n v="42.108199999999997"/>
    <n v="0"/>
    <n v="42.108199999999997"/>
  </r>
  <r>
    <x v="0"/>
    <x v="1"/>
    <x v="1"/>
    <n v="7"/>
    <n v="3"/>
    <n v="0"/>
    <n v="20260325"/>
    <n v="20260403"/>
    <n v="50.681600000000003"/>
    <n v="10"/>
    <n v="5.0681600000000007"/>
    <n v="57.164231726957368"/>
    <n v="15.204480000000002"/>
    <n v="0"/>
    <n v="72.368711726957372"/>
    <n v="40.03352633419567"/>
    <n v="10.648073665804334"/>
    <n v="0"/>
    <n v="50.681600000000003"/>
  </r>
  <r>
    <x v="0"/>
    <x v="0"/>
    <x v="0"/>
    <n v="14"/>
    <n v="6"/>
    <n v="0"/>
    <n v="20260318"/>
    <n v="20260406"/>
    <n v="294.92340000000002"/>
    <n v="20"/>
    <n v="14.746170000000001"/>
    <n v="332.64675107538307"/>
    <n v="88.47702000000001"/>
    <n v="0"/>
    <n v="421.12377107538305"/>
    <n v="232.96075302418478"/>
    <n v="61.962646975815268"/>
    <n v="0"/>
    <n v="294.92340000000007"/>
  </r>
  <r>
    <x v="0"/>
    <x v="1"/>
    <x v="0"/>
    <n v="16"/>
    <n v="9"/>
    <n v="0"/>
    <n v="20260316"/>
    <n v="20260409"/>
    <n v="6549.4341999999997"/>
    <n v="25"/>
    <n v="261.97736800000001"/>
    <n v="6753.9800171244497"/>
    <n v="2357.7963119999999"/>
    <n v="0"/>
    <n v="9111.7763291244501"/>
    <n v="4854.6788367578338"/>
    <n v="1694.7553632421652"/>
    <n v="0"/>
    <n v="6549.4341999999988"/>
  </r>
  <r>
    <x v="0"/>
    <x v="1"/>
    <x v="1"/>
    <n v="0"/>
    <n v="16"/>
    <n v="4"/>
    <n v="20260415"/>
    <n v="20260504"/>
    <n v="13849.0854"/>
    <n v="20"/>
    <n v="692.45426999999995"/>
    <n v="0"/>
    <n v="11079.268319999999"/>
    <n v="2081.50486157656"/>
    <n v="13160.773181576558"/>
    <n v="0"/>
    <n v="11658.717236156628"/>
    <n v="2190.3681638433732"/>
    <n v="13849.085400000002"/>
  </r>
  <r>
    <x v="0"/>
    <x v="1"/>
    <x v="1"/>
    <n v="0"/>
    <n v="27"/>
    <n v="4"/>
    <n v="20260404"/>
    <n v="20260504"/>
    <n v="1833338.2575000001"/>
    <n v="31"/>
    <n v="59139.943790322584"/>
    <n v="0"/>
    <n v="1596778.4823387098"/>
    <n v="177773.58859079742"/>
    <n v="1774552.0709295073"/>
    <n v="0"/>
    <n v="1649675.5031206042"/>
    <n v="183662.75437939589"/>
    <n v="1833338.2575000001"/>
  </r>
  <r>
    <x v="0"/>
    <x v="1"/>
    <x v="0"/>
    <n v="0"/>
    <n v="29"/>
    <n v="1"/>
    <n v="20260402"/>
    <n v="20260501"/>
    <n v="27546724.137200002"/>
    <n v="30"/>
    <n v="918224.13790666673"/>
    <n v="0"/>
    <n v="26628499.999293335"/>
    <n v="690041.23805521207"/>
    <n v="27318541.237348545"/>
    <n v="0"/>
    <n v="26850919.208860286"/>
    <n v="695804.92833971605"/>
    <n v="27546724.137200002"/>
  </r>
  <r>
    <x v="0"/>
    <x v="0"/>
    <x v="0"/>
    <n v="30"/>
    <n v="1"/>
    <n v="0"/>
    <n v="20260302"/>
    <n v="20260401"/>
    <n v="23836591.8796"/>
    <n v="31"/>
    <n v="768922.31869677419"/>
    <n v="37168902.328609332"/>
    <n v="768922.31869677419"/>
    <n v="0"/>
    <n v="37937824.647306107"/>
    <n v="23353472.784915898"/>
    <n v="483119.09468410182"/>
    <n v="0"/>
    <n v="23836591.8796"/>
  </r>
  <r>
    <x v="0"/>
    <x v="0"/>
    <x v="1"/>
    <n v="27"/>
    <n v="3"/>
    <n v="0"/>
    <n v="20260305"/>
    <n v="20260403"/>
    <n v="1710807.0245000001"/>
    <n v="30"/>
    <n v="57026.900816666668"/>
    <n v="2480958.7776505528"/>
    <n v="171080.70245000001"/>
    <n v="0"/>
    <n v="2652039.480100553"/>
    <n v="1600444.3886101462"/>
    <n v="110362.63588985376"/>
    <n v="0"/>
    <n v="1710807.0245000001"/>
  </r>
  <r>
    <x v="0"/>
    <x v="1"/>
    <x v="0"/>
    <n v="0"/>
    <n v="27"/>
    <n v="7"/>
    <n v="20260404"/>
    <n v="20260507"/>
    <n v="910628.03700000001"/>
    <n v="34"/>
    <n v="26783.177558823529"/>
    <n v="0"/>
    <n v="723145.79408823524"/>
    <n v="140892.04767273506"/>
    <n v="864037.8417609703"/>
    <n v="0"/>
    <n v="762138.88224301836"/>
    <n v="148489.15475698168"/>
    <n v="910628.03700000001"/>
  </r>
  <r>
    <x v="0"/>
    <x v="1"/>
    <x v="0"/>
    <n v="0"/>
    <n v="29"/>
    <n v="4"/>
    <n v="20260402"/>
    <n v="20260504"/>
    <n v="7165014.449"/>
    <n v="33"/>
    <n v="217121.64996969697"/>
    <n v="0"/>
    <n v="6296527.849121212"/>
    <n v="652663.70581475133"/>
    <n v="6949191.5549359638"/>
    <n v="0"/>
    <n v="6492080.7925404934"/>
    <n v="672933.65645950602"/>
    <n v="7165014.4489999991"/>
  </r>
  <r>
    <x v="0"/>
    <x v="0"/>
    <x v="0"/>
    <n v="28"/>
    <n v="2"/>
    <n v="0"/>
    <n v="20260304"/>
    <n v="20260402"/>
    <n v="10653732.076300001"/>
    <n v="30"/>
    <n v="355124.40254333336"/>
    <n v="16021920.096354017"/>
    <n v="710248.80508666672"/>
    <n v="0"/>
    <n v="16732168.901440684"/>
    <n v="10201501.374979861"/>
    <n v="452230.70132014074"/>
    <n v="0"/>
    <n v="10653732.076300003"/>
  </r>
  <r>
    <x v="0"/>
    <x v="1"/>
    <x v="0"/>
    <n v="29"/>
    <n v="3"/>
    <n v="0"/>
    <n v="20260303"/>
    <n v="20260403"/>
    <n v="157193.08790000001"/>
    <n v="32"/>
    <n v="4912.2839968750004"/>
    <n v="229539.52520592476"/>
    <n v="14736.851990625"/>
    <n v="0"/>
    <n v="244276.37719654976"/>
    <n v="147709.84888639831"/>
    <n v="9483.239013601702"/>
    <n v="0"/>
    <n v="157193.08790000001"/>
  </r>
  <r>
    <x v="0"/>
    <x v="0"/>
    <x v="1"/>
    <n v="27"/>
    <n v="2"/>
    <n v="0"/>
    <n v="20260305"/>
    <n v="20260402"/>
    <n v="2104192.5704999999"/>
    <n v="29"/>
    <n v="72558.364499999996"/>
    <n v="3156656.0468885293"/>
    <n v="145116.72899999999"/>
    <n v="0"/>
    <n v="3301772.7758885291"/>
    <n v="2011710.8754400213"/>
    <n v="92481.695059978549"/>
    <n v="0"/>
    <n v="2104192.5704999999"/>
  </r>
  <r>
    <x v="0"/>
    <x v="0"/>
    <x v="0"/>
    <n v="26"/>
    <n v="1"/>
    <n v="0"/>
    <n v="20260306"/>
    <n v="20260401"/>
    <n v="1076072.6122000001"/>
    <n v="27"/>
    <n v="39854.541192592595"/>
    <n v="1669656.6669089317"/>
    <n v="39854.541192592595"/>
    <n v="0"/>
    <n v="1709511.2081015243"/>
    <n v="1050985.6867408962"/>
    <n v="25086.925459103917"/>
    <n v="0"/>
    <n v="1076072.6122000001"/>
  </r>
  <r>
    <x v="0"/>
    <x v="1"/>
    <x v="1"/>
    <n v="0"/>
    <n v="29"/>
    <n v="8"/>
    <n v="20260402"/>
    <n v="20260508"/>
    <n v="61403.457799999996"/>
    <n v="37"/>
    <n v="1659.5529135135134"/>
    <n v="0"/>
    <n v="48127.034491891893"/>
    <n v="9977.1713661955546"/>
    <n v="58104.205858087444"/>
    <n v="0"/>
    <n v="50859.766308133832"/>
    <n v="10543.69149186617"/>
    <n v="61403.457800000004"/>
  </r>
  <r>
    <x v="0"/>
    <x v="1"/>
    <x v="1"/>
    <n v="30"/>
    <n v="7"/>
    <n v="0"/>
    <n v="20260302"/>
    <n v="20260407"/>
    <n v="47101.637199999997"/>
    <n v="37"/>
    <n v="1273.0172216216215"/>
    <n v="61536.323790532428"/>
    <n v="8911.1205513513505"/>
    <n v="0"/>
    <n v="70447.444341883776"/>
    <n v="41143.601799620395"/>
    <n v="5958.0354003796028"/>
    <n v="0"/>
    <n v="47101.637199999997"/>
  </r>
  <r>
    <x v="0"/>
    <x v="0"/>
    <x v="1"/>
    <n v="26"/>
    <n v="2"/>
    <n v="0"/>
    <n v="20260306"/>
    <n v="20260402"/>
    <n v="1039903.7606"/>
    <n v="28"/>
    <n v="37139.420021428574"/>
    <n v="1555910.0265200024"/>
    <n v="74278.840042857148"/>
    <n v="0"/>
    <n v="1630188.8665628596"/>
    <n v="992521.00227185967"/>
    <n v="47382.758328140349"/>
    <n v="0"/>
    <n v="1039903.7606"/>
  </r>
  <r>
    <x v="0"/>
    <x v="1"/>
    <x v="0"/>
    <n v="0"/>
    <n v="25"/>
    <n v="4"/>
    <n v="20260406"/>
    <n v="20260504"/>
    <n v="682864.55669999996"/>
    <n v="29"/>
    <n v="23547.053679310342"/>
    <n v="0"/>
    <n v="588676.3419827586"/>
    <n v="70782.012376483297"/>
    <n v="659458.3543592419"/>
    <n v="0"/>
    <n v="609570.2733168361"/>
    <n v="73294.283383163871"/>
    <n v="682864.55669999996"/>
  </r>
  <r>
    <x v="0"/>
    <x v="1"/>
    <x v="0"/>
    <n v="28"/>
    <n v="6"/>
    <n v="0"/>
    <n v="20260304"/>
    <n v="20260406"/>
    <n v="300040.766"/>
    <n v="34"/>
    <n v="8824.7284117647068"/>
    <n v="398139.61663213634"/>
    <n v="52948.370470588241"/>
    <n v="0"/>
    <n v="451087.98710272461"/>
    <n v="264822.2053451598"/>
    <n v="35218.560654840192"/>
    <n v="0"/>
    <n v="300040.766"/>
  </r>
  <r>
    <x v="0"/>
    <x v="1"/>
    <x v="0"/>
    <n v="26"/>
    <n v="4"/>
    <n v="0"/>
    <n v="20260306"/>
    <n v="20260404"/>
    <n v="62700.675499999998"/>
    <n v="30"/>
    <n v="2090.0225166666664"/>
    <n v="87558.906074946048"/>
    <n v="8360.0900666666657"/>
    <n v="0"/>
    <n v="95918.996141612719"/>
    <n v="57235.821659714311"/>
    <n v="5464.8538402856839"/>
    <n v="0"/>
    <n v="62700.675499999998"/>
  </r>
  <r>
    <x v="0"/>
    <x v="1"/>
    <x v="1"/>
    <n v="0"/>
    <n v="24"/>
    <n v="6"/>
    <n v="20260407"/>
    <n v="20260506"/>
    <n v="836048.36120000004"/>
    <n v="30"/>
    <n v="27868.278706666668"/>
    <n v="0"/>
    <n v="668838.68896000006"/>
    <n v="125657.30357550658"/>
    <n v="794495.99253550661"/>
    <n v="0"/>
    <n v="703819.14454675408"/>
    <n v="132229.21665324597"/>
    <n v="836048.36120000004"/>
  </r>
  <r>
    <x v="0"/>
    <x v="1"/>
    <x v="1"/>
    <n v="0"/>
    <n v="28"/>
    <n v="7"/>
    <n v="20260403"/>
    <n v="20260507"/>
    <n v="442439.7599"/>
    <n v="35"/>
    <n v="12641.135997142857"/>
    <n v="0"/>
    <n v="353951.80791999999"/>
    <n v="66498.291012532558"/>
    <n v="420450.09893253254"/>
    <n v="0"/>
    <n v="372463.58916287206"/>
    <n v="69976.170737127948"/>
    <n v="442439.7599"/>
  </r>
  <r>
    <x v="0"/>
    <x v="0"/>
    <x v="0"/>
    <n v="30"/>
    <n v="7"/>
    <n v="0"/>
    <n v="20260302"/>
    <n v="20260407"/>
    <n v="610346.65209999995"/>
    <n v="37"/>
    <n v="16495.855462162162"/>
    <n v="797392.43560928828"/>
    <n v="115470.98823513514"/>
    <n v="0"/>
    <n v="912863.42384442338"/>
    <n v="533141.9692930301"/>
    <n v="77204.682806969882"/>
    <n v="0"/>
    <n v="610346.65209999995"/>
  </r>
  <r>
    <x v="0"/>
    <x v="1"/>
    <x v="1"/>
    <n v="0"/>
    <n v="23"/>
    <n v="10"/>
    <n v="20260408"/>
    <n v="20260510"/>
    <n v="13254.242399999999"/>
    <n v="33"/>
    <n v="401.64370909090906"/>
    <n v="0"/>
    <n v="9237.8053090909088"/>
    <n v="3018.3340955294016"/>
    <n v="12256.13940462031"/>
    <n v="0"/>
    <n v="9990.1042872064954"/>
    <n v="3264.1381127935047"/>
    <n v="13254.242399999999"/>
  </r>
  <r>
    <x v="0"/>
    <x v="1"/>
    <x v="1"/>
    <n v="14"/>
    <n v="16"/>
    <n v="0"/>
    <n v="20260318"/>
    <n v="20260416"/>
    <n v="2119561.5142000001"/>
    <n v="30"/>
    <n v="70652.050473333336"/>
    <n v="1593781.6427430524"/>
    <n v="1130432.8075733334"/>
    <n v="0"/>
    <n v="2724214.4503163858"/>
    <n v="1240033.8863206231"/>
    <n v="879527.62787937699"/>
    <n v="0"/>
    <n v="2119561.5142000001"/>
  </r>
  <r>
    <x v="0"/>
    <x v="1"/>
    <x v="0"/>
    <n v="0"/>
    <n v="26"/>
    <n v="2"/>
    <n v="20260405"/>
    <n v="20260502"/>
    <n v="682454.33620000002"/>
    <n v="28"/>
    <n v="24373.369150000002"/>
    <n v="0"/>
    <n v="633707.59790000005"/>
    <n v="36632.950778630591"/>
    <n v="670340.54867863061"/>
    <n v="0"/>
    <n v="645159.38789953094"/>
    <n v="37294.948300469092"/>
    <n v="682454.33620000002"/>
  </r>
  <r>
    <x v="0"/>
    <x v="1"/>
    <x v="1"/>
    <n v="0"/>
    <n v="30"/>
    <n v="0"/>
    <n v="20260401"/>
    <n v="20260430"/>
    <n v="1840675.8202"/>
    <n v="30"/>
    <n v="61355.860673333329"/>
    <n v="0"/>
    <n v="1840675.8202"/>
    <n v="0"/>
    <n v="1840675.8202"/>
    <n v="0"/>
    <n v="1840675.8202"/>
    <n v="0"/>
    <n v="1840675.8202"/>
  </r>
  <r>
    <x v="0"/>
    <x v="1"/>
    <x v="1"/>
    <n v="0"/>
    <n v="27"/>
    <n v="2"/>
    <n v="20260404"/>
    <n v="20260502"/>
    <n v="331558.05249999999"/>
    <n v="29"/>
    <n v="11433.036293103449"/>
    <n v="0"/>
    <n v="308691.9799137931"/>
    <n v="17183.748918665835"/>
    <n v="325875.72883245896"/>
    <n v="0"/>
    <n v="314074.66904418264"/>
    <n v="17483.383455817322"/>
    <n v="331558.05249999993"/>
  </r>
  <r>
    <x v="0"/>
    <x v="0"/>
    <x v="1"/>
    <n v="16"/>
    <n v="16"/>
    <n v="0"/>
    <n v="20260316"/>
    <n v="20260416"/>
    <n v="178468.86249999999"/>
    <n v="32"/>
    <n v="5577.1519531249996"/>
    <n v="143783.30896076807"/>
    <n v="89234.431249999994"/>
    <n v="0"/>
    <n v="233017.74021076807"/>
    <n v="110123.99130428316"/>
    <n v="68344.871195716842"/>
    <n v="0"/>
    <n v="178468.86249999999"/>
  </r>
  <r>
    <x v="0"/>
    <x v="0"/>
    <x v="1"/>
    <n v="30"/>
    <n v="6"/>
    <n v="0"/>
    <n v="20260302"/>
    <n v="20260406"/>
    <n v="315072.71970000002"/>
    <n v="36"/>
    <n v="8752.0199916666679"/>
    <n v="423063.51153864531"/>
    <n v="52512.119950000008"/>
    <n v="0"/>
    <n v="475575.63148864533"/>
    <n v="280283.0135956952"/>
    <n v="34789.706104304794"/>
    <n v="0"/>
    <n v="315072.71970000002"/>
  </r>
  <r>
    <x v="0"/>
    <x v="0"/>
    <x v="0"/>
    <n v="30"/>
    <n v="4"/>
    <n v="0"/>
    <n v="20260302"/>
    <n v="20260404"/>
    <n v="496575.66489999997"/>
    <n v="34"/>
    <n v="14605.166614705882"/>
    <n v="705998.51011626795"/>
    <n v="58420.666458823529"/>
    <n v="0"/>
    <n v="764419.17657509143"/>
    <n v="458624.91460528696"/>
    <n v="37950.750294713005"/>
    <n v="0"/>
    <n v="496575.66489999997"/>
  </r>
  <r>
    <x v="0"/>
    <x v="0"/>
    <x v="0"/>
    <n v="27"/>
    <n v="8"/>
    <n v="0"/>
    <n v="20260305"/>
    <n v="20260408"/>
    <n v="251991.98069999999"/>
    <n v="35"/>
    <n v="7199.770877142857"/>
    <n v="313226.46854236815"/>
    <n v="57598.167017142856"/>
    <n v="0"/>
    <n v="370824.63555951102"/>
    <n v="212851.44148140226"/>
    <n v="39140.539218597689"/>
    <n v="0"/>
    <n v="251991.98069999996"/>
  </r>
  <r>
    <x v="0"/>
    <x v="0"/>
    <x v="0"/>
    <n v="30"/>
    <n v="5"/>
    <n v="0"/>
    <n v="20260302"/>
    <n v="20260405"/>
    <n v="216874.81719999999"/>
    <n v="35"/>
    <n v="6196.4233485714285"/>
    <n v="299528.6371972129"/>
    <n v="30982.116742857143"/>
    <n v="0"/>
    <n v="330510.75394007005"/>
    <n v="196544.94646213416"/>
    <n v="20329.870737865822"/>
    <n v="0"/>
    <n v="216874.81719999999"/>
  </r>
  <r>
    <x v="0"/>
    <x v="1"/>
    <x v="0"/>
    <n v="0"/>
    <n v="25"/>
    <n v="6"/>
    <n v="20260406"/>
    <n v="20260506"/>
    <n v="326333.63679999998"/>
    <n v="31"/>
    <n v="10526.891509677418"/>
    <n v="0"/>
    <n v="263172.28774193546"/>
    <n v="47465.464805385403"/>
    <n v="310637.75254732085"/>
    <n v="0"/>
    <n v="276469.84006143641"/>
    <n v="49863.796738563593"/>
    <n v="326333.63679999998"/>
  </r>
  <r>
    <x v="0"/>
    <x v="1"/>
    <x v="1"/>
    <n v="0"/>
    <n v="10"/>
    <n v="0"/>
    <n v="20260421"/>
    <n v="20260430"/>
    <n v="26620.536199999999"/>
    <n v="10"/>
    <n v="2662.0536199999997"/>
    <n v="0"/>
    <n v="26620.536199999995"/>
    <n v="0"/>
    <n v="26620.536199999995"/>
    <n v="0"/>
    <n v="26620.536199999999"/>
    <n v="0"/>
    <n v="26620.536199999999"/>
  </r>
  <r>
    <x v="0"/>
    <x v="1"/>
    <x v="1"/>
    <n v="0"/>
    <n v="10"/>
    <n v="0"/>
    <n v="20260401"/>
    <n v="20260410"/>
    <n v="30422.606100000001"/>
    <n v="10"/>
    <n v="3042.2606100000003"/>
    <n v="0"/>
    <n v="30422.606100000005"/>
    <n v="0"/>
    <n v="30422.606100000005"/>
    <n v="0"/>
    <n v="30422.606100000001"/>
    <n v="0"/>
    <n v="30422.606100000001"/>
  </r>
  <r>
    <x v="0"/>
    <x v="1"/>
    <x v="0"/>
    <n v="24"/>
    <n v="7"/>
    <n v="0"/>
    <n v="20260308"/>
    <n v="20260407"/>
    <n v="61970.629300000001"/>
    <n v="31"/>
    <n v="1999.0525580645162"/>
    <n v="77305.691327977169"/>
    <n v="13993.367906451615"/>
    <n v="0"/>
    <n v="91299.059234428787"/>
    <n v="52472.417352792792"/>
    <n v="9498.2119472072081"/>
    <n v="0"/>
    <n v="61970.629300000001"/>
  </r>
  <r>
    <x v="0"/>
    <x v="1"/>
    <x v="0"/>
    <n v="0"/>
    <n v="15"/>
    <n v="18"/>
    <n v="20260416"/>
    <n v="20260518"/>
    <n v="81365.589399999997"/>
    <n v="33"/>
    <n v="2465.6239212121213"/>
    <n v="0"/>
    <n v="36984.35881818182"/>
    <n v="33352.291703972325"/>
    <n v="70336.650522154145"/>
    <n v="0"/>
    <n v="42783.586245333325"/>
    <n v="38582.003154666672"/>
    <n v="81365.589399999997"/>
  </r>
  <r>
    <x v="0"/>
    <x v="1"/>
    <x v="0"/>
    <n v="0"/>
    <n v="29"/>
    <n v="5"/>
    <n v="20260402"/>
    <n v="20260505"/>
    <n v="1114291.7708000001"/>
    <n v="34"/>
    <n v="32773.287376470587"/>
    <n v="0"/>
    <n v="950425.33391764702"/>
    <n v="123144.87750210788"/>
    <n v="1073570.2114197549"/>
    <n v="0"/>
    <n v="986475.88865540735"/>
    <n v="127815.88214459272"/>
    <n v="1114291.7708000001"/>
  </r>
  <r>
    <x v="0"/>
    <x v="1"/>
    <x v="0"/>
    <n v="0"/>
    <n v="14"/>
    <n v="16"/>
    <n v="20260417"/>
    <n v="20260516"/>
    <n v="121201.5046"/>
    <n v="30"/>
    <n v="4040.0501533333331"/>
    <n v="0"/>
    <n v="56560.702146666663"/>
    <n v="48577.267262292771"/>
    <n v="105137.96940895944"/>
    <n v="0"/>
    <n v="65202.345450893532"/>
    <n v="55999.159149106461"/>
    <n v="121201.50459999999"/>
  </r>
  <r>
    <x v="0"/>
    <x v="1"/>
    <x v="1"/>
    <n v="16"/>
    <n v="17"/>
    <n v="0"/>
    <n v="20260316"/>
    <n v="20260417"/>
    <n v="171908.36610000001"/>
    <n v="33"/>
    <n v="5209.3444272727274"/>
    <n v="134300.94527905405"/>
    <n v="88558.85526363636"/>
    <n v="0"/>
    <n v="222859.80054269041"/>
    <n v="103596.32384300337"/>
    <n v="68312.042256996647"/>
    <n v="0"/>
    <n v="171908.36610000001"/>
  </r>
  <r>
    <x v="0"/>
    <x v="0"/>
    <x v="0"/>
    <n v="25"/>
    <n v="4"/>
    <n v="0"/>
    <n v="20260307"/>
    <n v="20260404"/>
    <n v="164584.12119999999"/>
    <n v="29"/>
    <n v="5675.3145241379307"/>
    <n v="228615.65043976752"/>
    <n v="22701.258096551723"/>
    <n v="0"/>
    <n v="251316.90853631924"/>
    <n v="149717.3673643129"/>
    <n v="14866.753835687106"/>
    <n v="0"/>
    <n v="164584.12119999999"/>
  </r>
  <r>
    <x v="0"/>
    <x v="0"/>
    <x v="1"/>
    <n v="22"/>
    <n v="1"/>
    <n v="0"/>
    <n v="20260310"/>
    <n v="20260401"/>
    <n v="147996.52919999999"/>
    <n v="23"/>
    <n v="6434.6317043478257"/>
    <n v="228098.4790239243"/>
    <n v="6434.6317043478257"/>
    <n v="0"/>
    <n v="234533.11072827212"/>
    <n v="143936.10823868384"/>
    <n v="4060.4209613161538"/>
    <n v="0"/>
    <n v="147996.52919999999"/>
  </r>
  <r>
    <x v="0"/>
    <x v="1"/>
    <x v="0"/>
    <n v="0"/>
    <n v="25"/>
    <n v="3"/>
    <n v="20260406"/>
    <n v="20260503"/>
    <n v="152609.14120000001"/>
    <n v="28"/>
    <n v="5450.3264714285715"/>
    <n v="0"/>
    <n v="136258.1617857143"/>
    <n v="12287.686211529162"/>
    <n v="148545.84799724346"/>
    <n v="0"/>
    <n v="139985.34009509571"/>
    <n v="12623.801104904294"/>
    <n v="152609.14120000001"/>
  </r>
  <r>
    <x v="0"/>
    <x v="1"/>
    <x v="0"/>
    <n v="0"/>
    <n v="25"/>
    <n v="2"/>
    <n v="20260406"/>
    <n v="20260502"/>
    <n v="133999.24799999999"/>
    <n v="27"/>
    <n v="4962.9351111111109"/>
    <n v="0"/>
    <n v="124073.37777777777"/>
    <n v="7459.2460535096297"/>
    <n v="131532.6238312874"/>
    <n v="0"/>
    <n v="126400.11910936577"/>
    <n v="7599.1288906342115"/>
    <n v="133999.24799999999"/>
  </r>
  <r>
    <x v="0"/>
    <x v="1"/>
    <x v="0"/>
    <n v="24"/>
    <n v="6"/>
    <n v="0"/>
    <n v="20260308"/>
    <n v="20260406"/>
    <n v="58705.546300000002"/>
    <n v="30"/>
    <n v="1956.8515433333334"/>
    <n v="75673.728923899675"/>
    <n v="11741.109260000001"/>
    <n v="0"/>
    <n v="87414.838183899672"/>
    <n v="50820.520741453125"/>
    <n v="7885.0255585468822"/>
    <n v="0"/>
    <n v="58705.546300000009"/>
  </r>
  <r>
    <x v="0"/>
    <x v="1"/>
    <x v="1"/>
    <n v="0"/>
    <n v="26"/>
    <n v="3"/>
    <n v="20260405"/>
    <n v="20260503"/>
    <n v="15060.141100000001"/>
    <n v="29"/>
    <n v="519.31521034482762"/>
    <n v="0"/>
    <n v="13502.195468965518"/>
    <n v="1170.7890129229174"/>
    <n v="14672.984481888436"/>
    <n v="0"/>
    <n v="13858.460027228937"/>
    <n v="1201.6810727710633"/>
    <n v="15060.141100000001"/>
  </r>
  <r>
    <x v="0"/>
    <x v="1"/>
    <x v="1"/>
    <n v="22"/>
    <n v="3"/>
    <n v="0"/>
    <n v="20260310"/>
    <n v="20260403"/>
    <n v="4729.5919000000004"/>
    <n v="25"/>
    <n v="189.18367600000002"/>
    <n v="6706.2903883989366"/>
    <n v="567.55102800000009"/>
    <n v="0"/>
    <n v="7273.8414163989364"/>
    <n v="4360.5592814425308"/>
    <n v="369.03261855746968"/>
    <n v="0"/>
    <n v="4729.5919000000004"/>
  </r>
  <r>
    <x v="0"/>
    <x v="0"/>
    <x v="0"/>
    <n v="15"/>
    <n v="17"/>
    <n v="0"/>
    <n v="20260317"/>
    <n v="20260417"/>
    <n v="440893.3836"/>
    <n v="32"/>
    <n v="13777.9182375"/>
    <n v="333005.09349836817"/>
    <n v="234224.61003750001"/>
    <n v="0"/>
    <n v="567229.7035358682"/>
    <n v="258836.48460811947"/>
    <n v="182056.89899188053"/>
    <n v="0"/>
    <n v="440893.3836"/>
  </r>
  <r>
    <x v="0"/>
    <x v="1"/>
    <x v="1"/>
    <n v="0"/>
    <n v="22"/>
    <n v="11"/>
    <n v="20260409"/>
    <n v="20260511"/>
    <n v="126301.11470000001"/>
    <n v="33"/>
    <n v="3827.3065060606064"/>
    <n v="0"/>
    <n v="84200.743133333337"/>
    <n v="31638.236590770193"/>
    <n v="115838.97972410353"/>
    <n v="0"/>
    <n v="91805.433211145049"/>
    <n v="34495.681488854963"/>
    <n v="126301.11470000001"/>
  </r>
  <r>
    <x v="0"/>
    <x v="1"/>
    <x v="0"/>
    <n v="0"/>
    <n v="24"/>
    <n v="3"/>
    <n v="20260407"/>
    <n v="20260503"/>
    <n v="34775.319199999998"/>
    <n v="27"/>
    <n v="1287.9747851851851"/>
    <n v="0"/>
    <n v="30911.39484444444"/>
    <n v="2903.721472774283"/>
    <n v="33815.116317218723"/>
    <n v="0"/>
    <n v="31789.144610613723"/>
    <n v="2986.1745893862767"/>
    <n v="34775.319199999998"/>
  </r>
  <r>
    <x v="0"/>
    <x v="1"/>
    <x v="1"/>
    <n v="30"/>
    <n v="8"/>
    <n v="0"/>
    <n v="20260302"/>
    <n v="20260408"/>
    <n v="1012.3991"/>
    <n v="38"/>
    <n v="26.642081578947369"/>
    <n v="1287.8504160434522"/>
    <n v="213.13665263157895"/>
    <n v="0"/>
    <n v="1500.9870686750312"/>
    <n v="868.64079601161291"/>
    <n v="143.75830398838707"/>
    <n v="0"/>
    <n v="1012.3991"/>
  </r>
  <r>
    <x v="0"/>
    <x v="0"/>
    <x v="1"/>
    <n v="30"/>
    <n v="8"/>
    <n v="0"/>
    <n v="20260302"/>
    <n v="20260408"/>
    <n v="3796.4964"/>
    <n v="38"/>
    <n v="99.907799999999995"/>
    <n v="4829.4387739454414"/>
    <n v="799.26239999999996"/>
    <n v="0"/>
    <n v="5628.701173945441"/>
    <n v="3257.4027919930227"/>
    <n v="539.09360800697789"/>
    <n v="0"/>
    <n v="3796.4964000000004"/>
  </r>
  <r>
    <x v="0"/>
    <x v="1"/>
    <x v="1"/>
    <n v="0"/>
    <n v="25"/>
    <n v="5"/>
    <n v="20260406"/>
    <n v="20260505"/>
    <n v="78980.074600000007"/>
    <n v="30"/>
    <n v="2632.6691533333337"/>
    <n v="0"/>
    <n v="65816.728833333342"/>
    <n v="9892.1941112190343"/>
    <n v="75708.922944552382"/>
    <n v="0"/>
    <n v="68660.468951482748"/>
    <n v="10319.605648517252"/>
    <n v="78980.074599999993"/>
  </r>
  <r>
    <x v="0"/>
    <x v="1"/>
    <x v="1"/>
    <n v="26"/>
    <n v="5"/>
    <n v="0"/>
    <n v="20260306"/>
    <n v="20260405"/>
    <n v="11360.022499999999"/>
    <n v="31"/>
    <n v="366.45233870967741"/>
    <n v="15352.06709504667"/>
    <n v="1832.261693548387"/>
    <n v="0"/>
    <n v="17184.328788595056"/>
    <n v="10148.771579427994"/>
    <n v="1211.2509205720055"/>
    <n v="0"/>
    <n v="11360.022499999999"/>
  </r>
  <r>
    <x v="0"/>
    <x v="0"/>
    <x v="1"/>
    <n v="24"/>
    <n v="1"/>
    <n v="0"/>
    <n v="20260308"/>
    <n v="20260401"/>
    <n v="1334.9266"/>
    <n v="25"/>
    <n v="53.397064"/>
    <n v="2064.9266727638587"/>
    <n v="53.397064"/>
    <n v="0"/>
    <n v="2118.3237367638585"/>
    <n v="1301.2768042400764"/>
    <n v="33.649795759923791"/>
    <n v="0"/>
    <n v="1334.9266000000002"/>
  </r>
  <r>
    <x v="0"/>
    <x v="0"/>
    <x v="1"/>
    <n v="22"/>
    <n v="2"/>
    <n v="0"/>
    <n v="20260310"/>
    <n v="20260402"/>
    <n v="50177.902499999997"/>
    <n v="24"/>
    <n v="2090.7459374999999"/>
    <n v="74113.949372885487"/>
    <n v="4181.4918749999997"/>
    <n v="0"/>
    <n v="78295.441247885494"/>
    <n v="47498.072253638631"/>
    <n v="2679.8302463613572"/>
    <n v="0"/>
    <n v="50177.902499999989"/>
  </r>
  <r>
    <x v="0"/>
    <x v="1"/>
    <x v="0"/>
    <n v="0"/>
    <n v="21"/>
    <n v="0"/>
    <n v="20260403"/>
    <n v="20260423"/>
    <n v="11849.895500000001"/>
    <n v="21"/>
    <n v="564.28073809523812"/>
    <n v="0"/>
    <n v="11849.895500000001"/>
    <n v="0"/>
    <n v="11849.895500000001"/>
    <n v="0"/>
    <n v="11849.895500000001"/>
    <n v="0"/>
    <n v="11849.895500000001"/>
  </r>
  <r>
    <x v="0"/>
    <x v="1"/>
    <x v="0"/>
    <n v="22"/>
    <n v="1"/>
    <n v="0"/>
    <n v="20260310"/>
    <n v="20260401"/>
    <n v="2270.4472000000001"/>
    <n v="23"/>
    <n v="98.715095652173915"/>
    <n v="3499.3087731420096"/>
    <n v="98.715095652173915"/>
    <n v="0"/>
    <n v="3598.0238687941837"/>
    <n v="2208.1553918591262"/>
    <n v="62.291808140873428"/>
    <n v="0"/>
    <n v="2270.4471999999996"/>
  </r>
  <r>
    <x v="0"/>
    <x v="1"/>
    <x v="1"/>
    <n v="30"/>
    <n v="5"/>
    <n v="0"/>
    <n v="20260302"/>
    <n v="20260405"/>
    <n v="2157.7784000000001"/>
    <n v="35"/>
    <n v="61.65081142857143"/>
    <n v="2980.1358768618829"/>
    <n v="308.25405714285716"/>
    <n v="0"/>
    <n v="3288.3899340047401"/>
    <n v="1955.508000332044"/>
    <n v="202.27039966795621"/>
    <n v="0"/>
    <n v="2157.7784000000001"/>
  </r>
  <r>
    <x v="0"/>
    <x v="1"/>
    <x v="0"/>
    <n v="0"/>
    <n v="22"/>
    <n v="9"/>
    <n v="20260409"/>
    <n v="20260509"/>
    <n v="16886.756799999999"/>
    <n v="31"/>
    <n v="544.73409032258064"/>
    <n v="0"/>
    <n v="11984.149987096775"/>
    <n v="3684.2865866999523"/>
    <n v="15668.436573796727"/>
    <n v="0"/>
    <n v="12915.993585809809"/>
    <n v="3970.763214190189"/>
    <n v="16886.756799999999"/>
  </r>
  <r>
    <x v="0"/>
    <x v="1"/>
    <x v="0"/>
    <n v="0"/>
    <n v="14"/>
    <n v="0"/>
    <n v="20260402"/>
    <n v="20260415"/>
    <n v="2357.9479999999999"/>
    <n v="14"/>
    <n v="168.42485714285712"/>
    <n v="0"/>
    <n v="2357.9479999999999"/>
    <n v="0"/>
    <n v="2357.9479999999999"/>
    <n v="0"/>
    <n v="2357.9479999999999"/>
    <n v="0"/>
    <n v="2357.9479999999999"/>
  </r>
  <r>
    <x v="0"/>
    <x v="1"/>
    <x v="0"/>
    <n v="28"/>
    <n v="8"/>
    <n v="0"/>
    <n v="20260304"/>
    <n v="20260408"/>
    <n v="26151.370999999999"/>
    <n v="36"/>
    <n v="726.42697222222216"/>
    <n v="32773.740191961675"/>
    <n v="5811.4157777777773"/>
    <n v="0"/>
    <n v="38585.155969739455"/>
    <n v="22212.641552875091"/>
    <n v="3938.7294471249074"/>
    <n v="0"/>
    <n v="26151.370999999999"/>
  </r>
  <r>
    <x v="0"/>
    <x v="1"/>
    <x v="0"/>
    <n v="0"/>
    <n v="18"/>
    <n v="0"/>
    <n v="20260404"/>
    <n v="20260421"/>
    <n v="10331.2752"/>
    <n v="18"/>
    <n v="573.95973333333336"/>
    <n v="0"/>
    <n v="10331.2752"/>
    <n v="0"/>
    <n v="10331.2752"/>
    <n v="0"/>
    <n v="10331.2752"/>
    <n v="0"/>
    <n v="10331.2752"/>
  </r>
  <r>
    <x v="0"/>
    <x v="0"/>
    <x v="0"/>
    <n v="30"/>
    <n v="13"/>
    <n v="0"/>
    <n v="20260302"/>
    <n v="20260413"/>
    <n v="14773.616599999999"/>
    <n v="43"/>
    <n v="343.57247906976744"/>
    <n v="16607.935036904961"/>
    <n v="4466.4422279069768"/>
    <n v="0"/>
    <n v="21074.377264811937"/>
    <n v="11642.539263194225"/>
    <n v="3131.077336805773"/>
    <n v="0"/>
    <n v="14773.616599999998"/>
  </r>
  <r>
    <x v="0"/>
    <x v="1"/>
    <x v="0"/>
    <n v="0"/>
    <n v="29"/>
    <n v="12"/>
    <n v="20260402"/>
    <n v="20260512"/>
    <n v="35889.573299999996"/>
    <n v="41"/>
    <n v="875.35544634146333"/>
    <n v="0"/>
    <n v="25385.307943902437"/>
    <n v="7893.9073500143577"/>
    <n v="33279.215293916794"/>
    <n v="0"/>
    <n v="27376.482953379476"/>
    <n v="8513.09034662052"/>
    <n v="35889.573299999996"/>
  </r>
  <r>
    <x v="0"/>
    <x v="0"/>
    <x v="0"/>
    <n v="29"/>
    <n v="9"/>
    <n v="0"/>
    <n v="20260303"/>
    <n v="20260409"/>
    <n v="18699.030500000001"/>
    <n v="38"/>
    <n v="492.07975000000005"/>
    <n v="22993.73412659072"/>
    <n v="4428.7177500000007"/>
    <n v="0"/>
    <n v="27422.45187659072"/>
    <n v="15679.142684868679"/>
    <n v="3019.8878151313229"/>
    <n v="0"/>
    <n v="18699.030500000001"/>
  </r>
  <r>
    <x v="0"/>
    <x v="0"/>
    <x v="1"/>
    <n v="24"/>
    <n v="6"/>
    <n v="0"/>
    <n v="20260308"/>
    <n v="20260406"/>
    <n v="7749.9070000000002"/>
    <n v="30"/>
    <n v="258.33023333333335"/>
    <n v="9989.9310791940025"/>
    <n v="1549.9814000000001"/>
    <n v="0"/>
    <n v="11539.912479194003"/>
    <n v="6708.9795472669457"/>
    <n v="1040.9274527330545"/>
    <n v="0"/>
    <n v="7749.9070000000002"/>
  </r>
  <r>
    <x v="0"/>
    <x v="1"/>
    <x v="1"/>
    <n v="0"/>
    <n v="24"/>
    <n v="10"/>
    <n v="20260407"/>
    <n v="20260510"/>
    <n v="17515.499100000001"/>
    <n v="34"/>
    <n v="515.16173823529414"/>
    <n v="0"/>
    <n v="12363.881717647058"/>
    <n v="3871.4168902265419"/>
    <n v="16235.298607873599"/>
    <n v="0"/>
    <n v="13338.809733559756"/>
    <n v="4176.689366440246"/>
    <n v="17515.499100000001"/>
  </r>
  <r>
    <x v="0"/>
    <x v="1"/>
    <x v="0"/>
    <n v="16"/>
    <n v="16"/>
    <n v="0"/>
    <n v="20260316"/>
    <n v="20260416"/>
    <n v="6845.7924999999996"/>
    <n v="32"/>
    <n v="213.93101562499999"/>
    <n v="5515.3077367140668"/>
    <n v="3422.8962499999998"/>
    <n v="0"/>
    <n v="8938.2039867140666"/>
    <n v="4224.1878117025981"/>
    <n v="2621.6046882974015"/>
    <n v="0"/>
    <n v="6845.7924999999996"/>
  </r>
  <r>
    <x v="0"/>
    <x v="1"/>
    <x v="0"/>
    <n v="15"/>
    <n v="7"/>
    <n v="0"/>
    <n v="20260317"/>
    <n v="20260407"/>
    <n v="6124.3505999999998"/>
    <n v="22"/>
    <n v="278.37957272727272"/>
    <n v="6728.288994470181"/>
    <n v="1948.657009090909"/>
    <n v="0"/>
    <n v="8676.94600356109"/>
    <n v="4748.9520763809533"/>
    <n v="1375.398523619047"/>
    <n v="0"/>
    <n v="6124.3505999999998"/>
  </r>
  <r>
    <x v="0"/>
    <x v="1"/>
    <x v="0"/>
    <n v="25"/>
    <n v="11"/>
    <n v="0"/>
    <n v="20260307"/>
    <n v="20260411"/>
    <n v="38.618200000000002"/>
    <n v="36"/>
    <n v="1.0727277777777777"/>
    <n v="43.212117604834404"/>
    <n v="11.800005555555554"/>
    <n v="0"/>
    <n v="55.012123160389962"/>
    <n v="30.334662692833007"/>
    <n v="8.2835373071669913"/>
    <n v="0"/>
    <n v="38.618200000000002"/>
  </r>
  <r>
    <x v="0"/>
    <x v="1"/>
    <x v="0"/>
    <n v="0"/>
    <n v="16"/>
    <n v="0"/>
    <n v="20260402"/>
    <n v="20260417"/>
    <n v="1179.3336999999999"/>
    <n v="16"/>
    <n v="73.708356249999994"/>
    <n v="0"/>
    <n v="1179.3336999999999"/>
    <n v="0"/>
    <n v="1179.3336999999999"/>
    <n v="0"/>
    <n v="1179.3336999999999"/>
    <n v="0"/>
    <n v="1179.3336999999999"/>
  </r>
  <r>
    <x v="0"/>
    <x v="1"/>
    <x v="0"/>
    <n v="27"/>
    <n v="14"/>
    <n v="0"/>
    <n v="20260305"/>
    <n v="20260414"/>
    <n v="1871.3860999999999"/>
    <n v="41"/>
    <n v="45.643563414634144"/>
    <n v="1985.7259937873177"/>
    <n v="639.00988780487796"/>
    <n v="0"/>
    <n v="2624.7358815921957"/>
    <n v="1415.784364912201"/>
    <n v="455.601735087799"/>
    <n v="0"/>
    <n v="1871.3860999999999"/>
  </r>
  <r>
    <x v="0"/>
    <x v="1"/>
    <x v="0"/>
    <n v="0"/>
    <n v="14"/>
    <n v="0"/>
    <n v="20260417"/>
    <n v="20260430"/>
    <n v="675.75490000000002"/>
    <n v="14"/>
    <n v="48.268207142857143"/>
    <n v="0"/>
    <n v="675.75490000000002"/>
    <n v="0"/>
    <n v="675.75490000000002"/>
    <n v="0"/>
    <n v="675.75490000000002"/>
    <n v="0"/>
    <n v="675.75490000000002"/>
  </r>
  <r>
    <x v="0"/>
    <x v="1"/>
    <x v="0"/>
    <n v="0"/>
    <n v="26"/>
    <n v="8"/>
    <n v="20260405"/>
    <n v="20260508"/>
    <n v="33288.076399999998"/>
    <n v="34"/>
    <n v="979.06107058823522"/>
    <n v="0"/>
    <n v="25455.587835294114"/>
    <n v="5886.0793167172278"/>
    <n v="31341.667152011341"/>
    <n v="0"/>
    <n v="27036.454332768368"/>
    <n v="6251.6220672316322"/>
    <n v="33288.076399999998"/>
  </r>
  <r>
    <x v="0"/>
    <x v="1"/>
    <x v="1"/>
    <n v="0"/>
    <n v="24"/>
    <n v="11"/>
    <n v="20260407"/>
    <n v="20260511"/>
    <n v="60961.264300000003"/>
    <n v="35"/>
    <n v="1741.7504085714286"/>
    <n v="0"/>
    <n v="41802.00980571429"/>
    <n v="14398.092084130794"/>
    <n v="56200.101889845086"/>
    <n v="0"/>
    <n v="45343.394092632399"/>
    <n v="15617.870207367603"/>
    <n v="60961.264300000003"/>
  </r>
  <r>
    <x v="0"/>
    <x v="1"/>
    <x v="0"/>
    <n v="29"/>
    <n v="14"/>
    <n v="0"/>
    <n v="20260303"/>
    <n v="20260414"/>
    <n v="3240.5632000000001"/>
    <n v="43"/>
    <n v="75.361934883720934"/>
    <n v="3521.486698003162"/>
    <n v="1055.0670883720932"/>
    <n v="0"/>
    <n v="4576.5537863752552"/>
    <n v="2493.4919888436038"/>
    <n v="747.07121115639632"/>
    <n v="0"/>
    <n v="3240.5632000000001"/>
  </r>
  <r>
    <x v="0"/>
    <x v="1"/>
    <x v="0"/>
    <n v="0"/>
    <n v="26"/>
    <n v="9"/>
    <n v="20260405"/>
    <n v="20260509"/>
    <n v="1814.3064999999999"/>
    <n v="35"/>
    <n v="51.837328571428571"/>
    <n v="0"/>
    <n v="1347.7705428571428"/>
    <n v="350.59963703203488"/>
    <n v="1698.3701798891777"/>
    <n v="0"/>
    <n v="1439.7737815755818"/>
    <n v="374.53271842441802"/>
    <n v="1814.3064999999997"/>
  </r>
  <r>
    <x v="0"/>
    <x v="1"/>
    <x v="1"/>
    <n v="15"/>
    <n v="20"/>
    <n v="0"/>
    <n v="20260317"/>
    <n v="20260420"/>
    <n v="135935.59940000001"/>
    <n v="35"/>
    <n v="3883.8742685714287"/>
    <n v="93871.214188320882"/>
    <n v="77677.485371428571"/>
    <n v="0"/>
    <n v="171548.69955974945"/>
    <n v="74383.774402503084"/>
    <n v="61551.824997496915"/>
    <n v="0"/>
    <n v="135935.59940000001"/>
  </r>
  <r>
    <x v="0"/>
    <x v="1"/>
    <x v="0"/>
    <n v="0"/>
    <n v="20"/>
    <n v="0"/>
    <n v="20260404"/>
    <n v="20260423"/>
    <n v="3079.2361000000001"/>
    <n v="20"/>
    <n v="153.961805"/>
    <n v="0"/>
    <n v="3079.2361000000001"/>
    <n v="0"/>
    <n v="3079.2361000000001"/>
    <n v="0"/>
    <n v="3079.2361000000001"/>
    <n v="0"/>
    <n v="3079.2361000000001"/>
  </r>
  <r>
    <x v="0"/>
    <x v="1"/>
    <x v="0"/>
    <n v="28"/>
    <n v="10"/>
    <n v="0"/>
    <n v="20260304"/>
    <n v="20260410"/>
    <n v="5869.6072000000004"/>
    <n v="38"/>
    <n v="154.46334736842107"/>
    <n v="6968.8238589862431"/>
    <n v="1544.6334736842107"/>
    <n v="0"/>
    <n v="8513.457332670454"/>
    <n v="4804.6589182125863"/>
    <n v="1064.9482817874132"/>
    <n v="0"/>
    <n v="5869.6071999999995"/>
  </r>
  <r>
    <x v="0"/>
    <x v="0"/>
    <x v="0"/>
    <n v="28"/>
    <n v="10"/>
    <n v="0"/>
    <n v="20260304"/>
    <n v="20260410"/>
    <n v="16434.8999"/>
    <n v="38"/>
    <n v="432.49736578947369"/>
    <n v="19512.706496470601"/>
    <n v="4324.9736578947368"/>
    <n v="0"/>
    <n v="23837.680154365338"/>
    <n v="13453.044758168169"/>
    <n v="2981.8551418318293"/>
    <n v="0"/>
    <n v="16434.899899999997"/>
  </r>
  <r>
    <x v="0"/>
    <x v="1"/>
    <x v="0"/>
    <n v="0"/>
    <n v="24"/>
    <n v="14"/>
    <n v="20260407"/>
    <n v="20260514"/>
    <n v="1097.0482999999999"/>
    <n v="38"/>
    <n v="28.869692105263155"/>
    <n v="0"/>
    <n v="692.87261052631573"/>
    <n v="303.73618122483805"/>
    <n v="996.60879175115383"/>
    <n v="0"/>
    <n v="762.70119808882032"/>
    <n v="334.34710191117949"/>
    <n v="1097.0482999999999"/>
  </r>
  <r>
    <x v="0"/>
    <x v="1"/>
    <x v="0"/>
    <n v="0"/>
    <n v="27"/>
    <n v="0"/>
    <n v="20260404"/>
    <n v="20260430"/>
    <n v="126.5291"/>
    <n v="27"/>
    <n v="4.6862629629629629"/>
    <n v="0"/>
    <n v="126.5291"/>
    <n v="0"/>
    <n v="126.5291"/>
    <n v="0"/>
    <n v="126.5291"/>
    <n v="0"/>
    <n v="126.5291"/>
  </r>
  <r>
    <x v="0"/>
    <x v="1"/>
    <x v="0"/>
    <n v="23"/>
    <n v="5"/>
    <n v="0"/>
    <n v="20260309"/>
    <n v="20260405"/>
    <n v="2368.8636000000001"/>
    <n v="28"/>
    <n v="84.602271428571427"/>
    <n v="3135.348881676568"/>
    <n v="423.01135714285715"/>
    <n v="0"/>
    <n v="3558.3602388194249"/>
    <n v="2087.2574277551207"/>
    <n v="281.6061722448797"/>
    <n v="0"/>
    <n v="2368.8636000000006"/>
  </r>
  <r>
    <x v="0"/>
    <x v="0"/>
    <x v="0"/>
    <n v="23"/>
    <n v="5"/>
    <n v="0"/>
    <n v="20260309"/>
    <n v="20260405"/>
    <n v="10896.7727"/>
    <n v="28"/>
    <n v="389.17045357142854"/>
    <n v="14422.605041011546"/>
    <n v="1945.8522678571426"/>
    <n v="0"/>
    <n v="16368.457308868688"/>
    <n v="9601.3842910306084"/>
    <n v="1295.3884089693902"/>
    <n v="0"/>
    <n v="10896.772699999998"/>
  </r>
  <r>
    <x v="0"/>
    <x v="1"/>
    <x v="0"/>
    <n v="0"/>
    <n v="14"/>
    <n v="0"/>
    <n v="20260404"/>
    <n v="20260417"/>
    <n v="2148.8281000000002"/>
    <n v="14"/>
    <n v="153.48772142857143"/>
    <n v="0"/>
    <n v="2148.8281000000002"/>
    <n v="0"/>
    <n v="2148.8281000000002"/>
    <n v="0"/>
    <n v="2148.8281000000002"/>
    <n v="0"/>
    <n v="2148.8281000000002"/>
  </r>
  <r>
    <x v="0"/>
    <x v="0"/>
    <x v="0"/>
    <n v="22"/>
    <n v="14"/>
    <n v="0"/>
    <n v="20260310"/>
    <n v="20260414"/>
    <n v="1080.8023000000001"/>
    <n v="36"/>
    <n v="30.022286111111114"/>
    <n v="1064.2470483801537"/>
    <n v="420.31200555555563"/>
    <n v="0"/>
    <n v="1484.5590539357095"/>
    <n v="774.80289828018783"/>
    <n v="305.99940171981211"/>
    <n v="0"/>
    <n v="1080.8022999999998"/>
  </r>
  <r>
    <x v="0"/>
    <x v="0"/>
    <x v="1"/>
    <n v="31"/>
    <n v="1"/>
    <n v="0"/>
    <n v="20260227"/>
    <n v="20260401"/>
    <n v="655.77229999999997"/>
    <n v="32"/>
    <n v="20.492884374999999"/>
    <n v="1023.6247960982614"/>
    <n v="20.492884374999999"/>
    <n v="0"/>
    <n v="1044.1176804732613"/>
    <n v="642.90146544604772"/>
    <n v="12.870834553952331"/>
    <n v="0"/>
    <n v="655.77230000000009"/>
  </r>
  <r>
    <x v="0"/>
    <x v="1"/>
    <x v="0"/>
    <n v="31"/>
    <n v="2"/>
    <n v="0"/>
    <n v="20260228"/>
    <n v="20260402"/>
    <n v="871.75670000000002"/>
    <n v="33"/>
    <n v="26.416869696969698"/>
    <n v="1319.5293723563475"/>
    <n v="52.833739393939396"/>
    <n v="0"/>
    <n v="1372.3631117502869"/>
    <n v="838.19549020911688"/>
    <n v="33.561209790883161"/>
    <n v="0"/>
    <n v="871.75670000000002"/>
  </r>
  <r>
    <x v="0"/>
    <x v="1"/>
    <x v="1"/>
    <n v="0"/>
    <n v="27"/>
    <n v="0"/>
    <n v="20260403"/>
    <n v="20260429"/>
    <n v="590.34479999999996"/>
    <n v="27"/>
    <n v="21.86462222222222"/>
    <n v="0"/>
    <n v="590.34479999999996"/>
    <n v="0"/>
    <n v="590.34479999999996"/>
    <n v="0"/>
    <n v="590.34479999999996"/>
    <n v="0"/>
    <n v="590.34479999999996"/>
  </r>
  <r>
    <x v="0"/>
    <x v="1"/>
    <x v="0"/>
    <n v="0"/>
    <n v="15"/>
    <n v="1"/>
    <n v="20260416"/>
    <n v="20260501"/>
    <n v="14357.4393"/>
    <n v="16"/>
    <n v="897.33995625"/>
    <n v="0"/>
    <n v="13460.09934375"/>
    <n v="674.34687110142045"/>
    <n v="14134.446214851421"/>
    <n v="0"/>
    <n v="13672.453548042447"/>
    <n v="684.98575195755154"/>
    <n v="14357.439299999998"/>
  </r>
  <r>
    <x v="0"/>
    <x v="1"/>
    <x v="0"/>
    <n v="1"/>
    <n v="30"/>
    <n v="1"/>
    <n v="20260331"/>
    <n v="20260501"/>
    <n v="26023.1191"/>
    <n v="32"/>
    <n v="813.222471875"/>
    <n v="1310.3441831758487"/>
    <n v="24396.674156249999"/>
    <n v="611.13296649579468"/>
    <n v="26318.151305921645"/>
    <n v="1295.6549396045505"/>
    <n v="24123.182127505166"/>
    <n v="604.28203289028249"/>
    <n v="26023.1191"/>
  </r>
  <r>
    <x v="0"/>
    <x v="0"/>
    <x v="0"/>
    <n v="19"/>
    <n v="6"/>
    <n v="0"/>
    <n v="20260313"/>
    <n v="20260406"/>
    <n v="16606.425999999999"/>
    <n v="25"/>
    <n v="664.25703999999996"/>
    <n v="20336.011600029338"/>
    <n v="3985.5422399999998"/>
    <n v="0"/>
    <n v="24321.553840029337"/>
    <n v="13885.151992847404"/>
    <n v="2721.2740071525959"/>
    <n v="0"/>
    <n v="16606.425999999999"/>
  </r>
  <r>
    <x v="0"/>
    <x v="1"/>
    <x v="0"/>
    <n v="13"/>
    <n v="7"/>
    <n v="0"/>
    <n v="20260319"/>
    <n v="20260407"/>
    <n v="221.2133"/>
    <n v="20"/>
    <n v="11.060665"/>
    <n v="231.68643403086858"/>
    <n v="77.424655000000001"/>
    <n v="0"/>
    <n v="309.11108903086858"/>
    <n v="165.80485934001086"/>
    <n v="55.408440659989132"/>
    <n v="0"/>
    <n v="221.2133"/>
  </r>
  <r>
    <x v="0"/>
    <x v="0"/>
    <x v="0"/>
    <n v="1"/>
    <n v="30"/>
    <n v="4"/>
    <n v="20260331"/>
    <n v="20260504"/>
    <n v="272.30700000000002"/>
    <n v="35"/>
    <n v="7.7802000000000007"/>
    <n v="12.536224915722405"/>
    <n v="233.40600000000001"/>
    <n v="23.387138798404628"/>
    <n v="269.32936371412706"/>
    <n v="12.674822199294281"/>
    <n v="235.98647680117847"/>
    <n v="23.645700999527236"/>
    <n v="272.30700000000002"/>
  </r>
  <r>
    <x v="0"/>
    <x v="1"/>
    <x v="0"/>
    <n v="0"/>
    <n v="9"/>
    <n v="4"/>
    <n v="20260422"/>
    <n v="20260504"/>
    <n v="337.5455"/>
    <n v="13"/>
    <n v="25.965038461538462"/>
    <n v="0"/>
    <n v="233.68534615384615"/>
    <n v="78.050430375300706"/>
    <n v="311.73577652914685"/>
    <n v="0"/>
    <n v="253.03299444296528"/>
    <n v="84.512505557034743"/>
    <n v="337.5455"/>
  </r>
  <r>
    <x v="0"/>
    <x v="1"/>
    <x v="0"/>
    <n v="0"/>
    <n v="10"/>
    <n v="1"/>
    <n v="20260421"/>
    <n v="20260501"/>
    <n v="9707.3850999999995"/>
    <n v="11"/>
    <n v="882.48955454545455"/>
    <n v="0"/>
    <n v="8824.8955454545448"/>
    <n v="663.18686217246398"/>
    <n v="9488.0824076270092"/>
    <n v="0"/>
    <n v="9028.8696753032564"/>
    <n v="678.51542469674234"/>
    <n v="9707.3850999999995"/>
  </r>
  <r>
    <x v="0"/>
    <x v="1"/>
    <x v="0"/>
    <n v="8"/>
    <n v="3"/>
    <n v="0"/>
    <n v="20260324"/>
    <n v="20260403"/>
    <n v="2166.0446000000002"/>
    <n v="11"/>
    <n v="196.91314545454546"/>
    <n v="2538.2869132212977"/>
    <n v="590.7394363636364"/>
    <n v="0"/>
    <n v="3129.026349584934"/>
    <n v="1757.1097355453646"/>
    <n v="408.93486445463566"/>
    <n v="0"/>
    <n v="2166.0446000000002"/>
  </r>
  <r>
    <x v="0"/>
    <x v="1"/>
    <x v="0"/>
    <n v="0"/>
    <n v="2"/>
    <n v="0"/>
    <n v="20260402"/>
    <n v="20260403"/>
    <n v="7144.4488000000001"/>
    <n v="2"/>
    <n v="3572.2244000000001"/>
    <n v="0"/>
    <n v="7144.4488000000001"/>
    <n v="0"/>
    <n v="7144.4488000000001"/>
    <n v="0"/>
    <n v="7144.4488000000001"/>
    <n v="0"/>
    <n v="7144.4488000000001"/>
  </r>
  <r>
    <x v="0"/>
    <x v="1"/>
    <x v="0"/>
    <n v="2"/>
    <n v="30"/>
    <n v="2"/>
    <n v="20260330"/>
    <n v="20260502"/>
    <n v="17266.290799999999"/>
    <n v="34"/>
    <n v="507.83208235294114"/>
    <n v="1636.5381876548502"/>
    <n v="15234.962470588234"/>
    <n v="763.26697233175776"/>
    <n v="17634.767630574843"/>
    <n v="1602.3428743320796"/>
    <n v="14916.629345781073"/>
    <n v="747.31857988684442"/>
    <n v="17266.290799999995"/>
  </r>
  <r>
    <x v="0"/>
    <x v="1"/>
    <x v="0"/>
    <n v="5"/>
    <n v="30"/>
    <n v="2"/>
    <n v="20260327"/>
    <n v="20260502"/>
    <n v="22510.444800000001"/>
    <n v="37"/>
    <n v="608.3904"/>
    <n v="4901.4928221423106"/>
    <n v="18251.712"/>
    <n v="914.4052034919996"/>
    <n v="24067.610025634309"/>
    <n v="4584.3680985737092"/>
    <n v="17070.833167227596"/>
    <n v="855.24353419869476"/>
    <n v="22510.444799999997"/>
  </r>
  <r>
    <x v="0"/>
    <x v="1"/>
    <x v="0"/>
    <n v="0"/>
    <n v="15"/>
    <n v="3"/>
    <n v="20260416"/>
    <n v="20260503"/>
    <n v="25293.245800000001"/>
    <n v="18"/>
    <n v="1405.1803222222222"/>
    <n v="0"/>
    <n v="21077.704833333333"/>
    <n v="3167.959747107855"/>
    <n v="24245.664580441189"/>
    <n v="0"/>
    <n v="21988.408174194374"/>
    <n v="3304.837625805626"/>
    <n v="25293.245800000001"/>
  </r>
  <r>
    <x v="0"/>
    <x v="0"/>
    <x v="0"/>
    <n v="6"/>
    <n v="30"/>
    <n v="6"/>
    <n v="20260326"/>
    <n v="20260506"/>
    <n v="72.320999999999998"/>
    <n v="42"/>
    <n v="1.7219285714285715"/>
    <n v="16.647245978435372"/>
    <n v="51.657857142857146"/>
    <n v="7.7641286536860097"/>
    <n v="76.069231774978533"/>
    <n v="15.826970357316512"/>
    <n v="49.11247030178945"/>
    <n v="7.3815593408940323"/>
    <n v="72.320999999999998"/>
  </r>
  <r>
    <x v="0"/>
    <x v="1"/>
    <x v="0"/>
    <n v="15"/>
    <n v="3"/>
    <n v="0"/>
    <n v="20260317"/>
    <n v="20260403"/>
    <n v="3329.0450999999998"/>
    <n v="18"/>
    <n v="184.94694999999999"/>
    <n v="4470.0712629692016"/>
    <n v="554.84084999999993"/>
    <n v="0"/>
    <n v="5024.9121129692012"/>
    <n v="2961.4585290418672"/>
    <n v="367.58657095813288"/>
    <n v="0"/>
    <n v="3329.0451000000003"/>
  </r>
  <r>
    <x v="0"/>
    <x v="1"/>
    <x v="0"/>
    <n v="5"/>
    <n v="30"/>
    <n v="5"/>
    <n v="20260327"/>
    <n v="20260505"/>
    <n v="123465.2268"/>
    <n v="40"/>
    <n v="3086.63067"/>
    <n v="24867.417489837626"/>
    <n v="92598.920100000003"/>
    <n v="11597.944123978605"/>
    <n v="129064.28171381624"/>
    <n v="23788.6214492791"/>
    <n v="88581.802182359432"/>
    <n v="11094.80316836147"/>
    <n v="123465.2268"/>
  </r>
  <r>
    <x v="0"/>
    <x v="0"/>
    <x v="0"/>
    <n v="8"/>
    <n v="1"/>
    <n v="0"/>
    <n v="20260324"/>
    <n v="20260401"/>
    <n v="11917.5013"/>
    <n v="9"/>
    <n v="1324.1668111111112"/>
    <n v="17069.024415849253"/>
    <n v="1324.1668111111112"/>
    <n v="0"/>
    <n v="18393.191226960364"/>
    <n v="11059.533832685116"/>
    <n v="857.96746731488372"/>
    <n v="0"/>
    <n v="11917.5013"/>
  </r>
  <r>
    <x v="0"/>
    <x v="1"/>
    <x v="0"/>
    <n v="0"/>
    <n v="2"/>
    <n v="0"/>
    <n v="20260420"/>
    <n v="20260421"/>
    <n v="931.77179999999998"/>
    <n v="2"/>
    <n v="465.88589999999999"/>
    <n v="0"/>
    <n v="931.77179999999998"/>
    <n v="0"/>
    <n v="931.77179999999998"/>
    <n v="0"/>
    <n v="931.77179999999998"/>
    <n v="0"/>
    <n v="931.77179999999998"/>
  </r>
  <r>
    <x v="0"/>
    <x v="0"/>
    <x v="0"/>
    <n v="4"/>
    <n v="30"/>
    <n v="5"/>
    <n v="20260328"/>
    <n v="20260505"/>
    <n v="95.173900000000003"/>
    <n v="39"/>
    <n v="2.4403564102564101"/>
    <n v="15.728570902290066"/>
    <n v="73.210692307692298"/>
    <n v="9.1695833790010415"/>
    <n v="98.108846588983397"/>
    <n v="15.258047426332258"/>
    <n v="71.020579192146798"/>
    <n v="8.8952733815209584"/>
    <n v="95.173900000000003"/>
  </r>
  <r>
    <x v="0"/>
    <x v="1"/>
    <x v="0"/>
    <n v="0"/>
    <n v="21"/>
    <n v="11"/>
    <n v="20260410"/>
    <n v="20260511"/>
    <n v="15198.081200000001"/>
    <n v="32"/>
    <n v="474.94003750000002"/>
    <n v="0"/>
    <n v="9973.7407875000008"/>
    <n v="3926.0679146182611"/>
    <n v="13899.808702118262"/>
    <n v="0"/>
    <n v="10905.30996538655"/>
    <n v="4292.7712346134513"/>
    <n v="15198.081200000001"/>
  </r>
  <r>
    <x v="0"/>
    <x v="1"/>
    <x v="0"/>
    <n v="0"/>
    <n v="27"/>
    <n v="2"/>
    <n v="20260404"/>
    <n v="20260502"/>
    <n v="2415413.2935000001"/>
    <n v="29"/>
    <n v="83290.11356896552"/>
    <n v="0"/>
    <n v="2248833.066362069"/>
    <n v="125184.2784614972"/>
    <n v="2374017.3448235663"/>
    <n v="0"/>
    <n v="2288046.1657945463"/>
    <n v="127367.12770545406"/>
    <n v="2415413.2935000001"/>
  </r>
  <r>
    <x v="0"/>
    <x v="0"/>
    <x v="0"/>
    <n v="28"/>
    <n v="1"/>
    <n v="0"/>
    <n v="20260304"/>
    <n v="20260401"/>
    <n v="11026419.1259"/>
    <n v="29"/>
    <n v="380221.34916896553"/>
    <n v="17154202.954469558"/>
    <n v="380221.34916896553"/>
    <n v="0"/>
    <n v="17534424.303638522"/>
    <n v="10787319.176910959"/>
    <n v="239099.9489890417"/>
    <n v="0"/>
    <n v="11026419.1259"/>
  </r>
  <r>
    <x v="0"/>
    <x v="1"/>
    <x v="0"/>
    <n v="0"/>
    <n v="24"/>
    <n v="7"/>
    <n v="20260407"/>
    <n v="20260507"/>
    <n v="888123.95849999995"/>
    <n v="31"/>
    <n v="28649.159951612903"/>
    <n v="0"/>
    <n v="687579.83883870963"/>
    <n v="150707.98828187137"/>
    <n v="838287.82712058094"/>
    <n v="0"/>
    <n v="728456.39468696341"/>
    <n v="159667.56381303669"/>
    <n v="888123.95850000007"/>
  </r>
  <r>
    <x v="0"/>
    <x v="1"/>
    <x v="0"/>
    <n v="30"/>
    <n v="1"/>
    <n v="0"/>
    <n v="20260302"/>
    <n v="20260401"/>
    <n v="794553.05900000001"/>
    <n v="31"/>
    <n v="25630.743838709677"/>
    <n v="1238963.4052569245"/>
    <n v="25630.743838709677"/>
    <n v="0"/>
    <n v="1264594.1490956342"/>
    <n v="778449.08925124223"/>
    <n v="16103.969748757778"/>
    <n v="0"/>
    <n v="794553.05900000001"/>
  </r>
  <r>
    <x v="0"/>
    <x v="1"/>
    <x v="1"/>
    <n v="27"/>
    <n v="3"/>
    <n v="0"/>
    <n v="20260305"/>
    <n v="20260403"/>
    <n v="190089.66889999999"/>
    <n v="30"/>
    <n v="6336.3222966666663"/>
    <n v="275662.08569664555"/>
    <n v="19008.96689"/>
    <n v="0"/>
    <n v="294671.05258664553"/>
    <n v="177827.15383266515"/>
    <n v="12262.515067334854"/>
    <n v="0"/>
    <n v="190089.66889999999"/>
  </r>
  <r>
    <x v="0"/>
    <x v="1"/>
    <x v="0"/>
    <n v="29"/>
    <n v="2"/>
    <n v="0"/>
    <n v="20260303"/>
    <n v="20260402"/>
    <n v="275707.554"/>
    <n v="31"/>
    <n v="8893.7920645161284"/>
    <n v="415586.07138104388"/>
    <n v="17787.584129032257"/>
    <n v="0"/>
    <n v="433373.65551007615"/>
    <n v="264391.2885800068"/>
    <n v="11316.265419993162"/>
    <n v="0"/>
    <n v="275707.55399999995"/>
  </r>
  <r>
    <x v="0"/>
    <x v="1"/>
    <x v="0"/>
    <n v="0"/>
    <n v="28"/>
    <n v="1"/>
    <n v="20260403"/>
    <n v="20260501"/>
    <n v="7523288.3858000003"/>
    <n v="29"/>
    <n v="259423.73744137931"/>
    <n v="0"/>
    <n v="7263864.6483586207"/>
    <n v="194955.75162407191"/>
    <n v="7458820.3999826927"/>
    <n v="0"/>
    <n v="7326647.5949932272"/>
    <n v="196640.79080677329"/>
    <n v="7523288.3858000003"/>
  </r>
  <r>
    <x v="0"/>
    <x v="1"/>
    <x v="0"/>
    <n v="30"/>
    <n v="2"/>
    <n v="0"/>
    <n v="20260302"/>
    <n v="20260402"/>
    <n v="371743.23489999998"/>
    <n v="32"/>
    <n v="11616.976090624999"/>
    <n v="561552.49908477126"/>
    <n v="23233.952181249999"/>
    <n v="0"/>
    <n v="584786.45126602123"/>
    <n v="356973.63050052879"/>
    <n v="14769.604399471214"/>
    <n v="0"/>
    <n v="371743.23489999998"/>
  </r>
  <r>
    <x v="0"/>
    <x v="0"/>
    <x v="1"/>
    <n v="28"/>
    <n v="2"/>
    <n v="0"/>
    <n v="20260304"/>
    <n v="20260402"/>
    <n v="2776047.5825999998"/>
    <n v="30"/>
    <n v="92534.919419999991"/>
    <n v="4174838.6606265046"/>
    <n v="185069.83883999998"/>
    <n v="0"/>
    <n v="4359908.4994665049"/>
    <n v="2658209.6328387102"/>
    <n v="117837.94976128959"/>
    <n v="0"/>
    <n v="2776047.5825999998"/>
  </r>
  <r>
    <x v="0"/>
    <x v="1"/>
    <x v="0"/>
    <n v="0"/>
    <n v="28"/>
    <n v="4"/>
    <n v="20260403"/>
    <n v="20260504"/>
    <n v="8918365.0826999992"/>
    <n v="32"/>
    <n v="278698.90883437498"/>
    <n v="0"/>
    <n v="7803569.4473624993"/>
    <n v="837763.81890869699"/>
    <n v="8641333.2662711963"/>
    <n v="0"/>
    <n v="8053743.4601006974"/>
    <n v="864621.62259930198"/>
    <n v="8918365.0826999992"/>
  </r>
  <r>
    <x v="0"/>
    <x v="1"/>
    <x v="0"/>
    <n v="26"/>
    <n v="2"/>
    <n v="0"/>
    <n v="20260306"/>
    <n v="20260402"/>
    <n v="247830.47700000001"/>
    <n v="28"/>
    <n v="8851.0884642857145"/>
    <n v="370805.39435596578"/>
    <n v="17702.176928571429"/>
    <n v="0"/>
    <n v="388507.5712845372"/>
    <n v="236538.19011446805"/>
    <n v="11292.286885531959"/>
    <n v="0"/>
    <n v="247830.47700000001"/>
  </r>
  <r>
    <x v="0"/>
    <x v="0"/>
    <x v="0"/>
    <n v="26"/>
    <n v="2"/>
    <n v="0"/>
    <n v="20260306"/>
    <n v="20260402"/>
    <n v="3221796.2126000002"/>
    <n v="28"/>
    <n v="115064.15045"/>
    <n v="4820470.143983542"/>
    <n v="230128.3009"/>
    <n v="0"/>
    <n v="5050598.4448835421"/>
    <n v="3074996.4825595357"/>
    <n v="146799.73004046438"/>
    <n v="0"/>
    <n v="3221796.2126000002"/>
  </r>
  <r>
    <x v="0"/>
    <x v="1"/>
    <x v="0"/>
    <n v="0"/>
    <n v="29"/>
    <n v="3"/>
    <n v="20260402"/>
    <n v="20260503"/>
    <n v="1013851.1821"/>
    <n v="32"/>
    <n v="31682.849440624999"/>
    <n v="0"/>
    <n v="918802.63377812493"/>
    <n v="71428.549143677534"/>
    <n v="990231.18292180251"/>
    <n v="0"/>
    <n v="940718.84670804918"/>
    <n v="73132.335391950764"/>
    <n v="1013851.1821"/>
  </r>
  <r>
    <x v="0"/>
    <x v="0"/>
    <x v="0"/>
    <n v="16"/>
    <n v="15"/>
    <n v="0"/>
    <n v="20260316"/>
    <n v="20260415"/>
    <n v="2793948.2349"/>
    <n v="31"/>
    <n v="90127.362416129035"/>
    <n v="2323553.402348361"/>
    <n v="1351910.4362419355"/>
    <n v="0"/>
    <n v="3675463.8385902965"/>
    <n v="1766277.186303925"/>
    <n v="1027671.0485960749"/>
    <n v="0"/>
    <n v="2793948.2349"/>
  </r>
  <r>
    <x v="0"/>
    <x v="1"/>
    <x v="1"/>
    <n v="29"/>
    <n v="6"/>
    <n v="0"/>
    <n v="20260303"/>
    <n v="20260406"/>
    <n v="13318.0944"/>
    <n v="35"/>
    <n v="380.51698285714286"/>
    <n v="17780.667329776566"/>
    <n v="2283.1018971428571"/>
    <n v="0"/>
    <n v="20063.769226919423"/>
    <n v="11802.598171595848"/>
    <n v="1515.4962284041512"/>
    <n v="0"/>
    <n v="13318.094399999998"/>
  </r>
  <r>
    <x v="0"/>
    <x v="0"/>
    <x v="1"/>
    <n v="25"/>
    <n v="2"/>
    <n v="0"/>
    <n v="20260307"/>
    <n v="20260402"/>
    <n v="100210.8587"/>
    <n v="27"/>
    <n v="3711.5132851851849"/>
    <n v="149508.89861691609"/>
    <n v="7423.0265703703699"/>
    <n v="0"/>
    <n v="156931.92518728646"/>
    <n v="95470.791528314061"/>
    <n v="4740.0671716859424"/>
    <n v="0"/>
    <n v="100210.8587"/>
  </r>
  <r>
    <x v="0"/>
    <x v="1"/>
    <x v="1"/>
    <n v="0"/>
    <n v="28"/>
    <n v="6"/>
    <n v="20260403"/>
    <n v="20260506"/>
    <n v="1804464.4609999999"/>
    <n v="34"/>
    <n v="53072.484147058822"/>
    <n v="0"/>
    <n v="1486029.5561176471"/>
    <n v="239302.37393448636"/>
    <n v="1725331.9300521335"/>
    <n v="0"/>
    <n v="1554186.4584450563"/>
    <n v="250278.00255494341"/>
    <n v="1804464.4609999997"/>
  </r>
  <r>
    <x v="0"/>
    <x v="0"/>
    <x v="0"/>
    <n v="28"/>
    <n v="4"/>
    <n v="0"/>
    <n v="20260304"/>
    <n v="20260404"/>
    <n v="481922.34120000002"/>
    <n v="32"/>
    <n v="15060.073162500001"/>
    <n v="679455.66997575574"/>
    <n v="60240.292650000003"/>
    <n v="0"/>
    <n v="739695.9626257557"/>
    <n v="442674.94181524869"/>
    <n v="39247.39938475137"/>
    <n v="0"/>
    <n v="481922.34120000008"/>
  </r>
  <r>
    <x v="0"/>
    <x v="1"/>
    <x v="0"/>
    <n v="0"/>
    <n v="24"/>
    <n v="4"/>
    <n v="20260407"/>
    <n v="20260504"/>
    <n v="1158404.598"/>
    <n v="28"/>
    <n v="41371.592785714289"/>
    <n v="0"/>
    <n v="992918.22685714299"/>
    <n v="124362.25068643165"/>
    <n v="1117280.4775435748"/>
    <n v="0"/>
    <n v="1029464.903887093"/>
    <n v="128939.6941129069"/>
    <n v="1158404.5979999998"/>
  </r>
  <r>
    <x v="0"/>
    <x v="0"/>
    <x v="0"/>
    <n v="28"/>
    <n v="6"/>
    <n v="0"/>
    <n v="20260304"/>
    <n v="20260406"/>
    <n v="1400190.2390999999"/>
    <n v="34"/>
    <n v="41182.065855882349"/>
    <n v="1857984.8746531103"/>
    <n v="247092.39513529409"/>
    <n v="0"/>
    <n v="2105077.2697884045"/>
    <n v="1235836.9563062259"/>
    <n v="164353.28279377389"/>
    <n v="0"/>
    <n v="1400190.2390999997"/>
  </r>
  <r>
    <x v="0"/>
    <x v="1"/>
    <x v="1"/>
    <n v="0"/>
    <n v="27"/>
    <n v="6"/>
    <n v="20260404"/>
    <n v="20260506"/>
    <n v="1316932.2792"/>
    <n v="33"/>
    <n v="39907.038763636367"/>
    <n v="0"/>
    <n v="1077490.046618182"/>
    <n v="179939.74215286446"/>
    <n v="1257429.7887710463"/>
    <n v="0"/>
    <n v="1128477.6578221861"/>
    <n v="188454.62137781395"/>
    <n v="1316932.2792"/>
  </r>
  <r>
    <x v="0"/>
    <x v="1"/>
    <x v="0"/>
    <n v="24"/>
    <n v="3"/>
    <n v="0"/>
    <n v="20260308"/>
    <n v="20260403"/>
    <n v="33002.553"/>
    <n v="27"/>
    <n v="1222.3167777777778"/>
    <n v="47268.4138026785"/>
    <n v="3666.9503333333332"/>
    <n v="0"/>
    <n v="50935.364136011834"/>
    <n v="30626.625689437406"/>
    <n v="2375.9273105625939"/>
    <n v="0"/>
    <n v="33002.553"/>
  </r>
  <r>
    <x v="0"/>
    <x v="0"/>
    <x v="1"/>
    <n v="26"/>
    <n v="1"/>
    <n v="0"/>
    <n v="20260306"/>
    <n v="20260401"/>
    <n v="248023.09349999999"/>
    <n v="27"/>
    <n v="9186.0404999999992"/>
    <n v="384837.79525157611"/>
    <n v="9186.0404999999992"/>
    <n v="0"/>
    <n v="394023.83575157612"/>
    <n v="242240.82863401674"/>
    <n v="5782.264865983233"/>
    <n v="0"/>
    <n v="248023.09349999996"/>
  </r>
  <r>
    <x v="0"/>
    <x v="1"/>
    <x v="1"/>
    <n v="30"/>
    <n v="6"/>
    <n v="0"/>
    <n v="20260302"/>
    <n v="20260406"/>
    <n v="63014.543799999999"/>
    <n v="36"/>
    <n v="1750.4039944444444"/>
    <n v="84612.702119744208"/>
    <n v="10502.423966666665"/>
    <n v="0"/>
    <n v="95115.126086410877"/>
    <n v="56056.602594597563"/>
    <n v="6957.9412054024351"/>
    <n v="0"/>
    <n v="63014.543799999999"/>
  </r>
  <r>
    <x v="0"/>
    <x v="0"/>
    <x v="0"/>
    <n v="25"/>
    <n v="7"/>
    <n v="0"/>
    <n v="20260307"/>
    <n v="20260407"/>
    <n v="1134241.9524000001"/>
    <n v="32"/>
    <n v="35445.061012500002"/>
    <n v="1427814.3781785923"/>
    <n v="248115.42708750002"/>
    <n v="0"/>
    <n v="1675929.8052660923"/>
    <n v="966321.4789076132"/>
    <n v="167920.47349238684"/>
    <n v="0"/>
    <n v="1134241.9524000001"/>
  </r>
  <r>
    <x v="0"/>
    <x v="1"/>
    <x v="0"/>
    <n v="0"/>
    <n v="24"/>
    <n v="8"/>
    <n v="20260407"/>
    <n v="20260508"/>
    <n v="215377.33059999999"/>
    <n v="32"/>
    <n v="6730.5415812499996"/>
    <n v="0"/>
    <n v="161532.99794999999"/>
    <n v="40463.769607240814"/>
    <n v="201996.76755724079"/>
    <n v="0"/>
    <n v="172233.18136725877"/>
    <n v="43144.14923274122"/>
    <n v="215377.33059999999"/>
  </r>
  <r>
    <x v="0"/>
    <x v="1"/>
    <x v="0"/>
    <n v="0"/>
    <n v="14"/>
    <n v="15"/>
    <n v="20260417"/>
    <n v="20260515"/>
    <n v="1171387.4750000001"/>
    <n v="29"/>
    <n v="40392.671551724139"/>
    <n v="0"/>
    <n v="565497.40172413795"/>
    <n v="455323.61765372788"/>
    <n v="1020821.0193778658"/>
    <n v="0"/>
    <n v="648905.69546501408"/>
    <n v="522481.77953498601"/>
    <n v="1171387.4750000001"/>
  </r>
  <r>
    <x v="0"/>
    <x v="0"/>
    <x v="0"/>
    <n v="15"/>
    <n v="16"/>
    <n v="0"/>
    <n v="20260317"/>
    <n v="20260416"/>
    <n v="808922.4142"/>
    <n v="31"/>
    <n v="26094.271425806452"/>
    <n v="630684.92250678269"/>
    <n v="417508.34281290323"/>
    <n v="0"/>
    <n v="1048193.2653196859"/>
    <n v="486718.61095971602"/>
    <n v="322203.80324028403"/>
    <n v="0"/>
    <n v="808922.4142"/>
  </r>
  <r>
    <x v="0"/>
    <x v="1"/>
    <x v="0"/>
    <n v="30"/>
    <n v="4"/>
    <n v="0"/>
    <n v="20260302"/>
    <n v="20260404"/>
    <n v="66210.088900000002"/>
    <n v="34"/>
    <n v="1947.355555882353"/>
    <n v="94133.135032863443"/>
    <n v="7789.4222235294119"/>
    <n v="0"/>
    <n v="101922.55725639286"/>
    <n v="61149.988841853461"/>
    <n v="5060.1000581465441"/>
    <n v="0"/>
    <n v="66210.088900000002"/>
  </r>
  <r>
    <x v="0"/>
    <x v="1"/>
    <x v="0"/>
    <n v="0"/>
    <n v="14"/>
    <n v="0"/>
    <n v="20260403"/>
    <n v="20260416"/>
    <n v="926.48879999999997"/>
    <n v="14"/>
    <n v="66.177771428571432"/>
    <n v="0"/>
    <n v="926.48880000000008"/>
    <n v="0"/>
    <n v="926.48880000000008"/>
    <n v="0"/>
    <n v="926.48879999999997"/>
    <n v="0"/>
    <n v="926.48879999999997"/>
  </r>
  <r>
    <x v="0"/>
    <x v="1"/>
    <x v="1"/>
    <n v="0"/>
    <n v="26"/>
    <n v="2"/>
    <n v="20260405"/>
    <n v="20260502"/>
    <n v="113686.63890000001"/>
    <n v="28"/>
    <n v="4060.2371035714286"/>
    <n v="0"/>
    <n v="105566.16469285714"/>
    <n v="6102.4992092528073"/>
    <n v="111668.66390210995"/>
    <n v="0"/>
    <n v="107473.86084976714"/>
    <n v="6212.7780502328624"/>
    <n v="113686.63890000001"/>
  </r>
  <r>
    <x v="0"/>
    <x v="1"/>
    <x v="1"/>
    <n v="29"/>
    <n v="4"/>
    <n v="0"/>
    <n v="20260303"/>
    <n v="20260404"/>
    <n v="14082.2102"/>
    <n v="33"/>
    <n v="426.73364242424242"/>
    <n v="19940.263578768816"/>
    <n v="1706.9345696969697"/>
    <n v="0"/>
    <n v="21647.198148465784"/>
    <n v="12971.793450300553"/>
    <n v="1110.4167496994476"/>
    <n v="0"/>
    <n v="14082.2102"/>
  </r>
  <r>
    <x v="0"/>
    <x v="1"/>
    <x v="1"/>
    <n v="26"/>
    <n v="8"/>
    <n v="0"/>
    <n v="20260306"/>
    <n v="20260408"/>
    <n v="7625.3636999999999"/>
    <n v="34"/>
    <n v="224.27540294117648"/>
    <n v="9395.7403733459705"/>
    <n v="1794.2032235294118"/>
    <n v="0"/>
    <n v="11189.943596875382"/>
    <n v="6402.7076595401986"/>
    <n v="1222.6560404598015"/>
    <n v="0"/>
    <n v="7625.3636999999999"/>
  </r>
  <r>
    <x v="0"/>
    <x v="0"/>
    <x v="1"/>
    <n v="26"/>
    <n v="8"/>
    <n v="0"/>
    <n v="20260306"/>
    <n v="20260408"/>
    <n v="24782.432000000001"/>
    <n v="34"/>
    <n v="728.89505882352944"/>
    <n v="30536.156182570168"/>
    <n v="5831.1604705882355"/>
    <n v="0"/>
    <n v="36367.316653158407"/>
    <n v="20808.799872514162"/>
    <n v="3973.6321274858369"/>
    <n v="0"/>
    <n v="24782.432000000001"/>
  </r>
  <r>
    <x v="0"/>
    <x v="0"/>
    <x v="1"/>
    <n v="26"/>
    <n v="6"/>
    <n v="0"/>
    <n v="20260306"/>
    <n v="20260406"/>
    <n v="343824.08020000003"/>
    <n v="32"/>
    <n v="10744.502506250001"/>
    <n v="450127.63176694943"/>
    <n v="64467.015037500008"/>
    <n v="0"/>
    <n v="514594.64680444944"/>
    <n v="300750.73638239317"/>
    <n v="43073.343817606845"/>
    <n v="0"/>
    <n v="343824.08020000003"/>
  </r>
  <r>
    <x v="0"/>
    <x v="0"/>
    <x v="0"/>
    <n v="24"/>
    <n v="7"/>
    <n v="0"/>
    <n v="20260308"/>
    <n v="20260407"/>
    <n v="212470.72880000001"/>
    <n v="31"/>
    <n v="6853.8944774193551"/>
    <n v="265048.08426793152"/>
    <n v="47977.261341935489"/>
    <n v="0"/>
    <n v="313025.34560986701"/>
    <n v="179905.43073032261"/>
    <n v="32565.298069677392"/>
    <n v="0"/>
    <n v="212470.72880000001"/>
  </r>
  <r>
    <x v="0"/>
    <x v="0"/>
    <x v="1"/>
    <n v="27"/>
    <n v="6"/>
    <n v="0"/>
    <n v="20260305"/>
    <n v="20260406"/>
    <n v="488749.40059999999"/>
    <n v="33"/>
    <n v="14810.587896969697"/>
    <n v="644335.52444451069"/>
    <n v="88863.527381818189"/>
    <n v="0"/>
    <n v="733199.05182632885"/>
    <n v="429513.10503349546"/>
    <n v="59236.295566504581"/>
    <n v="0"/>
    <n v="488749.40060000005"/>
  </r>
  <r>
    <x v="0"/>
    <x v="1"/>
    <x v="0"/>
    <n v="14"/>
    <n v="15"/>
    <n v="0"/>
    <n v="20260318"/>
    <n v="20260415"/>
    <n v="240728.89259999999"/>
    <n v="29"/>
    <n v="8300.9962965517243"/>
    <n v="187255.36520579364"/>
    <n v="124514.94444827587"/>
    <n v="0"/>
    <n v="311770.30965406948"/>
    <n v="144586.49622350556"/>
    <n v="96142.396376494464"/>
    <n v="0"/>
    <n v="240728.89260000002"/>
  </r>
  <r>
    <x v="0"/>
    <x v="1"/>
    <x v="1"/>
    <n v="0"/>
    <n v="13"/>
    <n v="19"/>
    <n v="20260418"/>
    <n v="20260519"/>
    <n v="303372.4975"/>
    <n v="32"/>
    <n v="9480.3905468749999"/>
    <n v="0"/>
    <n v="123245.07710937499"/>
    <n v="135364.93220206827"/>
    <n v="258610.00931144325"/>
    <n v="0"/>
    <n v="144577.41580382339"/>
    <n v="158795.08169617661"/>
    <n v="303372.4975"/>
  </r>
  <r>
    <x v="0"/>
    <x v="1"/>
    <x v="1"/>
    <n v="29"/>
    <n v="3"/>
    <n v="0"/>
    <n v="20260303"/>
    <n v="20260403"/>
    <n v="34102.076000000001"/>
    <n v="32"/>
    <n v="1065.689875"/>
    <n v="49797.191709574916"/>
    <n v="3197.0696250000001"/>
    <n v="0"/>
    <n v="52994.261334574912"/>
    <n v="32044.745478102352"/>
    <n v="2057.3305218976507"/>
    <n v="0"/>
    <n v="34102.076000000001"/>
  </r>
  <r>
    <x v="0"/>
    <x v="0"/>
    <x v="1"/>
    <n v="29"/>
    <n v="3"/>
    <n v="0"/>
    <n v="20260303"/>
    <n v="20260403"/>
    <n v="329653.40110000002"/>
    <n v="32"/>
    <n v="10301.668784375001"/>
    <n v="481372.85285183508"/>
    <n v="30905.006353125002"/>
    <n v="0"/>
    <n v="512277.85920496006"/>
    <n v="309765.87273573276"/>
    <n v="19887.528364267284"/>
    <n v="0"/>
    <n v="329653.40110000002"/>
  </r>
  <r>
    <x v="0"/>
    <x v="0"/>
    <x v="1"/>
    <n v="27"/>
    <n v="7"/>
    <n v="0"/>
    <n v="20260305"/>
    <n v="20260407"/>
    <n v="516874.098"/>
    <n v="34"/>
    <n v="15202.179352941177"/>
    <n v="661371.73447929241"/>
    <n v="106415.25547058824"/>
    <n v="0"/>
    <n v="767786.98994988063"/>
    <n v="445235.36238090548"/>
    <n v="71638.735619094499"/>
    <n v="0"/>
    <n v="516874.098"/>
  </r>
  <r>
    <x v="0"/>
    <x v="1"/>
    <x v="0"/>
    <n v="28"/>
    <n v="7"/>
    <n v="0"/>
    <n v="20260304"/>
    <n v="20260407"/>
    <n v="110715.5901"/>
    <n v="35"/>
    <n v="3163.3025742857144"/>
    <n v="142716.69511534704"/>
    <n v="22143.118020000002"/>
    <n v="0"/>
    <n v="164859.81313534704"/>
    <n v="95844.844272904287"/>
    <n v="14870.745827095732"/>
    <n v="0"/>
    <n v="110715.59010000002"/>
  </r>
  <r>
    <x v="0"/>
    <x v="1"/>
    <x v="1"/>
    <n v="28"/>
    <n v="7"/>
    <n v="0"/>
    <n v="20260304"/>
    <n v="20260407"/>
    <n v="33082.391499999998"/>
    <n v="35"/>
    <n v="945.21118571428565"/>
    <n v="42644.487349320902"/>
    <n v="6616.4782999999998"/>
    <n v="0"/>
    <n v="49260.965649320904"/>
    <n v="28638.935660541196"/>
    <n v="4443.4558394588021"/>
    <n v="0"/>
    <n v="33082.391499999998"/>
  </r>
  <r>
    <x v="0"/>
    <x v="0"/>
    <x v="0"/>
    <n v="25"/>
    <n v="5"/>
    <n v="0"/>
    <n v="20260307"/>
    <n v="20260405"/>
    <n v="165652.5001"/>
    <n v="30"/>
    <n v="5521.7500033333336"/>
    <n v="222429.69322825124"/>
    <n v="27608.750016666669"/>
    <n v="0"/>
    <n v="250038.4432449179"/>
    <n v="147361.47890524336"/>
    <n v="18291.021194756649"/>
    <n v="0"/>
    <n v="165652.5001"/>
  </r>
  <r>
    <x v="0"/>
    <x v="1"/>
    <x v="0"/>
    <n v="30"/>
    <n v="6"/>
    <n v="0"/>
    <n v="20260302"/>
    <n v="20260406"/>
    <n v="105739.8548"/>
    <n v="36"/>
    <n v="2937.218188888889"/>
    <n v="141982.06155032746"/>
    <n v="17623.309133333336"/>
    <n v="0"/>
    <n v="159605.37068366079"/>
    <n v="94064.269317681697"/>
    <n v="11675.585482318302"/>
    <n v="0"/>
    <n v="105739.8548"/>
  </r>
  <r>
    <x v="0"/>
    <x v="1"/>
    <x v="0"/>
    <n v="30"/>
    <n v="8"/>
    <n v="0"/>
    <n v="20260302"/>
    <n v="20260408"/>
    <n v="6598.3553000000002"/>
    <n v="38"/>
    <n v="173.64092894736842"/>
    <n v="8393.6212688331289"/>
    <n v="1389.1274315789474"/>
    <n v="0"/>
    <n v="9782.7487004120758"/>
    <n v="5661.4042823225"/>
    <n v="936.95101767749998"/>
    <n v="0"/>
    <n v="6598.3553000000002"/>
  </r>
  <r>
    <x v="0"/>
    <x v="0"/>
    <x v="1"/>
    <n v="25"/>
    <n v="4"/>
    <n v="0"/>
    <n v="20260307"/>
    <n v="20260404"/>
    <n v="3559.7539000000002"/>
    <n v="29"/>
    <n v="122.75013448275863"/>
    <n v="4944.6778177650785"/>
    <n v="491.0005379310345"/>
    <n v="0"/>
    <n v="5435.6783556961127"/>
    <n v="3238.2041383275655"/>
    <n v="321.54976167243495"/>
    <n v="0"/>
    <n v="3559.7539000000006"/>
  </r>
  <r>
    <x v="0"/>
    <x v="1"/>
    <x v="0"/>
    <n v="13"/>
    <n v="2"/>
    <n v="0"/>
    <n v="20260319"/>
    <n v="20260402"/>
    <n v="151.83850000000001"/>
    <n v="15"/>
    <n v="10.122566666666668"/>
    <n v="212.03619983425372"/>
    <n v="20.245133333333335"/>
    <n v="0"/>
    <n v="232.28133316758706"/>
    <n v="138.60458819265085"/>
    <n v="13.233911807349157"/>
    <n v="0"/>
    <n v="151.83850000000001"/>
  </r>
  <r>
    <x v="0"/>
    <x v="0"/>
    <x v="1"/>
    <n v="22"/>
    <n v="3"/>
    <n v="0"/>
    <n v="20260310"/>
    <n v="20260403"/>
    <n v="34683.674099999997"/>
    <n v="25"/>
    <n v="1387.3469639999998"/>
    <n v="49179.463084582647"/>
    <n v="4162.0408919999991"/>
    <n v="0"/>
    <n v="53341.503976582644"/>
    <n v="31977.434884240836"/>
    <n v="2706.2392157591621"/>
    <n v="0"/>
    <n v="34683.674099999997"/>
  </r>
  <r>
    <x v="0"/>
    <x v="1"/>
    <x v="1"/>
    <n v="0"/>
    <n v="15"/>
    <n v="19"/>
    <n v="20260416"/>
    <n v="20260519"/>
    <n v="675.21730000000002"/>
    <n v="34"/>
    <n v="19.859332352941177"/>
    <n v="0"/>
    <n v="297.88998529411765"/>
    <n v="283.55975043879891"/>
    <n v="581.44973573291657"/>
    <n v="0"/>
    <n v="345.9292509846901"/>
    <n v="329.28804901530992"/>
    <n v="675.21730000000002"/>
  </r>
  <r>
    <x v="0"/>
    <x v="1"/>
    <x v="1"/>
    <n v="0"/>
    <n v="23"/>
    <n v="9"/>
    <n v="20260408"/>
    <n v="20260509"/>
    <n v="36008.480300000003"/>
    <n v="32"/>
    <n v="1125.2650093750001"/>
    <n v="0"/>
    <n v="25881.095215625002"/>
    <n v="7610.6835503319608"/>
    <n v="33491.778765956966"/>
    <n v="0"/>
    <n v="27825.90061061598"/>
    <n v="8182.5796893840206"/>
    <n v="36008.480300000003"/>
  </r>
  <r>
    <x v="0"/>
    <x v="1"/>
    <x v="1"/>
    <n v="23"/>
    <n v="8"/>
    <n v="0"/>
    <n v="20260309"/>
    <n v="20260408"/>
    <n v="36109.8105"/>
    <n v="31"/>
    <n v="1164.8325967741935"/>
    <n v="43168.54048912679"/>
    <n v="9318.6607741935477"/>
    <n v="0"/>
    <n v="52487.201263320341"/>
    <n v="29698.81759943044"/>
    <n v="6410.9929005695585"/>
    <n v="0"/>
    <n v="36109.8105"/>
  </r>
  <r>
    <x v="0"/>
    <x v="1"/>
    <x v="1"/>
    <n v="0"/>
    <n v="25"/>
    <n v="3"/>
    <n v="20260406"/>
    <n v="20260503"/>
    <n v="5400.5999000000002"/>
    <n v="28"/>
    <n v="192.87856785714285"/>
    <n v="0"/>
    <n v="4821.9641964285711"/>
    <n v="434.84208353054925"/>
    <n v="5256.8062799591207"/>
    <n v="0"/>
    <n v="4953.863233711978"/>
    <n v="446.73666628802198"/>
    <n v="5400.5999000000002"/>
  </r>
  <r>
    <x v="0"/>
    <x v="0"/>
    <x v="1"/>
    <n v="24"/>
    <n v="4"/>
    <n v="0"/>
    <n v="20260308"/>
    <n v="20260404"/>
    <n v="2166.5295999999998"/>
    <n v="28"/>
    <n v="77.376057142857135"/>
    <n v="2992.2222732618065"/>
    <n v="309.50422857142854"/>
    <n v="0"/>
    <n v="3301.726501833235"/>
    <n v="1963.4388618201863"/>
    <n v="203.09073817981368"/>
    <n v="0"/>
    <n v="2166.5295999999998"/>
  </r>
  <r>
    <x v="0"/>
    <x v="0"/>
    <x v="1"/>
    <n v="14"/>
    <n v="17"/>
    <n v="0"/>
    <n v="20260318"/>
    <n v="20260417"/>
    <n v="56136.2448"/>
    <n v="31"/>
    <n v="1810.8466064516128"/>
    <n v="40849.402952225013"/>
    <n v="30784.39230967742"/>
    <n v="0"/>
    <n v="71633.795261902429"/>
    <n v="32011.874781671948"/>
    <n v="24124.370018328053"/>
    <n v="0"/>
    <n v="56136.2448"/>
  </r>
  <r>
    <x v="0"/>
    <x v="1"/>
    <x v="0"/>
    <n v="0"/>
    <n v="25"/>
    <n v="9"/>
    <n v="20260406"/>
    <n v="20260509"/>
    <n v="9326.0020999999997"/>
    <n v="34"/>
    <n v="274.29417941176467"/>
    <n v="0"/>
    <n v="6857.3544852941168"/>
    <n v="1855.1773864899671"/>
    <n v="8712.5318717840837"/>
    <n v="0"/>
    <n v="7340.197232151052"/>
    <n v="1985.8048678489486"/>
    <n v="9326.0021000000015"/>
  </r>
  <r>
    <x v="0"/>
    <x v="1"/>
    <x v="0"/>
    <n v="22"/>
    <n v="2"/>
    <n v="0"/>
    <n v="20260310"/>
    <n v="20260402"/>
    <n v="1712.5605"/>
    <n v="24"/>
    <n v="71.356687500000007"/>
    <n v="2529.4923835248692"/>
    <n v="142.71337500000001"/>
    <n v="0"/>
    <n v="2672.205758524869"/>
    <n v="1621.0984978442957"/>
    <n v="91.462002155704496"/>
    <n v="0"/>
    <n v="1712.5605000000003"/>
  </r>
  <r>
    <x v="0"/>
    <x v="1"/>
    <x v="1"/>
    <n v="24"/>
    <n v="8"/>
    <n v="0"/>
    <n v="20260308"/>
    <n v="20260408"/>
    <n v="3801.2451999999998"/>
    <n v="32"/>
    <n v="118.7889125"/>
    <n v="4593.7056361350151"/>
    <n v="950.31129999999996"/>
    <n v="0"/>
    <n v="5544.0169361350154"/>
    <n v="3149.6659733771635"/>
    <n v="651.57922662283636"/>
    <n v="0"/>
    <n v="3801.2451999999998"/>
  </r>
  <r>
    <x v="0"/>
    <x v="1"/>
    <x v="0"/>
    <n v="0"/>
    <n v="21"/>
    <n v="2"/>
    <n v="20260410"/>
    <n v="20260502"/>
    <n v="14142.9899"/>
    <n v="23"/>
    <n v="614.91260434782612"/>
    <n v="0"/>
    <n v="12913.164691304348"/>
    <n v="924.20801693857982"/>
    <n v="13837.372708242927"/>
    <n v="0"/>
    <n v="13198.369492306934"/>
    <n v="944.62040769306793"/>
    <n v="14142.989900000002"/>
  </r>
  <r>
    <x v="0"/>
    <x v="0"/>
    <x v="0"/>
    <n v="24"/>
    <n v="2"/>
    <n v="0"/>
    <n v="20260308"/>
    <n v="20260402"/>
    <n v="75805.653200000001"/>
    <n v="26"/>
    <n v="2915.602046153846"/>
    <n v="112749.72781776839"/>
    <n v="5831.204092307692"/>
    <n v="0"/>
    <n v="118580.93191007608"/>
    <n v="72077.918664272875"/>
    <n v="3727.7345357271283"/>
    <n v="0"/>
    <n v="75805.653200000001"/>
  </r>
  <r>
    <x v="0"/>
    <x v="1"/>
    <x v="0"/>
    <n v="23"/>
    <n v="2"/>
    <n v="0"/>
    <n v="20260309"/>
    <n v="20260402"/>
    <n v="946.94749999999999"/>
    <n v="25"/>
    <n v="37.877899999999997"/>
    <n v="1403.7499159289682"/>
    <n v="75.755799999999994"/>
    <n v="0"/>
    <n v="1479.5057159289681"/>
    <n v="898.46051907917467"/>
    <n v="48.486980920825395"/>
    <n v="0"/>
    <n v="946.9475000000001"/>
  </r>
  <r>
    <x v="0"/>
    <x v="1"/>
    <x v="0"/>
    <n v="26"/>
    <n v="14"/>
    <n v="0"/>
    <n v="20260306"/>
    <n v="20260414"/>
    <n v="5782.5313999999998"/>
    <n v="40"/>
    <n v="144.56328500000001"/>
    <n v="6056.2998686675992"/>
    <n v="2023.8859900000002"/>
    <n v="0"/>
    <n v="8080.1858586675989"/>
    <n v="4334.1508191695348"/>
    <n v="1448.3805808304651"/>
    <n v="0"/>
    <n v="5782.5313999999998"/>
  </r>
  <r>
    <x v="0"/>
    <x v="1"/>
    <x v="0"/>
    <n v="19"/>
    <n v="5"/>
    <n v="0"/>
    <n v="20260313"/>
    <n v="20260405"/>
    <n v="4122.9967999999999"/>
    <n v="24"/>
    <n v="171.79153333333332"/>
    <n v="5259.3414962579745"/>
    <n v="858.95766666666657"/>
    <n v="0"/>
    <n v="6118.2991629246408"/>
    <n v="3544.1627782080268"/>
    <n v="578.83402179197321"/>
    <n v="0"/>
    <n v="4122.9967999999999"/>
  </r>
  <r>
    <x v="0"/>
    <x v="1"/>
    <x v="0"/>
    <n v="0"/>
    <n v="24"/>
    <n v="10"/>
    <n v="20260407"/>
    <n v="20260510"/>
    <n v="3334.2757000000001"/>
    <n v="34"/>
    <n v="98.06693235294118"/>
    <n v="0"/>
    <n v="2353.6063764705882"/>
    <n v="736.9685093159535"/>
    <n v="3090.5748857865419"/>
    <n v="0"/>
    <n v="2539.1950813169669"/>
    <n v="795.08061868303298"/>
    <n v="3334.2757000000001"/>
  </r>
  <r>
    <x v="0"/>
    <x v="1"/>
    <x v="1"/>
    <n v="0"/>
    <n v="25"/>
    <n v="10"/>
    <n v="20260406"/>
    <n v="20260510"/>
    <n v="42.196100000000001"/>
    <n v="35"/>
    <n v="1.2056028571428572"/>
    <n v="0"/>
    <n v="30.140071428571432"/>
    <n v="9.060050305825424"/>
    <n v="39.200121734396859"/>
    <n v="0"/>
    <n v="32.443610165913967"/>
    <n v="9.7524898340860293"/>
    <n v="42.196099999999994"/>
  </r>
  <r>
    <x v="0"/>
    <x v="0"/>
    <x v="1"/>
    <n v="29"/>
    <n v="5"/>
    <n v="0"/>
    <n v="20260303"/>
    <n v="20260405"/>
    <n v="2338.6365999999998"/>
    <n v="34"/>
    <n v="68.7834294117647"/>
    <n v="3214.0885460318937"/>
    <n v="343.9171470588235"/>
    <n v="0"/>
    <n v="3558.0056930907172"/>
    <n v="2112.5837780381885"/>
    <n v="226.0528219618113"/>
    <n v="0"/>
    <n v="2338.6365999999998"/>
  </r>
  <r>
    <x v="0"/>
    <x v="0"/>
    <x v="0"/>
    <n v="30"/>
    <n v="9"/>
    <n v="0"/>
    <n v="20260302"/>
    <n v="20260409"/>
    <n v="2693.1149"/>
    <n v="39"/>
    <n v="69.054228205128211"/>
    <n v="3338.009316577115"/>
    <n v="621.48805384615389"/>
    <n v="0"/>
    <n v="3959.4973704232689"/>
    <n v="2270.3999487317897"/>
    <n v="422.71495126821043"/>
    <n v="0"/>
    <n v="2693.1149"/>
  </r>
  <r>
    <x v="0"/>
    <x v="1"/>
    <x v="1"/>
    <n v="0"/>
    <n v="28"/>
    <n v="11"/>
    <n v="20260403"/>
    <n v="20260511"/>
    <n v="3374.2682"/>
    <n v="39"/>
    <n v="86.519697435897442"/>
    <n v="0"/>
    <n v="2422.5515282051283"/>
    <n v="715.21072401809624"/>
    <n v="3137.7622522232246"/>
    <n v="0"/>
    <n v="2605.1491245686748"/>
    <n v="769.11907543132497"/>
    <n v="3374.2681999999995"/>
  </r>
  <r>
    <x v="0"/>
    <x v="1"/>
    <x v="0"/>
    <n v="0"/>
    <n v="22"/>
    <n v="3"/>
    <n v="20260409"/>
    <n v="20260503"/>
    <n v="16378.620500000001"/>
    <n v="25"/>
    <n v="655.14481999999998"/>
    <n v="0"/>
    <n v="14413.186040000001"/>
    <n v="1477.0150033157067"/>
    <n v="15890.201043315707"/>
    <n v="0"/>
    <n v="14856.206268350586"/>
    <n v="1522.4142316494144"/>
    <n v="16378.620500000001"/>
  </r>
  <r>
    <x v="0"/>
    <x v="0"/>
    <x v="0"/>
    <n v="25"/>
    <n v="11"/>
    <n v="0"/>
    <n v="20260307"/>
    <n v="20260411"/>
    <n v="87.768600000000006"/>
    <n v="36"/>
    <n v="2.4380166666666669"/>
    <n v="98.209317503448361"/>
    <n v="26.818183333333337"/>
    <n v="0"/>
    <n v="125.0275008367817"/>
    <n v="68.942386647285048"/>
    <n v="18.826213352714962"/>
    <n v="0"/>
    <n v="87.768600000000006"/>
  </r>
  <r>
    <x v="0"/>
    <x v="1"/>
    <x v="0"/>
    <n v="0"/>
    <n v="21"/>
    <n v="0"/>
    <n v="20260405"/>
    <n v="20260425"/>
    <n v="84.372500000000002"/>
    <n v="21"/>
    <n v="4.0177380952380952"/>
    <n v="0"/>
    <n v="84.372500000000002"/>
    <n v="0"/>
    <n v="84.372500000000002"/>
    <n v="0"/>
    <n v="84.372500000000002"/>
    <n v="0"/>
    <n v="84.372500000000002"/>
  </r>
  <r>
    <x v="0"/>
    <x v="1"/>
    <x v="1"/>
    <n v="0"/>
    <n v="15"/>
    <n v="0"/>
    <n v="20260401"/>
    <n v="20260415"/>
    <n v="29360.406800000001"/>
    <n v="15"/>
    <n v="1957.3604533333335"/>
    <n v="0"/>
    <n v="29360.406800000001"/>
    <n v="0"/>
    <n v="29360.406800000001"/>
    <n v="0"/>
    <n v="29360.406800000001"/>
    <n v="0"/>
    <n v="29360.406800000001"/>
  </r>
  <r>
    <x v="0"/>
    <x v="1"/>
    <x v="0"/>
    <n v="0"/>
    <n v="23"/>
    <n v="0"/>
    <n v="20260408"/>
    <n v="20260430"/>
    <n v="2279.3919999999998"/>
    <n v="23"/>
    <n v="99.103999999999999"/>
    <n v="0"/>
    <n v="2279.3919999999998"/>
    <n v="0"/>
    <n v="2279.3919999999998"/>
    <n v="0"/>
    <n v="2279.3919999999998"/>
    <n v="0"/>
    <n v="2279.3919999999998"/>
  </r>
  <r>
    <x v="0"/>
    <x v="1"/>
    <x v="0"/>
    <n v="0"/>
    <n v="29"/>
    <n v="13"/>
    <n v="20260402"/>
    <n v="20260513"/>
    <n v="7801.5326999999997"/>
    <n v="42"/>
    <n v="185.75077857142855"/>
    <n v="0"/>
    <n v="5386.7725785714283"/>
    <n v="1814.6811818687954"/>
    <n v="7201.453760440224"/>
    <n v="0"/>
    <n v="5835.6387220098359"/>
    <n v="1965.8939779901636"/>
    <n v="7801.5326999999997"/>
  </r>
  <r>
    <x v="0"/>
    <x v="0"/>
    <x v="1"/>
    <n v="15"/>
    <n v="20"/>
    <n v="0"/>
    <n v="20260317"/>
    <n v="20260420"/>
    <n v="101951.6995"/>
    <n v="35"/>
    <n v="2912.9057000000003"/>
    <n v="70403.41060671283"/>
    <n v="58258.114000000001"/>
    <n v="0"/>
    <n v="128661.52460671283"/>
    <n v="55787.830774517388"/>
    <n v="46163.868725482622"/>
    <n v="0"/>
    <n v="101951.69950000002"/>
  </r>
  <r>
    <x v="0"/>
    <x v="1"/>
    <x v="0"/>
    <n v="0"/>
    <n v="22"/>
    <n v="0"/>
    <n v="20260409"/>
    <n v="20260430"/>
    <n v="3208.2584999999999"/>
    <n v="22"/>
    <n v="145.82993181818182"/>
    <n v="0"/>
    <n v="3208.2584999999999"/>
    <n v="0"/>
    <n v="3208.2584999999999"/>
    <n v="0"/>
    <n v="3208.2584999999999"/>
    <n v="0"/>
    <n v="3208.2584999999999"/>
  </r>
  <r>
    <x v="0"/>
    <x v="0"/>
    <x v="1"/>
    <n v="24"/>
    <n v="2"/>
    <n v="0"/>
    <n v="20260308"/>
    <n v="20260402"/>
    <n v="855.68219999999997"/>
    <n v="26"/>
    <n v="32.910853846153842"/>
    <n v="1272.7010595630518"/>
    <n v="65.821707692307683"/>
    <n v="0"/>
    <n v="1338.5227672553594"/>
    <n v="813.60412331446116"/>
    <n v="42.078076685538903"/>
    <n v="0"/>
    <n v="855.68220000000008"/>
  </r>
  <r>
    <x v="0"/>
    <x v="1"/>
    <x v="0"/>
    <n v="0"/>
    <n v="22"/>
    <n v="0"/>
    <n v="20260402"/>
    <n v="20260423"/>
    <n v="10920.866"/>
    <n v="22"/>
    <n v="496.40300000000002"/>
    <n v="0"/>
    <n v="10920.866"/>
    <n v="0"/>
    <n v="10920.866"/>
    <n v="0"/>
    <n v="10920.866"/>
    <n v="0"/>
    <n v="10920.866"/>
  </r>
  <r>
    <x v="0"/>
    <x v="1"/>
    <x v="0"/>
    <n v="31"/>
    <n v="1"/>
    <n v="0"/>
    <n v="20260226"/>
    <n v="20260401"/>
    <n v="456.09190000000001"/>
    <n v="32"/>
    <n v="14.252871875"/>
    <n v="711.93458177414436"/>
    <n v="14.252871875"/>
    <n v="0"/>
    <n v="726.18745364914435"/>
    <n v="447.14019010573065"/>
    <n v="8.9517098942693529"/>
    <n v="0"/>
    <n v="456.09190000000001"/>
  </r>
  <r>
    <x v="0"/>
    <x v="1"/>
    <x v="0"/>
    <n v="31"/>
    <n v="3"/>
    <n v="0"/>
    <n v="20260227"/>
    <n v="20260403"/>
    <n v="3546.4679999999998"/>
    <n v="34"/>
    <n v="104.30788235294118"/>
    <n v="5210.2053010764066"/>
    <n v="312.92364705882352"/>
    <n v="0"/>
    <n v="5523.1289481352305"/>
    <n v="3345.5359357373854"/>
    <n v="200.93206426261398"/>
    <n v="0"/>
    <n v="3546.4679999999994"/>
  </r>
  <r>
    <x v="0"/>
    <x v="1"/>
    <x v="0"/>
    <n v="0"/>
    <n v="10"/>
    <n v="0"/>
    <n v="20260407"/>
    <n v="20260416"/>
    <n v="42.169499999999999"/>
    <n v="10"/>
    <n v="4.2169499999999998"/>
    <n v="0"/>
    <n v="42.169499999999999"/>
    <n v="0"/>
    <n v="42.169499999999999"/>
    <n v="0"/>
    <n v="42.169499999999999"/>
    <n v="0"/>
    <n v="42.169499999999999"/>
  </r>
  <r>
    <x v="0"/>
    <x v="1"/>
    <x v="0"/>
    <n v="0"/>
    <n v="4"/>
    <n v="4"/>
    <n v="20260427"/>
    <n v="20260504"/>
    <n v="84.374499999999998"/>
    <n v="8"/>
    <n v="10.5468125"/>
    <n v="0"/>
    <n v="42.187249999999999"/>
    <n v="31.703525335884539"/>
    <n v="73.890775335884541"/>
    <n v="0"/>
    <n v="48.172834957333841"/>
    <n v="36.201665042666157"/>
    <n v="84.374499999999998"/>
  </r>
  <r>
    <x v="0"/>
    <x v="1"/>
    <x v="0"/>
    <n v="1"/>
    <n v="30"/>
    <n v="5"/>
    <n v="20260331"/>
    <n v="20260505"/>
    <n v="491.98860000000002"/>
    <n v="36"/>
    <n v="13.666350000000001"/>
    <n v="22.02056982815132"/>
    <n v="409.99050000000005"/>
    <n v="51.350997454688994"/>
    <n v="483.36206728284037"/>
    <n v="22.413569566713534"/>
    <n v="417.30757492451022"/>
    <n v="52.267455508776315"/>
    <n v="491.98860000000008"/>
  </r>
  <r>
    <x v="0"/>
    <x v="1"/>
    <x v="0"/>
    <n v="1"/>
    <n v="15"/>
    <n v="0"/>
    <n v="20260331"/>
    <n v="20260415"/>
    <n v="789.80650000000003"/>
    <n v="16"/>
    <n v="49.362906250000002"/>
    <n v="79.538378864774586"/>
    <n v="740.44359374999999"/>
    <n v="0"/>
    <n v="819.98197261477458"/>
    <n v="76.611353328342304"/>
    <n v="713.19514667165777"/>
    <n v="0"/>
    <n v="789.80650000000003"/>
  </r>
  <r>
    <x v="0"/>
    <x v="1"/>
    <x v="0"/>
    <n v="8"/>
    <n v="17"/>
    <n v="0"/>
    <n v="20260324"/>
    <n v="20260417"/>
    <n v="1950.6925000000001"/>
    <n v="25"/>
    <n v="78.02770000000001"/>
    <n v="1005.8073539050546"/>
    <n v="1326.4709000000003"/>
    <n v="0"/>
    <n v="2332.278253905055"/>
    <n v="841.24647581064653"/>
    <n v="1109.4460241893535"/>
    <n v="0"/>
    <n v="1950.6925000000001"/>
  </r>
  <r>
    <x v="0"/>
    <x v="0"/>
    <x v="0"/>
    <n v="8"/>
    <n v="17"/>
    <n v="0"/>
    <n v="20260324"/>
    <n v="20260417"/>
    <n v="917.97299999999996"/>
    <n v="25"/>
    <n v="36.718919999999997"/>
    <n v="473.32113805035107"/>
    <n v="624.22163999999998"/>
    <n v="0"/>
    <n v="1097.542778050351"/>
    <n v="395.8807198670865"/>
    <n v="522.0922801329134"/>
    <n v="0"/>
    <n v="917.97299999999996"/>
  </r>
  <r>
    <x v="0"/>
    <x v="0"/>
    <x v="0"/>
    <n v="5"/>
    <n v="30"/>
    <n v="3"/>
    <n v="20260327"/>
    <n v="20260503"/>
    <n v="777.07889999999998"/>
    <n v="38"/>
    <n v="20.449444736842104"/>
    <n v="164.75080243611242"/>
    <n v="613.48334210526309"/>
    <n v="46.102992443397781"/>
    <n v="824.33713698477322"/>
    <n v="155.30584100511822"/>
    <n v="578.31309456131828"/>
    <n v="43.459964433563563"/>
    <n v="777.07889999999998"/>
  </r>
  <r>
    <x v="0"/>
    <x v="0"/>
    <x v="0"/>
    <n v="2"/>
    <n v="30"/>
    <n v="2"/>
    <n v="20260330"/>
    <n v="20260502"/>
    <n v="1079.1432"/>
    <n v="34"/>
    <n v="31.73950588235294"/>
    <n v="102.28363909798482"/>
    <n v="952.1851764705882"/>
    <n v="47.704186875875187"/>
    <n v="1102.1730024444482"/>
    <n v="100.14643196580001"/>
    <n v="932.28935570922374"/>
    <n v="46.707412324976296"/>
    <n v="1079.1432"/>
  </r>
  <r>
    <x v="0"/>
    <x v="0"/>
    <x v="0"/>
    <n v="5"/>
    <n v="30"/>
    <n v="2"/>
    <n v="20260327"/>
    <n v="20260502"/>
    <n v="3517.2570000000001"/>
    <n v="37"/>
    <n v="95.061000000000007"/>
    <n v="765.85825345973603"/>
    <n v="2851.8300000000004"/>
    <n v="142.87581304562494"/>
    <n v="3760.5640665053611"/>
    <n v="716.30751540214203"/>
    <n v="2667.3176823793119"/>
    <n v="133.63180221854606"/>
    <n v="3517.2570000000001"/>
  </r>
  <r>
    <x v="0"/>
    <x v="0"/>
    <x v="0"/>
    <n v="8"/>
    <n v="5"/>
    <n v="0"/>
    <n v="20260324"/>
    <n v="20260405"/>
    <n v="467.57850000000002"/>
    <n v="13"/>
    <n v="35.967576923076926"/>
    <n v="463.6360340158239"/>
    <n v="179.83788461538464"/>
    <n v="0"/>
    <n v="643.47391863120856"/>
    <n v="336.89981062824347"/>
    <n v="130.67868937175649"/>
    <n v="0"/>
    <n v="467.57849999999996"/>
  </r>
  <r>
    <x v="0"/>
    <x v="1"/>
    <x v="0"/>
    <n v="0"/>
    <n v="16"/>
    <n v="3"/>
    <n v="20260415"/>
    <n v="20260503"/>
    <n v="84.451599999999999"/>
    <n v="19"/>
    <n v="4.4448210526315792"/>
    <n v="0"/>
    <n v="71.117136842105268"/>
    <n v="10.020788047733255"/>
    <n v="81.13792488983853"/>
    <n v="0"/>
    <n v="74.021562689569166"/>
    <n v="10.430037310430825"/>
    <n v="84.451599999999985"/>
  </r>
  <r>
    <x v="0"/>
    <x v="0"/>
    <x v="0"/>
    <n v="2"/>
    <n v="30"/>
    <n v="7"/>
    <n v="20260330"/>
    <n v="20260507"/>
    <n v="45.420699999999997"/>
    <n v="39"/>
    <n v="1.1646333333333332"/>
    <n v="3.7531439837058604"/>
    <n v="34.938999999999993"/>
    <n v="6.1265163463473673"/>
    <n v="44.81866033005322"/>
    <n v="3.8035591801569213"/>
    <n v="35.408328263570731"/>
    <n v="6.2088125562723491"/>
    <n v="45.420700000000004"/>
  </r>
  <r>
    <x v="0"/>
    <x v="1"/>
    <x v="0"/>
    <n v="12"/>
    <n v="7"/>
    <n v="0"/>
    <n v="20260320"/>
    <n v="20260407"/>
    <n v="1087.0949000000001"/>
    <n v="19"/>
    <n v="57.21552105263158"/>
    <n v="1106.2954277566744"/>
    <n v="400.50864736842107"/>
    <n v="0"/>
    <n v="1506.8040751250956"/>
    <n v="798.14498597487193"/>
    <n v="288.94991402512807"/>
    <n v="0"/>
    <n v="1087.0949000000001"/>
  </r>
  <r>
    <x v="0"/>
    <x v="0"/>
    <x v="0"/>
    <n v="8"/>
    <n v="10"/>
    <n v="0"/>
    <n v="20260324"/>
    <n v="20260410"/>
    <n v="112.473"/>
    <n v="18"/>
    <n v="6.2484999999999999"/>
    <n v="80.545591512702956"/>
    <n v="62.484999999999999"/>
    <n v="0"/>
    <n v="143.03059151270296"/>
    <n v="63.337529534048421"/>
    <n v="49.13547046595157"/>
    <n v="0"/>
    <n v="112.47299999999998"/>
  </r>
  <r>
    <x v="0"/>
    <x v="1"/>
    <x v="0"/>
    <n v="6"/>
    <n v="30"/>
    <n v="6"/>
    <n v="20260326"/>
    <n v="20260506"/>
    <n v="433.92599999999999"/>
    <n v="42"/>
    <n v="10.331571428571428"/>
    <n v="99.883475870612202"/>
    <n v="309.94714285714281"/>
    <n v="46.584771922116047"/>
    <n v="456.41539064987103"/>
    <n v="94.96182214389907"/>
    <n v="294.67482181073677"/>
    <n v="44.289356045364201"/>
    <n v="433.92600000000004"/>
  </r>
  <r>
    <x v="0"/>
    <x v="0"/>
    <x v="0"/>
    <n v="15"/>
    <n v="3"/>
    <n v="0"/>
    <n v="20260317"/>
    <n v="20260403"/>
    <n v="16645.225999999999"/>
    <n v="18"/>
    <n v="924.73477777777771"/>
    <n v="22350.356986220402"/>
    <n v="2774.2043333333331"/>
    <n v="0"/>
    <n v="25124.561319553737"/>
    <n v="14807.293090000323"/>
    <n v="1837.9329099996744"/>
    <n v="0"/>
    <n v="16645.225999999999"/>
  </r>
  <r>
    <x v="0"/>
    <x v="1"/>
    <x v="1"/>
    <n v="0"/>
    <n v="15"/>
    <n v="11"/>
    <n v="20260416"/>
    <n v="20260511"/>
    <n v="2448.9236000000001"/>
    <n v="26"/>
    <n v="94.189369230769231"/>
    <n v="0"/>
    <n v="1412.8405384615385"/>
    <n v="778.61167986928365"/>
    <n v="2191.4522183308222"/>
    <n v="0"/>
    <n v="1578.833665061848"/>
    <n v="870.08993493815194"/>
    <n v="2448.9236000000001"/>
  </r>
  <r>
    <x v="0"/>
    <x v="1"/>
    <x v="0"/>
    <n v="0"/>
    <n v="11"/>
    <n v="1"/>
    <n v="20260420"/>
    <n v="20260501"/>
    <n v="9330.3700000000008"/>
    <n v="12"/>
    <n v="777.53083333333336"/>
    <n v="0"/>
    <n v="8552.8391666666666"/>
    <n v="584.31086344842936"/>
    <n v="9137.1500301150954"/>
    <n v="0"/>
    <n v="8733.7029284268483"/>
    <n v="596.66707157315318"/>
    <n v="9330.3700000000008"/>
  </r>
  <r>
    <x v="0"/>
    <x v="0"/>
    <x v="0"/>
    <n v="2"/>
    <n v="15"/>
    <n v="0"/>
    <n v="20260330"/>
    <n v="20260415"/>
    <n v="4.9565999999999999"/>
    <n v="17"/>
    <n v="0.29156470588235295"/>
    <n v="0.9395955709178756"/>
    <n v="4.3734705882352944"/>
    <n v="0"/>
    <n v="5.3130661591531698"/>
    <n v="0.87655588455044497"/>
    <n v="4.0800441154495557"/>
    <n v="0"/>
    <n v="4.9566000000000008"/>
  </r>
  <r>
    <x v="0"/>
    <x v="1"/>
    <x v="0"/>
    <n v="0"/>
    <n v="20"/>
    <n v="1"/>
    <n v="20260411"/>
    <n v="20260501"/>
    <n v="253.34280000000001"/>
    <n v="21"/>
    <n v="12.063942857142857"/>
    <n v="0"/>
    <n v="241.27885714285713"/>
    <n v="9.0659978553257652"/>
    <n v="250.34485499818291"/>
    <n v="0"/>
    <n v="244.16823445329086"/>
    <n v="9.1745655467091414"/>
    <n v="253.34280000000001"/>
  </r>
  <r>
    <x v="0"/>
    <x v="0"/>
    <x v="0"/>
    <n v="11"/>
    <n v="2"/>
    <n v="0"/>
    <n v="20260321"/>
    <n v="20260402"/>
    <n v="2786.7714000000001"/>
    <n v="13"/>
    <n v="214.36703076923078"/>
    <n v="3799.5021252185402"/>
    <n v="428.73406153846156"/>
    <n v="0"/>
    <n v="4228.2361867570016"/>
    <n v="2504.1987696811611"/>
    <n v="282.57263031883923"/>
    <n v="0"/>
    <n v="2786.7714000000005"/>
  </r>
  <r>
    <x v="0"/>
    <x v="0"/>
    <x v="1"/>
    <n v="12"/>
    <n v="2"/>
    <n v="0"/>
    <n v="20260320"/>
    <n v="20260402"/>
    <n v="144.6962"/>
    <n v="14"/>
    <n v="10.335442857142857"/>
    <n v="199.84180806777115"/>
    <n v="20.670885714285713"/>
    <n v="0"/>
    <n v="220.51269378205686"/>
    <n v="131.1323612830889"/>
    <n v="13.563838716911119"/>
    <n v="0"/>
    <n v="144.6962"/>
  </r>
  <r>
    <x v="0"/>
    <x v="1"/>
    <x v="0"/>
    <n v="0"/>
    <n v="4"/>
    <n v="8"/>
    <n v="20260427"/>
    <n v="20260508"/>
    <n v="168.81219999999999"/>
    <n v="12"/>
    <n v="14.067683333333333"/>
    <n v="0"/>
    <n v="56.270733333333332"/>
    <n v="84.574397236233025"/>
    <n v="140.84513056956635"/>
    <n v="0"/>
    <n v="67.444193854621659"/>
    <n v="101.36800614537833"/>
    <n v="168.81219999999999"/>
  </r>
  <r>
    <x v="0"/>
    <x v="1"/>
    <x v="0"/>
    <n v="13"/>
    <n v="15"/>
    <n v="0"/>
    <n v="20260319"/>
    <n v="20260415"/>
    <n v="4628.8311000000003"/>
    <n v="28"/>
    <n v="165.31539642857143"/>
    <n v="3462.8419438555547"/>
    <n v="2479.7309464285713"/>
    <n v="0"/>
    <n v="5942.5728902841256"/>
    <n v="2697.3014517515953"/>
    <n v="1931.5296482484052"/>
    <n v="0"/>
    <n v="4628.8311000000003"/>
  </r>
  <r>
    <x v="0"/>
    <x v="0"/>
    <x v="0"/>
    <n v="13"/>
    <n v="15"/>
    <n v="0"/>
    <n v="20260319"/>
    <n v="20260415"/>
    <n v="4011.6536999999998"/>
    <n v="28"/>
    <n v="143.27334642857141"/>
    <n v="3001.1297445230452"/>
    <n v="2149.1001964285711"/>
    <n v="0"/>
    <n v="5150.2299409516163"/>
    <n v="2337.6613048021254"/>
    <n v="1673.9923951978744"/>
    <n v="0"/>
    <n v="4011.6536999999998"/>
  </r>
  <r>
    <x v="0"/>
    <x v="1"/>
    <x v="0"/>
    <n v="0"/>
    <n v="9"/>
    <n v="6"/>
    <n v="20260422"/>
    <n v="20260506"/>
    <n v="5231.2186000000002"/>
    <n v="15"/>
    <n v="348.74790666666667"/>
    <n v="0"/>
    <n v="3138.7311599999998"/>
    <n v="1572.4947364206052"/>
    <n v="4711.2258964206048"/>
    <n v="0"/>
    <n v="3485.1627125471418"/>
    <n v="1746.0558874528583"/>
    <n v="5231.2186000000002"/>
  </r>
  <r>
    <x v="0"/>
    <x v="1"/>
    <x v="1"/>
    <n v="0"/>
    <n v="29"/>
    <n v="5"/>
    <n v="20260402"/>
    <n v="20260505"/>
    <n v="25215.563399999999"/>
    <n v="34"/>
    <n v="741.63421764705879"/>
    <n v="0"/>
    <n v="21507.392311764706"/>
    <n v="2786.6736050740969"/>
    <n v="24294.065916838805"/>
    <n v="0"/>
    <n v="22323.188562276835"/>
    <n v="2892.3748377231623"/>
    <n v="25215.563399999999"/>
  </r>
  <r>
    <x v="0"/>
    <x v="1"/>
    <x v="0"/>
    <n v="15"/>
    <n v="15"/>
    <n v="0"/>
    <n v="20260317"/>
    <n v="20260415"/>
    <n v="3418850.8009000001"/>
    <n v="30"/>
    <n v="113961.69336333334"/>
    <n v="2754394.655238945"/>
    <n v="1709425.4004500001"/>
    <n v="0"/>
    <n v="4463820.0556889456"/>
    <n v="2109597.666477832"/>
    <n v="1309253.1344221674"/>
    <n v="0"/>
    <n v="3418850.8008999992"/>
  </r>
  <r>
    <x v="0"/>
    <x v="0"/>
    <x v="0"/>
    <n v="15"/>
    <n v="15"/>
    <n v="0"/>
    <n v="20260317"/>
    <n v="20260415"/>
    <n v="3418850.8084"/>
    <n v="30"/>
    <n v="113961.69361333334"/>
    <n v="2754394.6612813142"/>
    <n v="1709425.4042"/>
    <n v="0"/>
    <n v="4463820.0654813144"/>
    <n v="2109597.6711056978"/>
    <n v="1309253.1372943018"/>
    <n v="0"/>
    <n v="3418850.8083999995"/>
  </r>
  <r>
    <x v="0"/>
    <x v="0"/>
    <x v="1"/>
    <n v="15"/>
    <n v="16"/>
    <n v="0"/>
    <n v="20260317"/>
    <n v="20260416"/>
    <n v="3452355.0290000001"/>
    <n v="31"/>
    <n v="111366.29125806452"/>
    <n v="2691665.1408208273"/>
    <n v="1781860.6601290323"/>
    <n v="0"/>
    <n v="4473525.8009498594"/>
    <n v="2077239.3183300053"/>
    <n v="1375115.7106699951"/>
    <n v="0"/>
    <n v="3452355.0290000001"/>
  </r>
  <r>
    <x v="0"/>
    <x v="1"/>
    <x v="0"/>
    <n v="0"/>
    <n v="28"/>
    <n v="2"/>
    <n v="20260403"/>
    <n v="20260502"/>
    <n v="7206147.3844999997"/>
    <n v="30"/>
    <n v="240204.91281666665"/>
    <n v="0"/>
    <n v="6725737.5588666666"/>
    <n v="361025.78571900883"/>
    <n v="7086763.3445856757"/>
    <n v="0"/>
    <n v="6839039.7367635006"/>
    <n v="367107.64773649914"/>
    <n v="7206147.3844999997"/>
  </r>
  <r>
    <x v="0"/>
    <x v="1"/>
    <x v="0"/>
    <n v="27"/>
    <n v="3"/>
    <n v="0"/>
    <n v="20260305"/>
    <n v="20260403"/>
    <n v="717457.83680000005"/>
    <n v="30"/>
    <n v="23915.261226666669"/>
    <n v="1040434.8896821693"/>
    <n v="71745.783680000008"/>
    <n v="0"/>
    <n v="1112180.6733621694"/>
    <n v="671175.27139364043"/>
    <n v="46282.565406359492"/>
    <n v="0"/>
    <n v="717457.83679999993"/>
  </r>
  <r>
    <x v="0"/>
    <x v="0"/>
    <x v="1"/>
    <n v="30"/>
    <n v="2"/>
    <n v="0"/>
    <n v="20260302"/>
    <n v="20260402"/>
    <n v="1332522.9686"/>
    <n v="32"/>
    <n v="41641.342768750001"/>
    <n v="2012899.0465864914"/>
    <n v="83282.685537500001"/>
    <n v="0"/>
    <n v="2096181.7321239915"/>
    <n v="1279580.9504225201"/>
    <n v="52942.018177479964"/>
    <n v="0"/>
    <n v="1332522.9686"/>
  </r>
  <r>
    <x v="0"/>
    <x v="1"/>
    <x v="0"/>
    <n v="0"/>
    <n v="23"/>
    <n v="7"/>
    <n v="20260408"/>
    <n v="20260507"/>
    <n v="897510.87879999995"/>
    <n v="30"/>
    <n v="29917.029293333333"/>
    <n v="0"/>
    <n v="688091.67374666664"/>
    <n v="157377.57434365011"/>
    <n v="845469.24809031677"/>
    <n v="0"/>
    <n v="730446.15660978144"/>
    <n v="167064.72219021854"/>
    <n v="897510.87879999995"/>
  </r>
  <r>
    <x v="0"/>
    <x v="1"/>
    <x v="0"/>
    <n v="28"/>
    <n v="2"/>
    <n v="0"/>
    <n v="20260304"/>
    <n v="20260402"/>
    <n v="760980.86270000006"/>
    <n v="30"/>
    <n v="25366.02875666667"/>
    <n v="1144422.8641864168"/>
    <n v="50732.05751333334"/>
    <n v="0"/>
    <n v="1195154.9216997502"/>
    <n v="728678.66974401334"/>
    <n v="32302.192955986629"/>
    <n v="0"/>
    <n v="760980.86269999994"/>
  </r>
  <r>
    <x v="0"/>
    <x v="0"/>
    <x v="0"/>
    <n v="29"/>
    <n v="1"/>
    <n v="0"/>
    <n v="20260303"/>
    <n v="20260401"/>
    <n v="5887049.9649"/>
    <n v="30"/>
    <n v="196234.99883"/>
    <n v="9169601.8570747133"/>
    <n v="196234.99883"/>
    <n v="0"/>
    <n v="9365836.8559047133"/>
    <n v="5763703.2463154271"/>
    <n v="123346.71858457325"/>
    <n v="0"/>
    <n v="5887049.9649"/>
  </r>
  <r>
    <x v="0"/>
    <x v="0"/>
    <x v="1"/>
    <n v="30"/>
    <n v="3"/>
    <n v="0"/>
    <n v="20260302"/>
    <n v="20260403"/>
    <n v="643399.62580000004"/>
    <n v="33"/>
    <n v="19496.958357575757"/>
    <n v="942462.61719381262"/>
    <n v="58490.875072727271"/>
    <n v="0"/>
    <n v="1000953.4922665399"/>
    <n v="605802.46726539929"/>
    <n v="37597.158534600661"/>
    <n v="0"/>
    <n v="643399.62579999992"/>
  </r>
  <r>
    <x v="0"/>
    <x v="0"/>
    <x v="1"/>
    <n v="14"/>
    <n v="15"/>
    <n v="0"/>
    <n v="20260318"/>
    <n v="20260415"/>
    <n v="562281.30740000005"/>
    <n v="29"/>
    <n v="19389.010600000001"/>
    <n v="437380.78312240832"/>
    <n v="290835.15900000004"/>
    <n v="0"/>
    <n v="728215.94212240842"/>
    <n v="337717.18571407523"/>
    <n v="224564.12168592482"/>
    <n v="0"/>
    <n v="562281.30740000005"/>
  </r>
  <r>
    <x v="0"/>
    <x v="1"/>
    <x v="0"/>
    <n v="16"/>
    <n v="15"/>
    <n v="0"/>
    <n v="20260316"/>
    <n v="20260415"/>
    <n v="2620521.6354"/>
    <n v="31"/>
    <n v="84532.955980645158"/>
    <n v="2179325.2594313342"/>
    <n v="1267994.3397096773"/>
    <n v="0"/>
    <n v="3447319.5991410115"/>
    <n v="1656640.4212526639"/>
    <n v="963881.21414733632"/>
    <n v="0"/>
    <n v="2620521.6354"/>
  </r>
  <r>
    <x v="0"/>
    <x v="1"/>
    <x v="0"/>
    <n v="0"/>
    <n v="26"/>
    <n v="4"/>
    <n v="20260405"/>
    <n v="20260504"/>
    <n v="965409.89879999997"/>
    <n v="30"/>
    <n v="32180.329959999999"/>
    <n v="0"/>
    <n v="836688.57895999996"/>
    <n v="96733.482860720644"/>
    <n v="933422.06182072056"/>
    <n v="0"/>
    <n v="865361.41514087212"/>
    <n v="100048.48365912792"/>
    <n v="965409.89880000008"/>
  </r>
  <r>
    <x v="0"/>
    <x v="1"/>
    <x v="0"/>
    <n v="27"/>
    <n v="4"/>
    <n v="0"/>
    <n v="20260305"/>
    <n v="20260404"/>
    <n v="229933.7438"/>
    <n v="31"/>
    <n v="7417.2175419354835"/>
    <n v="322686.49887826951"/>
    <n v="29668.870167741934"/>
    <n v="0"/>
    <n v="352355.36904601147"/>
    <n v="210572.96490664867"/>
    <n v="19360.778893351329"/>
    <n v="0"/>
    <n v="229933.7438"/>
  </r>
  <r>
    <x v="0"/>
    <x v="0"/>
    <x v="0"/>
    <n v="27"/>
    <n v="4"/>
    <n v="0"/>
    <n v="20260305"/>
    <n v="20260404"/>
    <n v="1552052.7705999999"/>
    <n v="31"/>
    <n v="50066.218406451611"/>
    <n v="2178133.8673581495"/>
    <n v="200264.87362580645"/>
    <n v="0"/>
    <n v="2378398.740983956"/>
    <n v="1421367.5130740886"/>
    <n v="130685.25752591141"/>
    <n v="0"/>
    <n v="1552052.7705999999"/>
  </r>
  <r>
    <x v="0"/>
    <x v="1"/>
    <x v="0"/>
    <n v="0"/>
    <n v="29"/>
    <n v="7"/>
    <n v="20260402"/>
    <n v="20260507"/>
    <n v="1203389.8407000001"/>
    <n v="36"/>
    <n v="33427.495575000001"/>
    <n v="0"/>
    <n v="969397.37167500006"/>
    <n v="175844.26977677536"/>
    <n v="1145241.6414517753"/>
    <n v="0"/>
    <n v="1018617.3000103049"/>
    <n v="184772.54068969525"/>
    <n v="1203389.8407000001"/>
  </r>
  <r>
    <x v="0"/>
    <x v="0"/>
    <x v="0"/>
    <n v="25"/>
    <n v="2"/>
    <n v="0"/>
    <n v="20260307"/>
    <n v="20260402"/>
    <n v="618825.4656"/>
    <n v="27"/>
    <n v="22919.461688888889"/>
    <n v="923252.38001334795"/>
    <n v="45838.923377777777"/>
    <n v="0"/>
    <n v="969091.30339112575"/>
    <n v="589554.4433520505"/>
    <n v="29271.022247949535"/>
    <n v="0"/>
    <n v="618825.4656"/>
  </r>
  <r>
    <x v="0"/>
    <x v="1"/>
    <x v="1"/>
    <n v="0"/>
    <n v="28"/>
    <n v="2"/>
    <n v="20260403"/>
    <n v="20260502"/>
    <n v="708169.36360000004"/>
    <n v="30"/>
    <n v="23605.645453333334"/>
    <n v="0"/>
    <n v="660958.07269333338"/>
    <n v="35479.069088393342"/>
    <n v="696437.14178172674"/>
    <n v="0"/>
    <n v="672092.61198797508"/>
    <n v="36076.751612024935"/>
    <n v="708169.36360000004"/>
  </r>
  <r>
    <x v="0"/>
    <x v="1"/>
    <x v="1"/>
    <n v="26"/>
    <n v="1"/>
    <n v="0"/>
    <n v="20260306"/>
    <n v="20260401"/>
    <n v="9539.3495999999996"/>
    <n v="27"/>
    <n v="353.3092444444444"/>
    <n v="14801.453430779035"/>
    <n v="353.3092444444444"/>
    <n v="0"/>
    <n v="15154.762675223479"/>
    <n v="9316.9548009591945"/>
    <n v="222.39479904080466"/>
    <n v="0"/>
    <n v="9539.3495999999996"/>
  </r>
  <r>
    <x v="0"/>
    <x v="1"/>
    <x v="0"/>
    <n v="0"/>
    <n v="29"/>
    <n v="8"/>
    <n v="20260402"/>
    <n v="20260508"/>
    <n v="232665.2585"/>
    <n v="37"/>
    <n v="6288.2502297297297"/>
    <n v="0"/>
    <n v="182359.25666216217"/>
    <n v="37804.730192485789"/>
    <n v="220163.98685464796"/>
    <n v="0"/>
    <n v="192713.91382997241"/>
    <n v="39951.344670027574"/>
    <n v="232665.2585"/>
  </r>
  <r>
    <x v="0"/>
    <x v="0"/>
    <x v="0"/>
    <n v="30"/>
    <n v="3"/>
    <n v="0"/>
    <n v="20260302"/>
    <n v="20260403"/>
    <n v="2923093.6124"/>
    <n v="33"/>
    <n v="88578.594315151509"/>
    <n v="4281796.7959175957"/>
    <n v="265735.78294545453"/>
    <n v="0"/>
    <n v="4547532.5788630499"/>
    <n v="2752282.1764744162"/>
    <n v="170811.43592558385"/>
    <n v="0"/>
    <n v="2923093.6124"/>
  </r>
  <r>
    <x v="0"/>
    <x v="1"/>
    <x v="1"/>
    <n v="26"/>
    <n v="7"/>
    <n v="0"/>
    <n v="20260306"/>
    <n v="20260407"/>
    <n v="94205.749100000001"/>
    <n v="33"/>
    <n v="2854.7196696969695"/>
    <n v="119594.94667452091"/>
    <n v="19983.037687878787"/>
    <n v="0"/>
    <n v="139577.9843623997"/>
    <n v="80718.543053289977"/>
    <n v="13487.206046710015"/>
    <n v="0"/>
    <n v="94205.749099999986"/>
  </r>
  <r>
    <x v="0"/>
    <x v="0"/>
    <x v="1"/>
    <n v="28"/>
    <n v="6"/>
    <n v="0"/>
    <n v="20260304"/>
    <n v="20260406"/>
    <n v="317570.77840000001"/>
    <n v="34"/>
    <n v="9340.317011764706"/>
    <n v="421401.09709540306"/>
    <n v="56041.902070588236"/>
    <n v="0"/>
    <n v="477442.99916599132"/>
    <n v="280294.55800371821"/>
    <n v="37276.220396281795"/>
    <n v="0"/>
    <n v="317570.77840000001"/>
  </r>
  <r>
    <x v="0"/>
    <x v="1"/>
    <x v="1"/>
    <n v="0"/>
    <n v="23"/>
    <n v="6"/>
    <n v="20260408"/>
    <n v="20260506"/>
    <n v="534132.24159999995"/>
    <n v="29"/>
    <n v="18418.353158620688"/>
    <n v="0"/>
    <n v="423622.12264827581"/>
    <n v="83047.848723431845"/>
    <n v="506669.97137170762"/>
    <n v="0"/>
    <n v="446583.07526868477"/>
    <n v="87549.166331315209"/>
    <n v="534132.24159999995"/>
  </r>
  <r>
    <x v="0"/>
    <x v="1"/>
    <x v="0"/>
    <n v="27"/>
    <n v="8"/>
    <n v="0"/>
    <n v="20260305"/>
    <n v="20260408"/>
    <n v="74664.290599999993"/>
    <n v="35"/>
    <n v="2133.2654457142853"/>
    <n v="92807.84255869429"/>
    <n v="17066.123565714282"/>
    <n v="0"/>
    <n v="109873.96612440857"/>
    <n v="63067.093791037914"/>
    <n v="11597.196808962086"/>
    <n v="0"/>
    <n v="74664.290600000008"/>
  </r>
  <r>
    <x v="0"/>
    <x v="1"/>
    <x v="0"/>
    <n v="30"/>
    <n v="5"/>
    <n v="0"/>
    <n v="20260302"/>
    <n v="20260405"/>
    <n v="36145.8033"/>
    <n v="35"/>
    <n v="1032.7372371428571"/>
    <n v="49921.440131351133"/>
    <n v="5163.6861857142858"/>
    <n v="0"/>
    <n v="55085.12631706542"/>
    <n v="32757.491469734978"/>
    <n v="3388.3118302650214"/>
    <n v="0"/>
    <n v="36145.8033"/>
  </r>
  <r>
    <x v="0"/>
    <x v="0"/>
    <x v="0"/>
    <n v="25"/>
    <n v="8"/>
    <n v="0"/>
    <n v="20260307"/>
    <n v="20260408"/>
    <n v="125043.428"/>
    <n v="33"/>
    <n v="3789.1947878787878"/>
    <n v="152638.10091749419"/>
    <n v="30313.558303030302"/>
    <n v="0"/>
    <n v="182951.65922052448"/>
    <n v="104324.77881562829"/>
    <n v="20718.649184371719"/>
    <n v="0"/>
    <n v="125043.42800000001"/>
  </r>
  <r>
    <x v="0"/>
    <x v="1"/>
    <x v="1"/>
    <n v="0"/>
    <n v="25"/>
    <n v="4"/>
    <n v="20260406"/>
    <n v="20260504"/>
    <n v="146689.14139999999"/>
    <n v="29"/>
    <n v="5058.2462551724138"/>
    <n v="0"/>
    <n v="126456.15637931034"/>
    <n v="15204.995661580379"/>
    <n v="141661.15204089071"/>
    <n v="0"/>
    <n v="130944.47374443737"/>
    <n v="15744.66765556262"/>
    <n v="146689.14139999999"/>
  </r>
  <r>
    <x v="0"/>
    <x v="1"/>
    <x v="0"/>
    <n v="25"/>
    <n v="1"/>
    <n v="0"/>
    <n v="20260307"/>
    <n v="20260401"/>
    <n v="22553.363700000002"/>
    <n v="26"/>
    <n v="867.43706538461549"/>
    <n v="34942.501966195414"/>
    <n v="867.43706538461549"/>
    <n v="0"/>
    <n v="35809.939031580026"/>
    <n v="22007.045438881851"/>
    <n v="546.31826111815417"/>
    <n v="0"/>
    <n v="22553.363700000005"/>
  </r>
  <r>
    <x v="0"/>
    <x v="1"/>
    <x v="1"/>
    <n v="0"/>
    <n v="14"/>
    <n v="16"/>
    <n v="20260417"/>
    <n v="20260516"/>
    <n v="497920.78409999999"/>
    <n v="30"/>
    <n v="16597.359469999999"/>
    <n v="0"/>
    <n v="232363.03258"/>
    <n v="199565.43513632318"/>
    <n v="431928.46771632321"/>
    <n v="0"/>
    <n v="267864.68599720648"/>
    <n v="230056.0981027935"/>
    <n v="497920.78409999999"/>
  </r>
  <r>
    <x v="0"/>
    <x v="0"/>
    <x v="1"/>
    <n v="13"/>
    <n v="16"/>
    <n v="0"/>
    <n v="20260319"/>
    <n v="20260416"/>
    <n v="18182.738300000001"/>
    <n v="29"/>
    <n v="626.99097586206904"/>
    <n v="13133.50538751668"/>
    <n v="10031.855613793105"/>
    <n v="0"/>
    <n v="23165.361001309786"/>
    <n v="10308.628102508474"/>
    <n v="7874.1101974915264"/>
    <n v="0"/>
    <n v="18182.738300000001"/>
  </r>
  <r>
    <x v="0"/>
    <x v="1"/>
    <x v="1"/>
    <n v="27"/>
    <n v="7"/>
    <n v="0"/>
    <n v="20260305"/>
    <n v="20260407"/>
    <n v="134004.3959"/>
    <n v="34"/>
    <n v="3941.3057617647059"/>
    <n v="171466.74613250358"/>
    <n v="27589.140332352941"/>
    <n v="0"/>
    <n v="199055.88646485654"/>
    <n v="115431.39035218366"/>
    <n v="18573.005547816345"/>
    <n v="0"/>
    <n v="134004.3959"/>
  </r>
  <r>
    <x v="0"/>
    <x v="1"/>
    <x v="1"/>
    <n v="0"/>
    <n v="23"/>
    <n v="4"/>
    <n v="20260408"/>
    <n v="20260504"/>
    <n v="255059.3469"/>
    <n v="27"/>
    <n v="9446.6424777777775"/>
    <n v="0"/>
    <n v="217272.77698888889"/>
    <n v="28396.43438558056"/>
    <n v="245669.21137446945"/>
    <n v="0"/>
    <n v="225577.52470440205"/>
    <n v="29481.822195597961"/>
    <n v="255059.3469"/>
  </r>
  <r>
    <x v="0"/>
    <x v="1"/>
    <x v="1"/>
    <n v="25"/>
    <n v="4"/>
    <n v="0"/>
    <n v="20260307"/>
    <n v="20260404"/>
    <n v="569.56050000000005"/>
    <n v="29"/>
    <n v="19.640017241379311"/>
    <n v="791.14827860015464"/>
    <n v="78.560068965517246"/>
    <n v="0"/>
    <n v="869.70834756567183"/>
    <n v="518.11254933323266"/>
    <n v="51.447950666767412"/>
    <n v="0"/>
    <n v="569.56050000000005"/>
  </r>
  <r>
    <x v="0"/>
    <x v="1"/>
    <x v="1"/>
    <n v="0"/>
    <n v="24"/>
    <n v="5"/>
    <n v="20260407"/>
    <n v="20260505"/>
    <n v="78325.206099999996"/>
    <n v="29"/>
    <n v="2700.8691758620689"/>
    <n v="0"/>
    <n v="64820.860220689654"/>
    <n v="10148.454135532975"/>
    <n v="74969.314356222632"/>
    <n v="0"/>
    <n v="67722.471253245443"/>
    <n v="10602.734846754547"/>
    <n v="78325.206099999996"/>
  </r>
  <r>
    <x v="0"/>
    <x v="1"/>
    <x v="1"/>
    <n v="28"/>
    <n v="4"/>
    <n v="0"/>
    <n v="20260304"/>
    <n v="20260404"/>
    <n v="4185.9071999999996"/>
    <n v="32"/>
    <n v="130.80959999999999"/>
    <n v="5901.6528969176979"/>
    <n v="523.23839999999996"/>
    <n v="0"/>
    <n v="6424.8912969176981"/>
    <n v="3845.0100105133497"/>
    <n v="340.89718948664978"/>
    <n v="0"/>
    <n v="4185.9071999999996"/>
  </r>
  <r>
    <x v="0"/>
    <x v="0"/>
    <x v="1"/>
    <n v="28"/>
    <n v="4"/>
    <n v="0"/>
    <n v="20260304"/>
    <n v="20260404"/>
    <n v="29301.3508"/>
    <n v="32"/>
    <n v="915.66721250000001"/>
    <n v="41311.57084237838"/>
    <n v="3662.66885"/>
    <n v="0"/>
    <n v="44974.239692378382"/>
    <n v="26915.070441017746"/>
    <n v="2386.2803589822533"/>
    <n v="0"/>
    <n v="29301.3508"/>
  </r>
  <r>
    <x v="0"/>
    <x v="1"/>
    <x v="0"/>
    <n v="0"/>
    <n v="22"/>
    <n v="8"/>
    <n v="20260409"/>
    <n v="20260508"/>
    <n v="108574.2218"/>
    <n v="30"/>
    <n v="3619.1407266666665"/>
    <n v="0"/>
    <n v="79621.095986666667"/>
    <n v="21758.141565901213"/>
    <n v="101379.23755256788"/>
    <n v="0"/>
    <n v="85271.883516907241"/>
    <n v="23302.338283092759"/>
    <n v="108574.2218"/>
  </r>
  <r>
    <x v="0"/>
    <x v="1"/>
    <x v="0"/>
    <n v="0"/>
    <n v="23"/>
    <n v="10"/>
    <n v="20260408"/>
    <n v="20260510"/>
    <n v="273611.46240000002"/>
    <n v="33"/>
    <n v="8291.2564363636375"/>
    <n v="0"/>
    <n v="190698.89803636365"/>
    <n v="62308.412730521733"/>
    <n v="253007.31076688538"/>
    <n v="0"/>
    <n v="206228.8406277434"/>
    <n v="67382.621772256636"/>
    <n v="273611.46240000002"/>
  </r>
  <r>
    <x v="0"/>
    <x v="1"/>
    <x v="1"/>
    <n v="0"/>
    <n v="13"/>
    <n v="15"/>
    <n v="20260418"/>
    <n v="20260515"/>
    <n v="291247.6078"/>
    <n v="28"/>
    <n v="10401.700278571428"/>
    <n v="0"/>
    <n v="135222.10362142857"/>
    <n v="117252.45245351376"/>
    <n v="252474.55607494235"/>
    <n v="0"/>
    <n v="155988.44815766165"/>
    <n v="135259.15964233832"/>
    <n v="291247.6078"/>
  </r>
  <r>
    <x v="0"/>
    <x v="1"/>
    <x v="0"/>
    <n v="22"/>
    <n v="3"/>
    <n v="0"/>
    <n v="20260310"/>
    <n v="20260403"/>
    <n v="8681.0244000000002"/>
    <n v="25"/>
    <n v="347.24097599999999"/>
    <n v="12309.195322999569"/>
    <n v="1041.7229279999999"/>
    <n v="0"/>
    <n v="13350.918250999568"/>
    <n v="8003.6760718930263"/>
    <n v="677.3483281069739"/>
    <n v="0"/>
    <n v="8681.0244000000002"/>
  </r>
  <r>
    <x v="0"/>
    <x v="1"/>
    <x v="0"/>
    <n v="0"/>
    <n v="24"/>
    <n v="11"/>
    <n v="20260407"/>
    <n v="20260511"/>
    <n v="70990.528999999995"/>
    <n v="35"/>
    <n v="2028.3008285714284"/>
    <n v="0"/>
    <n v="48679.219885714279"/>
    <n v="16766.846707986624"/>
    <n v="65446.066593700903"/>
    <n v="0"/>
    <n v="52803.227922742546"/>
    <n v="18187.301077257442"/>
    <n v="70990.52899999998"/>
  </r>
  <r>
    <x v="0"/>
    <x v="1"/>
    <x v="1"/>
    <n v="0"/>
    <n v="10"/>
    <n v="15"/>
    <n v="20260421"/>
    <n v="20260515"/>
    <n v="188956.67569999999"/>
    <n v="25"/>
    <n v="7558.2670279999993"/>
    <n v="0"/>
    <n v="75582.670279999991"/>
    <n v="85200.046299857917"/>
    <n v="160782.71657985792"/>
    <n v="0"/>
    <n v="88827.023329615433"/>
    <n v="100129.65237038453"/>
    <n v="188956.67569999996"/>
  </r>
  <r>
    <x v="0"/>
    <x v="1"/>
    <x v="0"/>
    <n v="0"/>
    <n v="26"/>
    <n v="0"/>
    <n v="20260402"/>
    <n v="20260427"/>
    <n v="30524.964400000001"/>
    <n v="26"/>
    <n v="1174.0370923076923"/>
    <n v="0"/>
    <n v="30524.964400000001"/>
    <n v="0"/>
    <n v="30524.964400000001"/>
    <n v="0"/>
    <n v="30524.964400000001"/>
    <n v="0"/>
    <n v="30524.964400000001"/>
  </r>
  <r>
    <x v="0"/>
    <x v="0"/>
    <x v="0"/>
    <n v="24"/>
    <n v="1"/>
    <n v="0"/>
    <n v="20260308"/>
    <n v="20260401"/>
    <n v="251734.80470000001"/>
    <n v="25"/>
    <n v="10069.392188"/>
    <n v="389395.12680924236"/>
    <n v="10069.392188"/>
    <n v="0"/>
    <n v="399464.51899724238"/>
    <n v="245389.2687253484"/>
    <n v="6345.5359746515669"/>
    <n v="0"/>
    <n v="251734.80469999998"/>
  </r>
  <r>
    <x v="0"/>
    <x v="1"/>
    <x v="0"/>
    <n v="0"/>
    <n v="29"/>
    <n v="0"/>
    <n v="20260402"/>
    <n v="20260430"/>
    <n v="27449.100999999999"/>
    <n v="29"/>
    <n v="946.52072413793098"/>
    <n v="0"/>
    <n v="27449.100999999999"/>
    <n v="0"/>
    <n v="27449.100999999999"/>
    <n v="0"/>
    <n v="27449.100999999999"/>
    <n v="0"/>
    <n v="27449.100999999999"/>
  </r>
  <r>
    <x v="0"/>
    <x v="0"/>
    <x v="1"/>
    <n v="23"/>
    <n v="2"/>
    <n v="0"/>
    <n v="20260309"/>
    <n v="20260402"/>
    <n v="852.58979999999997"/>
    <n v="25"/>
    <n v="34.103591999999999"/>
    <n v="1263.8745654557363"/>
    <n v="68.207183999999998"/>
    <n v="0"/>
    <n v="1332.0817494557364"/>
    <n v="808.93425904773972"/>
    <n v="43.655540952260111"/>
    <n v="0"/>
    <n v="852.58979999999985"/>
  </r>
  <r>
    <x v="0"/>
    <x v="1"/>
    <x v="0"/>
    <n v="0"/>
    <n v="28"/>
    <n v="12"/>
    <n v="20260403"/>
    <n v="20260512"/>
    <n v="117250.3253"/>
    <n v="40"/>
    <n v="2931.2581325000001"/>
    <n v="0"/>
    <n v="82075.227710000006"/>
    <n v="26433.924885759949"/>
    <n v="108509.15259575995"/>
    <n v="0"/>
    <n v="88686.962508313896"/>
    <n v="28563.362791686101"/>
    <n v="117250.3253"/>
  </r>
  <r>
    <x v="0"/>
    <x v="0"/>
    <x v="0"/>
    <n v="24"/>
    <n v="14"/>
    <n v="0"/>
    <n v="20260308"/>
    <n v="20260414"/>
    <n v="2793.683"/>
    <n v="38"/>
    <n v="73.517973684210531"/>
    <n v="2843.0256912267268"/>
    <n v="1029.2516315789474"/>
    <n v="0"/>
    <n v="3872.277322805674"/>
    <n v="2051.1218283272588"/>
    <n v="742.56117167274169"/>
    <n v="0"/>
    <n v="2793.6830000000004"/>
  </r>
  <r>
    <x v="0"/>
    <x v="0"/>
    <x v="0"/>
    <n v="23"/>
    <n v="1"/>
    <n v="0"/>
    <n v="20260309"/>
    <n v="20260401"/>
    <n v="85624.307000000001"/>
    <n v="24"/>
    <n v="3567.6794583333335"/>
    <n v="132217.72431145667"/>
    <n v="3567.6794583333335"/>
    <n v="0"/>
    <n v="135785.40376978999"/>
    <n v="83374.580057803512"/>
    <n v="2249.726942196502"/>
    <n v="0"/>
    <n v="85624.307000000015"/>
  </r>
  <r>
    <x v="0"/>
    <x v="1"/>
    <x v="0"/>
    <n v="29"/>
    <n v="9"/>
    <n v="0"/>
    <n v="20260303"/>
    <n v="20260409"/>
    <n v="5803.1473999999998"/>
    <n v="38"/>
    <n v="152.71440526315789"/>
    <n v="7135.9864573201376"/>
    <n v="1374.429647368421"/>
    <n v="0"/>
    <n v="8510.4161046885583"/>
    <n v="4865.9408361264868"/>
    <n v="937.20656387351266"/>
    <n v="0"/>
    <n v="5803.1473999999998"/>
  </r>
  <r>
    <x v="0"/>
    <x v="1"/>
    <x v="0"/>
    <n v="0"/>
    <n v="13"/>
    <n v="0"/>
    <n v="20260404"/>
    <n v="20260416"/>
    <n v="336.99990000000003"/>
    <n v="13"/>
    <n v="25.923069230769233"/>
    <n v="0"/>
    <n v="336.99990000000003"/>
    <n v="0"/>
    <n v="336.99990000000003"/>
    <n v="0"/>
    <n v="336.99990000000003"/>
    <n v="0"/>
    <n v="336.99990000000003"/>
  </r>
  <r>
    <x v="0"/>
    <x v="1"/>
    <x v="1"/>
    <n v="0"/>
    <n v="23"/>
    <n v="11"/>
    <n v="20260408"/>
    <n v="20260511"/>
    <n v="42.210999999999999"/>
    <n v="34"/>
    <n v="1.2415"/>
    <n v="0"/>
    <n v="28.554500000000001"/>
    <n v="10.262797261009126"/>
    <n v="38.817297261009131"/>
    <n v="0"/>
    <n v="31.050951110671573"/>
    <n v="11.160048889328424"/>
    <n v="42.210999999999999"/>
  </r>
  <r>
    <x v="0"/>
    <x v="1"/>
    <x v="0"/>
    <n v="0"/>
    <n v="10"/>
    <n v="15"/>
    <n v="20260421"/>
    <n v="20260515"/>
    <n v="20123.3164"/>
    <n v="25"/>
    <n v="804.93265599999995"/>
    <n v="0"/>
    <n v="8049.3265599999995"/>
    <n v="9073.5481169702325"/>
    <n v="17122.874676970234"/>
    <n v="0"/>
    <n v="9459.8102380356013"/>
    <n v="10663.506161964395"/>
    <n v="20123.316399999996"/>
  </r>
  <r>
    <x v="0"/>
    <x v="1"/>
    <x v="0"/>
    <n v="29"/>
    <n v="8"/>
    <n v="0"/>
    <n v="20260303"/>
    <n v="20260408"/>
    <n v="5653.6493"/>
    <n v="37"/>
    <n v="152.80133243243245"/>
    <n v="7140.0483603321518"/>
    <n v="1222.4106594594596"/>
    <n v="0"/>
    <n v="8362.4590197916114"/>
    <n v="4827.2080399819952"/>
    <n v="826.44126001800521"/>
    <n v="0"/>
    <n v="5653.6493"/>
  </r>
  <r>
    <x v="0"/>
    <x v="0"/>
    <x v="0"/>
    <n v="16"/>
    <n v="16"/>
    <n v="0"/>
    <n v="20260316"/>
    <n v="20260416"/>
    <n v="6845.7925999999998"/>
    <n v="32"/>
    <n v="213.93101874999999"/>
    <n v="5515.3078172789938"/>
    <n v="3422.8962999999999"/>
    <n v="0"/>
    <n v="8938.2041172789941"/>
    <n v="4224.1878734074744"/>
    <n v="2621.6047265925249"/>
    <n v="0"/>
    <n v="6845.7925999999989"/>
  </r>
  <r>
    <x v="0"/>
    <x v="0"/>
    <x v="0"/>
    <n v="30"/>
    <n v="11"/>
    <n v="0"/>
    <n v="20260302"/>
    <n v="20260411"/>
    <n v="11944.5144"/>
    <n v="41"/>
    <n v="291.32961951219511"/>
    <n v="14082.569734004428"/>
    <n v="3204.6258146341461"/>
    <n v="0"/>
    <n v="17287.195548638574"/>
    <n v="9730.2917933422195"/>
    <n v="2214.2226066577805"/>
    <n v="0"/>
    <n v="11944.5144"/>
  </r>
  <r>
    <x v="0"/>
    <x v="0"/>
    <x v="0"/>
    <n v="23"/>
    <n v="3"/>
    <n v="0"/>
    <n v="20260309"/>
    <n v="20260403"/>
    <n v="24330.237300000001"/>
    <n v="26"/>
    <n v="935.77835769230774"/>
    <n v="34679.82097578601"/>
    <n v="2807.3350730769234"/>
    <n v="0"/>
    <n v="37487.156048862933"/>
    <n v="22508.196481018051"/>
    <n v="1822.0408189819505"/>
    <n v="0"/>
    <n v="24330.237300000001"/>
  </r>
  <r>
    <x v="0"/>
    <x v="1"/>
    <x v="0"/>
    <n v="0"/>
    <n v="27"/>
    <n v="14"/>
    <n v="20260404"/>
    <n v="20260514"/>
    <n v="57906.807500000003"/>
    <n v="41"/>
    <n v="1412.3611585365854"/>
    <n v="0"/>
    <n v="38133.751280487806"/>
    <n v="14859.361272023521"/>
    <n v="52993.112552511331"/>
    <n v="0"/>
    <n v="41669.637586657278"/>
    <n v="16237.169913342716"/>
    <n v="57906.807499999995"/>
  </r>
  <r>
    <x v="0"/>
    <x v="1"/>
    <x v="0"/>
    <n v="21"/>
    <n v="2"/>
    <n v="0"/>
    <n v="20260311"/>
    <n v="20260402"/>
    <n v="952.03359999999998"/>
    <n v="23"/>
    <n v="41.3927652173913"/>
    <n v="1400.6181470434024"/>
    <n v="82.785530434782601"/>
    <n v="0"/>
    <n v="1483.403677478185"/>
    <n v="898.9026769988368"/>
    <n v="53.130923001163104"/>
    <n v="0"/>
    <n v="952.03359999999986"/>
  </r>
  <r>
    <x v="0"/>
    <x v="1"/>
    <x v="0"/>
    <n v="0"/>
    <n v="25"/>
    <n v="0"/>
    <n v="20260406"/>
    <n v="20260430"/>
    <n v="4345.7952999999998"/>
    <n v="25"/>
    <n v="173.83181199999999"/>
    <n v="0"/>
    <n v="4345.7952999999998"/>
    <n v="0"/>
    <n v="4345.7952999999998"/>
    <n v="0"/>
    <n v="4345.7952999999998"/>
    <n v="0"/>
    <n v="4345.7952999999998"/>
  </r>
  <r>
    <x v="0"/>
    <x v="0"/>
    <x v="0"/>
    <n v="29"/>
    <n v="14"/>
    <n v="0"/>
    <n v="20260303"/>
    <n v="20260414"/>
    <n v="6712.5950999999995"/>
    <n v="43"/>
    <n v="156.10686279069768"/>
    <n v="7294.5080514804358"/>
    <n v="2185.4960790697673"/>
    <n v="0"/>
    <n v="9480.0041305502036"/>
    <n v="5165.0904713726395"/>
    <n v="1547.50462862736"/>
    <n v="0"/>
    <n v="6712.5950999999995"/>
  </r>
  <r>
    <x v="0"/>
    <x v="1"/>
    <x v="0"/>
    <n v="21"/>
    <n v="7"/>
    <n v="0"/>
    <n v="20260311"/>
    <n v="20260407"/>
    <n v="1136.4942000000001"/>
    <n v="28"/>
    <n v="40.589078571428573"/>
    <n v="1373.4235855068639"/>
    <n v="284.12355000000002"/>
    <n v="0"/>
    <n v="1657.5471355068639"/>
    <n v="941.68540105765896"/>
    <n v="194.8087989423411"/>
    <n v="0"/>
    <n v="1136.4942000000001"/>
  </r>
  <r>
    <x v="0"/>
    <x v="0"/>
    <x v="0"/>
    <n v="20"/>
    <n v="3"/>
    <n v="0"/>
    <n v="20260312"/>
    <n v="20260403"/>
    <n v="9374.0892000000003"/>
    <n v="23"/>
    <n v="407.56909565217393"/>
    <n v="13134.309790990543"/>
    <n v="1222.7072869565218"/>
    <n v="0"/>
    <n v="14357.017077947065"/>
    <n v="8575.7501640294886"/>
    <n v="798.33903597051165"/>
    <n v="0"/>
    <n v="9374.0892000000003"/>
  </r>
  <r>
    <x v="0"/>
    <x v="1"/>
    <x v="1"/>
    <n v="0"/>
    <n v="23"/>
    <n v="0"/>
    <n v="20260402"/>
    <n v="20260424"/>
    <n v="84.331000000000003"/>
    <n v="23"/>
    <n v="3.6665652173913044"/>
    <n v="0"/>
    <n v="84.331000000000003"/>
    <n v="0"/>
    <n v="84.331000000000003"/>
    <n v="0"/>
    <n v="84.331000000000003"/>
    <n v="0"/>
    <n v="84.331000000000003"/>
  </r>
  <r>
    <x v="0"/>
    <x v="0"/>
    <x v="0"/>
    <n v="31"/>
    <n v="1"/>
    <n v="0"/>
    <n v="20260226"/>
    <n v="20260401"/>
    <n v="15507.123"/>
    <n v="32"/>
    <n v="484.59759374999999"/>
    <n v="24205.773282808164"/>
    <n v="484.59759374999999"/>
    <n v="0"/>
    <n v="24690.370876558165"/>
    <n v="15202.764894998019"/>
    <n v="304.3581050019784"/>
    <n v="0"/>
    <n v="15507.122999999998"/>
  </r>
  <r>
    <x v="0"/>
    <x v="1"/>
    <x v="1"/>
    <n v="31"/>
    <n v="1"/>
    <n v="0"/>
    <n v="20260227"/>
    <n v="20260401"/>
    <n v="19.8719"/>
    <n v="32"/>
    <n v="0.620996875"/>
    <n v="31.018952135649894"/>
    <n v="0.620996875"/>
    <n v="0"/>
    <n v="31.639949010649893"/>
    <n v="19.481874472583417"/>
    <n v="0.39002552741658247"/>
    <n v="0"/>
    <n v="19.8719"/>
  </r>
  <r>
    <x v="0"/>
    <x v="1"/>
    <x v="0"/>
    <n v="31"/>
    <n v="1"/>
    <n v="0"/>
    <n v="20260227"/>
    <n v="20260401"/>
    <n v="1055.694"/>
    <n v="32"/>
    <n v="32.990437499999999"/>
    <n v="1647.8807590563952"/>
    <n v="32.990437499999999"/>
    <n v="0"/>
    <n v="1680.8711965563953"/>
    <n v="1034.9739073495477"/>
    <n v="20.720092650452223"/>
    <n v="0"/>
    <n v="1055.694"/>
  </r>
  <r>
    <x v="0"/>
    <x v="1"/>
    <x v="0"/>
    <n v="31"/>
    <n v="3"/>
    <n v="0"/>
    <n v="20260226"/>
    <n v="20260403"/>
    <n v="2434.0315999999998"/>
    <n v="34"/>
    <n v="71.589164705882354"/>
    <n v="3575.8970179083772"/>
    <n v="214.76749411764706"/>
    <n v="0"/>
    <n v="3790.6645120260241"/>
    <n v="2296.1267905195723"/>
    <n v="137.90480948042762"/>
    <n v="0"/>
    <n v="2434.0315999999998"/>
  </r>
  <r>
    <x v="0"/>
    <x v="0"/>
    <x v="0"/>
    <n v="31"/>
    <n v="3"/>
    <n v="0"/>
    <n v="20260226"/>
    <n v="20260403"/>
    <n v="27585.691900000002"/>
    <n v="34"/>
    <n v="811.34387941176476"/>
    <n v="40526.833506249175"/>
    <n v="2434.0316382352944"/>
    <n v="0"/>
    <n v="42960.865144484473"/>
    <n v="26022.77070133714"/>
    <n v="1562.9211986628586"/>
    <n v="0"/>
    <n v="27585.691899999998"/>
  </r>
  <r>
    <x v="0"/>
    <x v="0"/>
    <x v="0"/>
    <n v="31"/>
    <n v="2"/>
    <n v="0"/>
    <n v="20260228"/>
    <n v="20260402"/>
    <n v="13948.1068"/>
    <n v="33"/>
    <n v="422.66990303030303"/>
    <n v="21112.469352243927"/>
    <n v="845.33980606060607"/>
    <n v="0"/>
    <n v="21957.809158304532"/>
    <n v="13411.127458745215"/>
    <n v="536.97934125478355"/>
    <n v="0"/>
    <n v="13948.1068"/>
  </r>
  <r>
    <x v="0"/>
    <x v="0"/>
    <x v="1"/>
    <n v="31"/>
    <n v="3"/>
    <n v="0"/>
    <n v="20260226"/>
    <n v="20260403"/>
    <n v="931.1626"/>
    <n v="34"/>
    <n v="27.387135294117648"/>
    <n v="1367.9943861566182"/>
    <n v="82.161405882352938"/>
    <n v="0"/>
    <n v="1450.1557920389712"/>
    <n v="878.40576605080241"/>
    <n v="52.756833949197549"/>
    <n v="0"/>
    <n v="931.1626"/>
  </r>
  <r>
    <x v="0"/>
    <x v="0"/>
    <x v="0"/>
    <n v="19"/>
    <n v="1"/>
    <n v="0"/>
    <n v="20260313"/>
    <n v="20260401"/>
    <n v="28531.353599999999"/>
    <n v="20"/>
    <n v="1426.5676799999999"/>
    <n v="43673.902031519217"/>
    <n v="1426.5676799999999"/>
    <n v="0"/>
    <n v="45100.469711519218"/>
    <n v="27628.881692883344"/>
    <n v="902.47190711665417"/>
    <n v="0"/>
    <n v="28531.353599999999"/>
  </r>
  <r>
    <x v="0"/>
    <x v="0"/>
    <x v="0"/>
    <n v="1"/>
    <n v="30"/>
    <n v="1"/>
    <n v="20260331"/>
    <n v="20260501"/>
    <n v="839.45550000000003"/>
    <n v="32"/>
    <n v="26.232984375000001"/>
    <n v="42.26916947323096"/>
    <n v="786.98953125000003"/>
    <n v="19.713967721732889"/>
    <n v="848.9726684449638"/>
    <n v="41.795322880922747"/>
    <n v="778.1672072674761"/>
    <n v="19.492969851601252"/>
    <n v="839.45550000000014"/>
  </r>
  <r>
    <x v="0"/>
    <x v="1"/>
    <x v="0"/>
    <n v="6"/>
    <n v="30"/>
    <n v="4"/>
    <n v="20260326"/>
    <n v="20260504"/>
    <n v="23811.039499999999"/>
    <n v="40"/>
    <n v="595.27598749999993"/>
    <n v="5755.0039841356966"/>
    <n v="17858.279624999999"/>
    <n v="1789.3887230430935"/>
    <n v="25402.672332178787"/>
    <n v="5394.4177760906923"/>
    <n v="16739.349151635051"/>
    <n v="1677.2725722742587"/>
    <n v="23811.039500000003"/>
  </r>
  <r>
    <x v="0"/>
    <x v="1"/>
    <x v="0"/>
    <n v="0"/>
    <n v="30"/>
    <n v="4"/>
    <n v="20260401"/>
    <n v="20260504"/>
    <n v="23402.952600000001"/>
    <n v="34"/>
    <n v="688.32213529411763"/>
    <n v="0"/>
    <n v="20649.664058823528"/>
    <n v="2069.083740281455"/>
    <n v="22718.747799104982"/>
    <n v="0"/>
    <n v="21271.555696991763"/>
    <n v="2131.396903008239"/>
    <n v="23402.952600000004"/>
  </r>
  <r>
    <x v="0"/>
    <x v="1"/>
    <x v="0"/>
    <n v="15"/>
    <n v="1"/>
    <n v="0"/>
    <n v="20260317"/>
    <n v="20260401"/>
    <n v="848.32219999999995"/>
    <n v="16"/>
    <n v="53.020137499999997"/>
    <n v="1281.4690536795861"/>
    <n v="53.020137499999997"/>
    <n v="0"/>
    <n v="1334.489191179586"/>
    <n v="814.61779835659274"/>
    <n v="33.70440164340728"/>
    <n v="0"/>
    <n v="848.32220000000007"/>
  </r>
  <r>
    <x v="0"/>
    <x v="1"/>
    <x v="0"/>
    <n v="0"/>
    <n v="17"/>
    <n v="2"/>
    <n v="20260414"/>
    <n v="20260502"/>
    <n v="7811.4048000000003"/>
    <n v="19"/>
    <n v="411.12656842105264"/>
    <n v="0"/>
    <n v="6989.1516631578952"/>
    <n v="617.91946989633652"/>
    <n v="7607.0711330542317"/>
    <n v="0"/>
    <n v="7176.8873847245977"/>
    <n v="634.51741527540253"/>
    <n v="7811.4048000000003"/>
  </r>
  <r>
    <x v="0"/>
    <x v="1"/>
    <x v="1"/>
    <n v="14"/>
    <n v="6"/>
    <n v="0"/>
    <n v="20260318"/>
    <n v="20260406"/>
    <n v="1984.4128000000001"/>
    <n v="20"/>
    <n v="99.220640000000003"/>
    <n v="2238.2370158231051"/>
    <n v="595.32384000000002"/>
    <n v="0"/>
    <n v="2833.5608558231052"/>
    <n v="1567.4927801552233"/>
    <n v="416.92001984477696"/>
    <n v="0"/>
    <n v="1984.4128000000003"/>
  </r>
  <r>
    <x v="0"/>
    <x v="0"/>
    <x v="1"/>
    <n v="14"/>
    <n v="6"/>
    <n v="0"/>
    <n v="20260318"/>
    <n v="20260406"/>
    <n v="4630.2965999999997"/>
    <n v="20"/>
    <n v="231.51482999999999"/>
    <n v="5222.5531121145104"/>
    <n v="1389.08898"/>
    <n v="0"/>
    <n v="6611.6420921145109"/>
    <n v="3657.4832063556914"/>
    <n v="972.81339364430767"/>
    <n v="0"/>
    <n v="4630.2965999999988"/>
  </r>
  <r>
    <x v="0"/>
    <x v="1"/>
    <x v="1"/>
    <n v="13"/>
    <n v="1"/>
    <n v="0"/>
    <n v="20260319"/>
    <n v="20260401"/>
    <n v="219.96090000000001"/>
    <n v="14"/>
    <n v="15.711492857142858"/>
    <n v="329.10677191406586"/>
    <n v="15.711492857142858"/>
    <n v="0"/>
    <n v="344.8182647712087"/>
    <n v="209.93847815557203"/>
    <n v="10.022421844427985"/>
    <n v="0"/>
    <n v="219.96090000000001"/>
  </r>
  <r>
    <x v="0"/>
    <x v="0"/>
    <x v="0"/>
    <n v="9"/>
    <n v="1"/>
    <n v="0"/>
    <n v="20260323"/>
    <n v="20260401"/>
    <n v="5746.2735000000002"/>
    <n v="10"/>
    <n v="574.62734999999998"/>
    <n v="8333.065900739035"/>
    <n v="574.62734999999998"/>
    <n v="0"/>
    <n v="8907.6932507390356"/>
    <n v="5375.586519573696"/>
    <n v="370.68698042630439"/>
    <n v="0"/>
    <n v="5746.2735000000002"/>
  </r>
  <r>
    <x v="0"/>
    <x v="0"/>
    <x v="0"/>
    <n v="8"/>
    <n v="2"/>
    <n v="0"/>
    <n v="20260324"/>
    <n v="20260402"/>
    <n v="1149.8046999999999"/>
    <n v="10"/>
    <n v="114.98047"/>
    <n v="1482.1429092675996"/>
    <n v="229.96093999999999"/>
    <n v="0"/>
    <n v="1712.1038492675996"/>
    <n v="995.36887547829997"/>
    <n v="154.43582452169994"/>
    <n v="0"/>
    <n v="1149.8046999999999"/>
  </r>
  <r>
    <x v="0"/>
    <x v="1"/>
    <x v="0"/>
    <n v="5"/>
    <n v="30"/>
    <n v="3"/>
    <n v="20260327"/>
    <n v="20260503"/>
    <n v="5128.7205000000004"/>
    <n v="38"/>
    <n v="134.96632894736842"/>
    <n v="1087.3552451952303"/>
    <n v="4048.989868421053"/>
    <n v="304.27973588756475"/>
    <n v="5440.6248495038481"/>
    <n v="1025.0185026677348"/>
    <n v="3816.8662454933101"/>
    <n v="286.83575183895528"/>
    <n v="5128.7204999999994"/>
  </r>
  <r>
    <x v="0"/>
    <x v="1"/>
    <x v="0"/>
    <n v="0"/>
    <n v="21"/>
    <n v="4"/>
    <n v="20260410"/>
    <n v="20260504"/>
    <n v="1815.2838999999999"/>
    <n v="25"/>
    <n v="72.611356000000001"/>
    <n v="0"/>
    <n v="1524.8384759999999"/>
    <n v="218.26840712480021"/>
    <n v="1743.1068831248001"/>
    <n v="0"/>
    <n v="1587.9776291292153"/>
    <n v="227.30627087078472"/>
    <n v="1815.2838999999999"/>
  </r>
  <r>
    <x v="0"/>
    <x v="1"/>
    <x v="0"/>
    <n v="9"/>
    <n v="2"/>
    <n v="0"/>
    <n v="20260323"/>
    <n v="20260402"/>
    <n v="107.5819"/>
    <n v="11"/>
    <n v="9.7801727272727277"/>
    <n v="141.82900249522453"/>
    <n v="19.560345454545455"/>
    <n v="0"/>
    <n v="161.38934794976998"/>
    <n v="94.543002728345442"/>
    <n v="13.038897271654557"/>
    <n v="0"/>
    <n v="107.5819"/>
  </r>
  <r>
    <x v="0"/>
    <x v="1"/>
    <x v="1"/>
    <n v="0"/>
    <n v="4"/>
    <n v="4"/>
    <n v="20260427"/>
    <n v="20260504"/>
    <n v="1223.4301"/>
    <n v="8"/>
    <n v="152.9287625"/>
    <n v="0"/>
    <n v="611.71505000000002"/>
    <n v="459.70106100816901"/>
    <n v="1071.4161110081691"/>
    <n v="0"/>
    <n v="698.50602124023771"/>
    <n v="524.92407875976232"/>
    <n v="1223.4301"/>
  </r>
  <r>
    <x v="0"/>
    <x v="1"/>
    <x v="0"/>
    <n v="8"/>
    <n v="10"/>
    <n v="0"/>
    <n v="20260324"/>
    <n v="20260410"/>
    <n v="140.59119999999999"/>
    <n v="18"/>
    <n v="7.8106222222222215"/>
    <n v="100.68195358424443"/>
    <n v="78.106222222222215"/>
    <n v="0"/>
    <n v="178.78817580646665"/>
    <n v="79.171883760789768"/>
    <n v="61.419316239210204"/>
    <n v="0"/>
    <n v="140.59119999999996"/>
  </r>
  <r>
    <x v="0"/>
    <x v="1"/>
    <x v="1"/>
    <n v="5"/>
    <n v="30"/>
    <n v="1"/>
    <n v="20260327"/>
    <n v="20260501"/>
    <n v="1852.5931"/>
    <n v="36"/>
    <n v="51.460919444444443"/>
    <n v="414.59452232939259"/>
    <n v="1543.8275833333332"/>
    <n v="38.672645489214339"/>
    <n v="1997.09475115194"/>
    <n v="384.59614944268264"/>
    <n v="1432.1225003587281"/>
    <n v="35.874450198589422"/>
    <n v="1852.5931"/>
  </r>
  <r>
    <x v="0"/>
    <x v="0"/>
    <x v="1"/>
    <n v="5"/>
    <n v="30"/>
    <n v="1"/>
    <n v="20260327"/>
    <n v="20260501"/>
    <n v="298.80529999999999"/>
    <n v="36"/>
    <n v="8.3001472222222219"/>
    <n v="66.870075583780832"/>
    <n v="249.00441666666666"/>
    <n v="6.2375226579427174"/>
    <n v="322.11201490839017"/>
    <n v="62.031628970800774"/>
    <n v="230.98747013385716"/>
    <n v="5.7862008953420876"/>
    <n v="298.80529999999999"/>
  </r>
  <r>
    <x v="0"/>
    <x v="0"/>
    <x v="0"/>
    <n v="18"/>
    <n v="4"/>
    <n v="0"/>
    <n v="20260314"/>
    <n v="20260404"/>
    <n v="4168.8086999999996"/>
    <n v="22"/>
    <n v="189.49130454545454"/>
    <n v="5495.8871289167946"/>
    <n v="757.96521818181816"/>
    <n v="0"/>
    <n v="6253.8523470986129"/>
    <n v="3663.550209636102"/>
    <n v="505.25849036389741"/>
    <n v="0"/>
    <n v="4168.8086999999996"/>
  </r>
  <r>
    <x v="0"/>
    <x v="0"/>
    <x v="0"/>
    <n v="4"/>
    <n v="30"/>
    <n v="4"/>
    <n v="20260328"/>
    <n v="20260504"/>
    <n v="1043.4081000000001"/>
    <n v="38"/>
    <n v="27.458107894736845"/>
    <n v="176.97283685694151"/>
    <n v="823.74323684210538"/>
    <n v="82.538569763731061"/>
    <n v="1083.2546434627779"/>
    <n v="170.4630509279292"/>
    <n v="793.44258603291632"/>
    <n v="79.502463039154577"/>
    <n v="1043.4081000000001"/>
  </r>
  <r>
    <x v="0"/>
    <x v="1"/>
    <x v="0"/>
    <n v="8"/>
    <n v="1"/>
    <n v="0"/>
    <n v="20260324"/>
    <n v="20260401"/>
    <n v="1489.6876999999999"/>
    <n v="9"/>
    <n v="165.52085555555556"/>
    <n v="2133.628105691108"/>
    <n v="165.52085555555556"/>
    <n v="0"/>
    <n v="2299.1489612466635"/>
    <n v="1382.4417638859309"/>
    <n v="107.245936114069"/>
    <n v="0"/>
    <n v="1489.6876999999999"/>
  </r>
  <r>
    <x v="0"/>
    <x v="0"/>
    <x v="0"/>
    <n v="12"/>
    <n v="3"/>
    <n v="0"/>
    <n v="20260320"/>
    <n v="20260403"/>
    <n v="945.03859999999997"/>
    <n v="15"/>
    <n v="63.002573333333331"/>
    <n v="1218.1914545784859"/>
    <n v="189.00772000000001"/>
    <n v="0"/>
    <n v="1407.199174578486"/>
    <n v="818.10589969373666"/>
    <n v="126.93270030626327"/>
    <n v="0"/>
    <n v="945.03859999999997"/>
  </r>
  <r>
    <x v="0"/>
    <x v="0"/>
    <x v="0"/>
    <n v="8"/>
    <n v="6"/>
    <n v="0"/>
    <n v="20260324"/>
    <n v="20260406"/>
    <n v="1060.8321000000001"/>
    <n v="14"/>
    <n v="75.773721428571434"/>
    <n v="976.75269482004671"/>
    <n v="454.64232857142861"/>
    <n v="0"/>
    <n v="1431.3950233914752"/>
    <n v="723.88865092709273"/>
    <n v="336.94344907290741"/>
    <n v="0"/>
    <n v="1060.8321000000001"/>
  </r>
  <r>
    <x v="0"/>
    <x v="1"/>
    <x v="0"/>
    <n v="21"/>
    <n v="3"/>
    <n v="0"/>
    <n v="20260311"/>
    <n v="20260403"/>
    <n v="31.578199999999999"/>
    <n v="24"/>
    <n v="1.3157583333333334"/>
    <n v="44.521669163961995"/>
    <n v="3.9472750000000003"/>
    <n v="0"/>
    <n v="48.468944163961993"/>
    <n v="29.006494724487126"/>
    <n v="2.5717052755128744"/>
    <n v="0"/>
    <n v="31.578200000000002"/>
  </r>
  <r>
    <x v="0"/>
    <x v="0"/>
    <x v="0"/>
    <n v="16"/>
    <n v="1"/>
    <n v="0"/>
    <n v="20260316"/>
    <n v="20260401"/>
    <n v="28833.5471"/>
    <n v="17"/>
    <n v="1696.0910058823529"/>
    <n v="43726.543435438733"/>
    <n v="1696.0910058823529"/>
    <n v="0"/>
    <n v="45422.634441321083"/>
    <n v="27756.896207653102"/>
    <n v="1076.6508923468959"/>
    <n v="0"/>
    <n v="28833.5471"/>
  </r>
  <r>
    <x v="0"/>
    <x v="0"/>
    <x v="1"/>
    <n v="16"/>
    <n v="6"/>
    <n v="0"/>
    <n v="20260316"/>
    <n v="20260406"/>
    <n v="275.6431"/>
    <n v="22"/>
    <n v="12.529231818181819"/>
    <n v="323.01332735704034"/>
    <n v="75.175390909090908"/>
    <n v="0"/>
    <n v="398.18871826613122"/>
    <n v="223.6035096165169"/>
    <n v="52.03959038348313"/>
    <n v="0"/>
    <n v="275.6431"/>
  </r>
  <r>
    <x v="0"/>
    <x v="1"/>
    <x v="0"/>
    <n v="11"/>
    <n v="2"/>
    <n v="0"/>
    <n v="20260321"/>
    <n v="20260402"/>
    <n v="506.6857"/>
    <n v="13"/>
    <n v="38.975823076923078"/>
    <n v="690.81855582694857"/>
    <n v="77.951646153846156"/>
    <n v="0"/>
    <n v="768.7702019807947"/>
    <n v="455.30885904564605"/>
    <n v="51.376840954353945"/>
    <n v="0"/>
    <n v="506.6857"/>
  </r>
  <r>
    <x v="0"/>
    <x v="0"/>
    <x v="1"/>
    <n v="7"/>
    <n v="3"/>
    <n v="0"/>
    <n v="20260325"/>
    <n v="20260403"/>
    <n v="118.25709999999999"/>
    <n v="10"/>
    <n v="11.825709999999999"/>
    <n v="133.38324495986646"/>
    <n v="35.477129999999995"/>
    <n v="0"/>
    <n v="168.86037495986645"/>
    <n v="93.411587776542376"/>
    <n v="24.845512223457622"/>
    <n v="0"/>
    <n v="118.25709999999999"/>
  </r>
  <r>
    <x v="0"/>
    <x v="1"/>
    <x v="0"/>
    <n v="15"/>
    <n v="6"/>
    <n v="0"/>
    <n v="20260317"/>
    <n v="20260406"/>
    <n v="1095.1213"/>
    <n v="21"/>
    <n v="52.148633333333336"/>
    <n v="1260.4052527843858"/>
    <n v="312.89179999999999"/>
    <n v="0"/>
    <n v="1573.2970527843859"/>
    <n v="877.32741665869582"/>
    <n v="217.79388334130402"/>
    <n v="0"/>
    <n v="1095.1212999999998"/>
  </r>
  <r>
    <x v="0"/>
    <x v="1"/>
    <x v="0"/>
    <n v="0"/>
    <n v="20"/>
    <n v="6"/>
    <n v="20260411"/>
    <n v="20260506"/>
    <n v="1393.0922"/>
    <n v="26"/>
    <n v="53.580469230769232"/>
    <n v="0"/>
    <n v="1071.6093846153847"/>
    <n v="241.59286473040186"/>
    <n v="1313.2022493457866"/>
    <n v="0"/>
    <n v="1136.8017956854728"/>
    <n v="256.290404314527"/>
    <n v="1393.0921999999998"/>
  </r>
  <r>
    <x v="0"/>
    <x v="1"/>
    <x v="0"/>
    <n v="0"/>
    <n v="14"/>
    <n v="6"/>
    <n v="20260417"/>
    <n v="20260506"/>
    <n v="42.218899999999998"/>
    <n v="20"/>
    <n v="2.1109450000000001"/>
    <n v="0"/>
    <n v="29.553229999999999"/>
    <n v="9.5181930498184339"/>
    <n v="39.071423049818435"/>
    <n v="0"/>
    <n v="31.933949793845507"/>
    <n v="10.284950206154491"/>
    <n v="42.218899999999998"/>
  </r>
  <r>
    <x v="0"/>
    <x v="1"/>
    <x v="0"/>
    <n v="28"/>
    <n v="3"/>
    <n v="0"/>
    <n v="20260304"/>
    <n v="20260403"/>
    <n v="638818.88069999998"/>
    <n v="31"/>
    <n v="20607.060667741935"/>
    <n v="929715.55059214286"/>
    <n v="61821.182003225804"/>
    <n v="0"/>
    <n v="991536.73259536864"/>
    <n v="598989.25362458231"/>
    <n v="39829.627075417695"/>
    <n v="0"/>
    <n v="638818.88069999998"/>
  </r>
  <r>
    <x v="0"/>
    <x v="1"/>
    <x v="1"/>
    <n v="27"/>
    <n v="1"/>
    <n v="0"/>
    <n v="20260305"/>
    <n v="20260401"/>
    <n v="56707.5308"/>
    <n v="28"/>
    <n v="2025.2689571428571"/>
    <n v="88109.448775414799"/>
    <n v="2025.2689571428571"/>
    <n v="0"/>
    <n v="90134.717732557663"/>
    <n v="55433.349167721164"/>
    <n v="1274.1816322788359"/>
    <n v="0"/>
    <n v="56707.5308"/>
  </r>
  <r>
    <x v="0"/>
    <x v="1"/>
    <x v="1"/>
    <n v="26"/>
    <n v="3"/>
    <n v="0"/>
    <n v="20260306"/>
    <n v="20260403"/>
    <n v="87166.659599999999"/>
    <n v="29"/>
    <n v="3005.7468827586208"/>
    <n v="125922.04480756701"/>
    <n v="9017.2406482758634"/>
    <n v="0"/>
    <n v="134939.28545584288"/>
    <n v="81341.797377969371"/>
    <n v="5824.8622220306233"/>
    <n v="0"/>
    <n v="87166.659599999999"/>
  </r>
  <r>
    <x v="0"/>
    <x v="1"/>
    <x v="0"/>
    <n v="26"/>
    <n v="6"/>
    <n v="0"/>
    <n v="20260306"/>
    <n v="20260406"/>
    <n v="260804.05809999999"/>
    <n v="32"/>
    <n v="8150.1268156249998"/>
    <n v="341439.4738131052"/>
    <n v="48900.760893749997"/>
    <n v="0"/>
    <n v="390340.2347068552"/>
    <n v="228131.23641446288"/>
    <n v="32672.821685537107"/>
    <n v="0"/>
    <n v="260804.05809999999"/>
  </r>
  <r>
    <x v="0"/>
    <x v="1"/>
    <x v="1"/>
    <n v="0"/>
    <n v="15"/>
    <n v="18"/>
    <n v="20260416"/>
    <n v="20260518"/>
    <n v="2457161.0773999998"/>
    <n v="33"/>
    <n v="74459.426587878785"/>
    <n v="0"/>
    <n v="1116891.3988181818"/>
    <n v="1007206.5306896395"/>
    <n v="2124097.9295078213"/>
    <n v="0"/>
    <n v="1292022.3850012333"/>
    <n v="1165138.6923987668"/>
    <n v="2457161.0773999998"/>
  </r>
  <r>
    <x v="0"/>
    <x v="1"/>
    <x v="1"/>
    <n v="15"/>
    <n v="16"/>
    <n v="0"/>
    <n v="20260317"/>
    <n v="20260416"/>
    <n v="3681155.0447999998"/>
    <n v="31"/>
    <n v="118746.93692903225"/>
    <n v="2870051.4949399456"/>
    <n v="1899950.990864516"/>
    <n v="0"/>
    <n v="4770002.4858044619"/>
    <n v="2214905.4577803127"/>
    <n v="1466249.5870196866"/>
    <n v="0"/>
    <n v="3681155.0447999993"/>
  </r>
  <r>
    <x v="0"/>
    <x v="1"/>
    <x v="1"/>
    <n v="30"/>
    <n v="1"/>
    <n v="0"/>
    <n v="20260302"/>
    <n v="20260401"/>
    <n v="160966.00080000001"/>
    <n v="31"/>
    <n v="5192.4516387096774"/>
    <n v="250997.69263081622"/>
    <n v="5192.4516387096774"/>
    <n v="0"/>
    <n v="256190.14426952589"/>
    <n v="157703.54830787296"/>
    <n v="3262.4524921270504"/>
    <n v="0"/>
    <n v="160966.00080000001"/>
  </r>
  <r>
    <x v="0"/>
    <x v="1"/>
    <x v="0"/>
    <n v="0"/>
    <n v="27"/>
    <n v="9"/>
    <n v="20260404"/>
    <n v="20260509"/>
    <n v="278935.538"/>
    <n v="36"/>
    <n v="7748.2093888888885"/>
    <n v="0"/>
    <n v="209201.65349999999"/>
    <n v="52404.695115595263"/>
    <n v="261606.34861559526"/>
    <n v="0"/>
    <n v="223059.47878679808"/>
    <n v="55876.059213201886"/>
    <n v="278935.53799999994"/>
  </r>
  <r>
    <x v="0"/>
    <x v="1"/>
    <x v="0"/>
    <n v="25"/>
    <n v="3"/>
    <n v="0"/>
    <n v="20260307"/>
    <n v="20260403"/>
    <n v="110747.9418"/>
    <n v="28"/>
    <n v="3955.2836357142855"/>
    <n v="159328.56887609101"/>
    <n v="11865.850907142856"/>
    <n v="0"/>
    <n v="171194.41978323387"/>
    <n v="103071.76539579437"/>
    <n v="7676.1764042056348"/>
    <n v="0"/>
    <n v="110747.9418"/>
  </r>
  <r>
    <x v="0"/>
    <x v="1"/>
    <x v="0"/>
    <n v="27"/>
    <n v="1"/>
    <n v="0"/>
    <n v="20260305"/>
    <n v="20260401"/>
    <n v="143116.83369999999"/>
    <n v="28"/>
    <n v="5111.3154892857137"/>
    <n v="222368.09026764586"/>
    <n v="5111.3154892857137"/>
    <n v="0"/>
    <n v="227479.40575693158"/>
    <n v="139901.09077841885"/>
    <n v="3215.7429215811435"/>
    <n v="0"/>
    <n v="143116.83369999999"/>
  </r>
  <r>
    <x v="0"/>
    <x v="1"/>
    <x v="1"/>
    <n v="0"/>
    <n v="28"/>
    <n v="4"/>
    <n v="20260403"/>
    <n v="20260504"/>
    <n v="1828380.7921"/>
    <n v="32"/>
    <n v="57136.899753124999"/>
    <n v="0"/>
    <n v="1599833.1930875001"/>
    <n v="171752.47487684962"/>
    <n v="1771585.6679643497"/>
    <n v="0"/>
    <n v="1651122.1182807956"/>
    <n v="177258.67381920421"/>
    <n v="1828380.7920999997"/>
  </r>
  <r>
    <x v="0"/>
    <x v="1"/>
    <x v="0"/>
    <n v="0"/>
    <n v="15"/>
    <n v="0"/>
    <n v="20260416"/>
    <n v="20260430"/>
    <n v="13640.524799999999"/>
    <n v="15"/>
    <n v="909.36831999999993"/>
    <n v="0"/>
    <n v="13640.524799999999"/>
    <n v="0"/>
    <n v="13640.524799999999"/>
    <n v="0"/>
    <n v="13640.524799999999"/>
    <n v="0"/>
    <n v="13640.524799999999"/>
  </r>
  <r>
    <x v="0"/>
    <x v="0"/>
    <x v="0"/>
    <n v="29"/>
    <n v="3"/>
    <n v="0"/>
    <n v="20260303"/>
    <n v="20260403"/>
    <n v="1519533.186"/>
    <n v="32"/>
    <n v="47485.4120625"/>
    <n v="2218882.081322649"/>
    <n v="142456.23618750001"/>
    <n v="0"/>
    <n v="2361338.317510149"/>
    <n v="1427861.8753562088"/>
    <n v="91671.310643791308"/>
    <n v="0"/>
    <n v="1519533.186"/>
  </r>
  <r>
    <x v="0"/>
    <x v="1"/>
    <x v="1"/>
    <n v="0"/>
    <n v="27"/>
    <n v="1"/>
    <n v="20260404"/>
    <n v="20260501"/>
    <n v="406041.4853"/>
    <n v="28"/>
    <n v="14501.481617857144"/>
    <n v="0"/>
    <n v="391540.00368214288"/>
    <n v="10897.797080387982"/>
    <n v="402437.80076253088"/>
    <n v="0"/>
    <n v="395046.10239950102"/>
    <n v="10995.38290049896"/>
    <n v="406041.4853"/>
  </r>
  <r>
    <x v="0"/>
    <x v="1"/>
    <x v="1"/>
    <n v="28"/>
    <n v="3"/>
    <n v="0"/>
    <n v="20260304"/>
    <n v="20260403"/>
    <n v="140938.13699999999"/>
    <n v="31"/>
    <n v="4546.3915161290315"/>
    <n v="205116.63258419067"/>
    <n v="13639.174548387095"/>
    <n v="0"/>
    <n v="218755.80713257776"/>
    <n v="132150.80524289381"/>
    <n v="8787.3317571061725"/>
    <n v="0"/>
    <n v="140938.13699999999"/>
  </r>
  <r>
    <x v="0"/>
    <x v="1"/>
    <x v="1"/>
    <n v="0"/>
    <n v="29"/>
    <n v="1"/>
    <n v="20260402"/>
    <n v="20260501"/>
    <n v="6524839.0418999996"/>
    <n v="30"/>
    <n v="217494.63472999999"/>
    <n v="0"/>
    <n v="6307344.4071699996"/>
    <n v="163446.22279436342"/>
    <n v="6470790.6299643628"/>
    <n v="0"/>
    <n v="6360027.6059061848"/>
    <n v="164811.43599381478"/>
    <n v="6524839.0418999996"/>
  </r>
  <r>
    <x v="0"/>
    <x v="1"/>
    <x v="1"/>
    <n v="0"/>
    <n v="29"/>
    <n v="6"/>
    <n v="20260402"/>
    <n v="20260506"/>
    <n v="1416103.8583"/>
    <n v="35"/>
    <n v="40460.110237142857"/>
    <n v="0"/>
    <n v="1173343.1968771429"/>
    <n v="182433.52624254106"/>
    <n v="1355776.723119684"/>
    <n v="0"/>
    <n v="1225552.7033864702"/>
    <n v="190551.15491352978"/>
    <n v="1416103.8583"/>
  </r>
  <r>
    <x v="0"/>
    <x v="1"/>
    <x v="1"/>
    <n v="28"/>
    <n v="1"/>
    <n v="0"/>
    <n v="20260304"/>
    <n v="20260401"/>
    <n v="107559.4531"/>
    <n v="29"/>
    <n v="3708.9466586206895"/>
    <n v="167334.16960499849"/>
    <n v="3708.9466586206895"/>
    <n v="0"/>
    <n v="171043.11626361919"/>
    <n v="105227.10390704293"/>
    <n v="2332.349192957066"/>
    <n v="0"/>
    <n v="107559.45309999998"/>
  </r>
  <r>
    <x v="0"/>
    <x v="1"/>
    <x v="0"/>
    <n v="0"/>
    <n v="28"/>
    <n v="6"/>
    <n v="20260403"/>
    <n v="20260506"/>
    <n v="3513094.2064999999"/>
    <n v="34"/>
    <n v="103326.30019117647"/>
    <n v="0"/>
    <n v="2893136.4053529412"/>
    <n v="465895.45077825763"/>
    <n v="3359031.8561311988"/>
    <n v="0"/>
    <n v="3025830.4117323821"/>
    <n v="487263.79476761783"/>
    <n v="3513094.2064999999"/>
  </r>
  <r>
    <x v="0"/>
    <x v="0"/>
    <x v="0"/>
    <n v="24"/>
    <n v="3"/>
    <n v="0"/>
    <n v="20260308"/>
    <n v="20260403"/>
    <n v="264020.42479999998"/>
    <n v="27"/>
    <n v="9778.5342518518519"/>
    <n v="378147.31156724034"/>
    <n v="29335.602755555556"/>
    <n v="0"/>
    <n v="407482.91432279587"/>
    <n v="245013.00625790545"/>
    <n v="19007.418542094532"/>
    <n v="0"/>
    <n v="264020.42479999998"/>
  </r>
  <r>
    <x v="0"/>
    <x v="1"/>
    <x v="1"/>
    <n v="25"/>
    <n v="6"/>
    <n v="0"/>
    <n v="20260307"/>
    <n v="20260406"/>
    <n v="246046.98620000001"/>
    <n v="31"/>
    <n v="7936.9995548387105"/>
    <n v="319721.89524513081"/>
    <n v="47621.997329032267"/>
    <n v="0"/>
    <n v="367343.8925741631"/>
    <n v="214149.76630197966"/>
    <n v="31897.219898020339"/>
    <n v="0"/>
    <n v="246046.98619999998"/>
  </r>
  <r>
    <x v="0"/>
    <x v="1"/>
    <x v="0"/>
    <n v="26"/>
    <n v="5"/>
    <n v="0"/>
    <n v="20260306"/>
    <n v="20260405"/>
    <n v="140018.56640000001"/>
    <n v="31"/>
    <n v="4516.7279483870971"/>
    <n v="189222.72609275617"/>
    <n v="22583.639741935483"/>
    <n v="0"/>
    <n v="211806.36583469165"/>
    <n v="125089.22823635003"/>
    <n v="14929.338163649985"/>
    <n v="0"/>
    <n v="140018.56640000001"/>
  </r>
  <r>
    <x v="0"/>
    <x v="1"/>
    <x v="1"/>
    <n v="0"/>
    <n v="26"/>
    <n v="4"/>
    <n v="20260405"/>
    <n v="20260504"/>
    <n v="258567.6912"/>
    <n v="30"/>
    <n v="8618.9230399999997"/>
    <n v="0"/>
    <n v="224091.99904"/>
    <n v="25908.324905432706"/>
    <n v="250000.3239454327"/>
    <n v="0"/>
    <n v="231771.50290738247"/>
    <n v="26796.188292617528"/>
    <n v="258567.6912"/>
  </r>
  <r>
    <x v="0"/>
    <x v="1"/>
    <x v="0"/>
    <n v="0"/>
    <n v="28"/>
    <n v="7"/>
    <n v="20260403"/>
    <n v="20260507"/>
    <n v="1040309.335"/>
    <n v="35"/>
    <n v="29723.123857142855"/>
    <n v="0"/>
    <n v="832247.46799999988"/>
    <n v="156357.54100743562"/>
    <n v="988605.00900743552"/>
    <n v="0"/>
    <n v="875774.24967710418"/>
    <n v="164535.08532289579"/>
    <n v="1040309.335"/>
  </r>
  <r>
    <x v="0"/>
    <x v="1"/>
    <x v="1"/>
    <n v="0"/>
    <n v="10"/>
    <n v="0"/>
    <n v="20260411"/>
    <n v="20260420"/>
    <n v="22082.6522"/>
    <n v="10"/>
    <n v="2208.2652200000002"/>
    <n v="0"/>
    <n v="22082.652200000004"/>
    <n v="0"/>
    <n v="22082.652200000004"/>
    <n v="0"/>
    <n v="22082.6522"/>
    <n v="0"/>
    <n v="22082.6522"/>
  </r>
  <r>
    <x v="0"/>
    <x v="0"/>
    <x v="0"/>
    <n v="24"/>
    <n v="5"/>
    <n v="0"/>
    <n v="20260308"/>
    <n v="20260405"/>
    <n v="113824.62699999999"/>
    <n v="29"/>
    <n v="3924.9871379310343"/>
    <n v="151783.82525617644"/>
    <n v="19624.935689655173"/>
    <n v="0"/>
    <n v="171408.7609458316"/>
    <n v="100792.61526123065"/>
    <n v="13032.011738769355"/>
    <n v="0"/>
    <n v="113824.62700000001"/>
  </r>
  <r>
    <x v="0"/>
    <x v="1"/>
    <x v="1"/>
    <n v="26"/>
    <n v="6"/>
    <n v="0"/>
    <n v="20260306"/>
    <n v="20260406"/>
    <n v="79344.018700000001"/>
    <n v="32"/>
    <n v="2479.500584375"/>
    <n v="103875.60758259987"/>
    <n v="14877.003506249999"/>
    <n v="0"/>
    <n v="118752.61108884987"/>
    <n v="69404.016256460483"/>
    <n v="9940.0024435395153"/>
    <n v="0"/>
    <n v="79344.018700000001"/>
  </r>
  <r>
    <x v="0"/>
    <x v="1"/>
    <x v="0"/>
    <n v="29"/>
    <n v="7"/>
    <n v="0"/>
    <n v="20260303"/>
    <n v="20260407"/>
    <n v="58724.336799999997"/>
    <n v="36"/>
    <n v="1631.2315777777776"/>
    <n v="76223.630820657243"/>
    <n v="11418.621044444444"/>
    <n v="0"/>
    <n v="87642.251865101687"/>
    <n v="51073.335898772231"/>
    <n v="7651.0009012277596"/>
    <n v="0"/>
    <n v="58724.33679999999"/>
  </r>
  <r>
    <x v="0"/>
    <x v="0"/>
    <x v="0"/>
    <n v="27"/>
    <n v="13"/>
    <n v="0"/>
    <n v="20260305"/>
    <n v="20260413"/>
    <n v="14057.122300000001"/>
    <n v="40"/>
    <n v="351.42805750000002"/>
    <n v="15288.898949116539"/>
    <n v="4568.5647475000005"/>
    <n v="0"/>
    <n v="19857.463696616542"/>
    <n v="10823.029851324465"/>
    <n v="3234.0924486755348"/>
    <n v="0"/>
    <n v="14057.122299999999"/>
  </r>
  <r>
    <x v="0"/>
    <x v="1"/>
    <x v="1"/>
    <n v="23"/>
    <n v="6"/>
    <n v="0"/>
    <n v="20260309"/>
    <n v="20260406"/>
    <n v="583.70659999999998"/>
    <n v="29"/>
    <n v="20.127813793103449"/>
    <n v="745.93409138053835"/>
    <n v="120.7668827586207"/>
    <n v="0"/>
    <n v="866.70097413915903"/>
    <n v="502.37240443428146"/>
    <n v="81.334195565718517"/>
    <n v="0"/>
    <n v="583.70659999999998"/>
  </r>
  <r>
    <x v="0"/>
    <x v="1"/>
    <x v="0"/>
    <n v="0"/>
    <n v="14"/>
    <n v="18"/>
    <n v="20260417"/>
    <n v="20260518"/>
    <n v="1105135.429"/>
    <n v="32"/>
    <n v="34535.48215625"/>
    <n v="0"/>
    <n v="483496.75018750003"/>
    <n v="467158.62265252852"/>
    <n v="950655.37284002849"/>
    <n v="0"/>
    <n v="562064.23873910296"/>
    <n v="543071.19026089716"/>
    <n v="1105135.429"/>
  </r>
  <r>
    <x v="0"/>
    <x v="1"/>
    <x v="0"/>
    <n v="29"/>
    <n v="5"/>
    <n v="0"/>
    <n v="20260303"/>
    <n v="20260405"/>
    <n v="26897.4228"/>
    <n v="34"/>
    <n v="791.10067058823529"/>
    <n v="36966.281353527571"/>
    <n v="3955.5033529411767"/>
    <n v="0"/>
    <n v="40921.784706468745"/>
    <n v="24297.515517509015"/>
    <n v="2599.9072824909886"/>
    <n v="0"/>
    <n v="26897.422800000004"/>
  </r>
  <r>
    <x v="0"/>
    <x v="1"/>
    <x v="0"/>
    <n v="25"/>
    <n v="4"/>
    <n v="0"/>
    <n v="20260307"/>
    <n v="20260404"/>
    <n v="26333.459599999998"/>
    <n v="29"/>
    <n v="908.05033103448272"/>
    <n v="36578.504359285296"/>
    <n v="3632.2013241379309"/>
    <n v="0"/>
    <n v="40210.705683423228"/>
    <n v="23954.778967501585"/>
    <n v="2378.6806324984132"/>
    <n v="0"/>
    <n v="26333.459599999998"/>
  </r>
  <r>
    <x v="0"/>
    <x v="1"/>
    <x v="0"/>
    <n v="0"/>
    <n v="28"/>
    <n v="3"/>
    <n v="20260403"/>
    <n v="20260503"/>
    <n v="1998689.0064000001"/>
    <n v="31"/>
    <n v="64473.838916129032"/>
    <n v="0"/>
    <n v="1805267.4896516129"/>
    <n v="145355.38478421103"/>
    <n v="1950622.8744358239"/>
    <n v="0"/>
    <n v="1849751.8574530152"/>
    <n v="148937.14894698505"/>
    <n v="1998689.0064000003"/>
  </r>
  <r>
    <x v="0"/>
    <x v="0"/>
    <x v="1"/>
    <n v="28"/>
    <n v="7"/>
    <n v="0"/>
    <n v="20260304"/>
    <n v="20260407"/>
    <n v="132329.56570000001"/>
    <n v="35"/>
    <n v="3780.8447342857144"/>
    <n v="170577.94901057196"/>
    <n v="26465.913140000001"/>
    <n v="0"/>
    <n v="197043.86215057195"/>
    <n v="114555.74238245926"/>
    <n v="17773.823317540762"/>
    <n v="0"/>
    <n v="132329.56570000001"/>
  </r>
  <r>
    <x v="0"/>
    <x v="1"/>
    <x v="0"/>
    <n v="0"/>
    <n v="25"/>
    <n v="8"/>
    <n v="20260406"/>
    <n v="20260508"/>
    <n v="67513.823999999993"/>
    <n v="33"/>
    <n v="2045.8734545454543"/>
    <n v="0"/>
    <n v="51146.836363636357"/>
    <n v="12299.716317170791"/>
    <n v="63446.552680807144"/>
    <n v="0"/>
    <n v="54425.628540980259"/>
    <n v="13088.195459019742"/>
    <n v="67513.823999999993"/>
  </r>
  <r>
    <x v="0"/>
    <x v="1"/>
    <x v="0"/>
    <n v="25"/>
    <n v="5"/>
    <n v="0"/>
    <n v="20260307"/>
    <n v="20260405"/>
    <n v="33130.499499999998"/>
    <n v="30"/>
    <n v="1104.3499833333333"/>
    <n v="44485.937947420869"/>
    <n v="5521.7499166666666"/>
    <n v="0"/>
    <n v="50007.687864087537"/>
    <n v="29472.29531846604"/>
    <n v="3658.2041815339589"/>
    <n v="0"/>
    <n v="33130.499499999998"/>
  </r>
  <r>
    <x v="0"/>
    <x v="1"/>
    <x v="1"/>
    <n v="0"/>
    <n v="27"/>
    <n v="3"/>
    <n v="20260404"/>
    <n v="20260503"/>
    <n v="80012.334700000007"/>
    <n v="30"/>
    <n v="2667.0778233333335"/>
    <n v="0"/>
    <n v="72011.10123"/>
    <n v="6012.8903409080331"/>
    <n v="78023.991570908038"/>
    <n v="0"/>
    <n v="73846.213423906316"/>
    <n v="6166.1212760936887"/>
    <n v="80012.334700000007"/>
  </r>
  <r>
    <x v="0"/>
    <x v="1"/>
    <x v="1"/>
    <n v="0"/>
    <n v="28"/>
    <n v="8"/>
    <n v="20260403"/>
    <n v="20260508"/>
    <n v="207606.87299999999"/>
    <n v="36"/>
    <n v="5766.8575833333334"/>
    <n v="0"/>
    <n v="161472.01233333335"/>
    <n v="34670.136688529587"/>
    <n v="196142.14902186295"/>
    <n v="0"/>
    <n v="170910.22875355653"/>
    <n v="36696.644246443459"/>
    <n v="207606.87299999999"/>
  </r>
  <r>
    <x v="0"/>
    <x v="0"/>
    <x v="0"/>
    <n v="13"/>
    <n v="16"/>
    <n v="0"/>
    <n v="20260319"/>
    <n v="20260416"/>
    <n v="23221.574799999999"/>
    <n v="29"/>
    <n v="800.74395862068957"/>
    <n v="16773.08844853261"/>
    <n v="12811.903337931033"/>
    <n v="0"/>
    <n v="29584.991786463645"/>
    <n v="13165.375567649377"/>
    <n v="10056.199232350622"/>
    <n v="0"/>
    <n v="23221.574799999999"/>
  </r>
  <r>
    <x v="0"/>
    <x v="1"/>
    <x v="0"/>
    <n v="0"/>
    <n v="13"/>
    <n v="19"/>
    <n v="20260418"/>
    <n v="20260519"/>
    <n v="264861.66800000001"/>
    <n v="32"/>
    <n v="8276.9271250000002"/>
    <n v="0"/>
    <n v="107600.052625"/>
    <n v="118181.38436147039"/>
    <n v="225781.43698647039"/>
    <n v="0"/>
    <n v="126224.41328891464"/>
    <n v="138637.25471108538"/>
    <n v="264861.66800000001"/>
  </r>
  <r>
    <x v="0"/>
    <x v="0"/>
    <x v="1"/>
    <n v="24"/>
    <n v="7"/>
    <n v="0"/>
    <n v="20260308"/>
    <n v="20260407"/>
    <n v="7434.5190000000002"/>
    <n v="31"/>
    <n v="239.82319354838711"/>
    <n v="9274.2422899033154"/>
    <n v="1678.7623548387098"/>
    <n v="0"/>
    <n v="10953.004644742025"/>
    <n v="6295.0334407087867"/>
    <n v="1139.485559291214"/>
    <n v="0"/>
    <n v="7434.5190000000002"/>
  </r>
  <r>
    <x v="0"/>
    <x v="0"/>
    <x v="1"/>
    <n v="23"/>
    <n v="1"/>
    <n v="0"/>
    <n v="20260309"/>
    <n v="20260401"/>
    <n v="1857.01"/>
    <n v="24"/>
    <n v="77.375416666666666"/>
    <n v="2867.5226092471389"/>
    <n v="77.375416666666666"/>
    <n v="0"/>
    <n v="2944.8980259138057"/>
    <n v="1808.2181840390447"/>
    <n v="48.791815960955198"/>
    <n v="0"/>
    <n v="1857.0099999999998"/>
  </r>
  <r>
    <x v="0"/>
    <x v="1"/>
    <x v="1"/>
    <n v="0"/>
    <n v="22"/>
    <n v="3"/>
    <n v="20260409"/>
    <n v="20260503"/>
    <n v="1393.027"/>
    <n v="25"/>
    <n v="55.721080000000001"/>
    <n v="0"/>
    <n v="1225.86376"/>
    <n v="125.62240995960978"/>
    <n v="1351.4861699596097"/>
    <n v="0"/>
    <n v="1263.5433154691882"/>
    <n v="129.4836845308119"/>
    <n v="1393.027"/>
  </r>
  <r>
    <x v="0"/>
    <x v="1"/>
    <x v="1"/>
    <n v="14"/>
    <n v="17"/>
    <n v="0"/>
    <n v="20260318"/>
    <n v="20260417"/>
    <n v="68165.440100000007"/>
    <n v="31"/>
    <n v="2198.8851645161294"/>
    <n v="49602.846431592043"/>
    <n v="37381.047796774197"/>
    <n v="0"/>
    <n v="86983.894228366233"/>
    <n v="38871.562226740898"/>
    <n v="29293.877873259116"/>
    <n v="0"/>
    <n v="68165.440100000007"/>
  </r>
  <r>
    <x v="0"/>
    <x v="0"/>
    <x v="0"/>
    <n v="22"/>
    <n v="8"/>
    <n v="0"/>
    <n v="20260310"/>
    <n v="20260408"/>
    <n v="29451.9764"/>
    <n v="30"/>
    <n v="981.73254666666662"/>
    <n v="34801.012861643925"/>
    <n v="7853.860373333333"/>
    <n v="0"/>
    <n v="42654.873234977262"/>
    <n v="24029.109261465601"/>
    <n v="5422.8671385343951"/>
    <n v="0"/>
    <n v="29451.976399999996"/>
  </r>
  <r>
    <x v="0"/>
    <x v="0"/>
    <x v="1"/>
    <n v="13"/>
    <n v="15"/>
    <n v="0"/>
    <n v="20260319"/>
    <n v="20260415"/>
    <n v="4285.6202999999996"/>
    <n v="28"/>
    <n v="153.05786785714284"/>
    <n v="3206.084950967173"/>
    <n v="2295.8680178571426"/>
    <n v="0"/>
    <n v="5501.9529688243156"/>
    <n v="2497.3064704923249"/>
    <n v="1788.3138295076747"/>
    <n v="0"/>
    <n v="4285.6202999999996"/>
  </r>
  <r>
    <x v="0"/>
    <x v="0"/>
    <x v="1"/>
    <n v="14"/>
    <n v="20"/>
    <n v="0"/>
    <n v="20260318"/>
    <n v="20260420"/>
    <n v="28329.907299999999"/>
    <n v="34"/>
    <n v="833.23256764705877"/>
    <n v="18796.209898434201"/>
    <n v="16664.651352941175"/>
    <n v="0"/>
    <n v="35460.861251375376"/>
    <n v="15016.411480793635"/>
    <n v="13313.495819206364"/>
    <n v="0"/>
    <n v="28329.907299999999"/>
  </r>
  <r>
    <x v="0"/>
    <x v="1"/>
    <x v="0"/>
    <n v="24"/>
    <n v="1"/>
    <n v="0"/>
    <n v="20260308"/>
    <n v="20260401"/>
    <n v="10488.950199999999"/>
    <n v="25"/>
    <n v="419.55800799999997"/>
    <n v="16224.796956830291"/>
    <n v="419.55800799999997"/>
    <n v="0"/>
    <n v="16644.354964830291"/>
    <n v="10224.55286761782"/>
    <n v="264.39733238217872"/>
    <n v="0"/>
    <n v="10488.950199999999"/>
  </r>
  <r>
    <x v="0"/>
    <x v="0"/>
    <x v="1"/>
    <n v="24"/>
    <n v="8"/>
    <n v="0"/>
    <n v="20260308"/>
    <n v="20260408"/>
    <n v="11403.7356"/>
    <n v="32"/>
    <n v="356.3667375"/>
    <n v="13781.116908405045"/>
    <n v="2850.9339"/>
    <n v="0"/>
    <n v="16632.050808405045"/>
    <n v="9448.9979201314909"/>
    <n v="1954.7376798685091"/>
    <n v="0"/>
    <n v="11403.7356"/>
  </r>
  <r>
    <x v="0"/>
    <x v="1"/>
    <x v="1"/>
    <n v="0"/>
    <n v="22"/>
    <n v="7"/>
    <n v="20260409"/>
    <n v="20260507"/>
    <n v="1561.8056999999999"/>
    <n v="29"/>
    <n v="53.855368965517236"/>
    <n v="0"/>
    <n v="1184.8181172413792"/>
    <n v="283.30444343496669"/>
    <n v="1468.122560676346"/>
    <n v="0"/>
    <n v="1260.4231680210487"/>
    <n v="301.38253197895119"/>
    <n v="1561.8056999999999"/>
  </r>
  <r>
    <x v="0"/>
    <x v="1"/>
    <x v="1"/>
    <n v="15"/>
    <n v="13"/>
    <n v="0"/>
    <n v="20260317"/>
    <n v="20260413"/>
    <n v="78.239500000000007"/>
    <n v="28"/>
    <n v="2.7942678571428572"/>
    <n v="67.535995858557371"/>
    <n v="36.32548214285714"/>
    <n v="0"/>
    <n v="103.86147800141451"/>
    <n v="50.875287446839877"/>
    <n v="27.364212553160126"/>
    <n v="0"/>
    <n v="78.239500000000007"/>
  </r>
  <r>
    <x v="0"/>
    <x v="0"/>
    <x v="1"/>
    <n v="15"/>
    <n v="13"/>
    <n v="0"/>
    <n v="20260317"/>
    <n v="20260413"/>
    <n v="90.276300000000006"/>
    <n v="28"/>
    <n v="3.2241535714285718"/>
    <n v="77.9261092277671"/>
    <n v="41.913996428571437"/>
    <n v="0"/>
    <n v="119.84010565633854"/>
    <n v="58.702224734784231"/>
    <n v="31.574075265215779"/>
    <n v="0"/>
    <n v="90.276300000000006"/>
  </r>
  <r>
    <x v="0"/>
    <x v="1"/>
    <x v="1"/>
    <n v="23"/>
    <n v="2"/>
    <n v="0"/>
    <n v="20260309"/>
    <n v="20260402"/>
    <n v="74.138199999999998"/>
    <n v="25"/>
    <n v="2.9655279999999999"/>
    <n v="109.90207167464408"/>
    <n v="5.9310559999999999"/>
    <n v="0"/>
    <n v="115.83312767464408"/>
    <n v="70.342068230388335"/>
    <n v="3.7961317696116601"/>
    <n v="0"/>
    <n v="74.138199999999998"/>
  </r>
  <r>
    <x v="0"/>
    <x v="1"/>
    <x v="0"/>
    <n v="0"/>
    <n v="30"/>
    <n v="0"/>
    <n v="20260401"/>
    <n v="20260430"/>
    <n v="10104.241099999999"/>
    <n v="30"/>
    <n v="336.80803666666662"/>
    <n v="0"/>
    <n v="10104.241099999999"/>
    <n v="0"/>
    <n v="10104.241099999999"/>
    <n v="0"/>
    <n v="10104.241099999999"/>
    <n v="0"/>
    <n v="10104.241099999999"/>
  </r>
  <r>
    <x v="0"/>
    <x v="1"/>
    <x v="1"/>
    <n v="24"/>
    <n v="3"/>
    <n v="0"/>
    <n v="20260308"/>
    <n v="20260403"/>
    <n v="98.305499999999995"/>
    <n v="27"/>
    <n v="3.6409444444444441"/>
    <n v="140.79956338769341"/>
    <n v="10.922833333333333"/>
    <n v="0"/>
    <n v="151.72239672102674"/>
    <n v="91.228268058928307"/>
    <n v="7.0772319410716822"/>
    <n v="0"/>
    <n v="98.305499999999995"/>
  </r>
  <r>
    <x v="0"/>
    <x v="0"/>
    <x v="0"/>
    <n v="30"/>
    <n v="10"/>
    <n v="0"/>
    <n v="20260302"/>
    <n v="20260410"/>
    <n v="10376.603999999999"/>
    <n v="40"/>
    <n v="259.4151"/>
    <n v="12539.855171337314"/>
    <n v="2594.1509999999998"/>
    <n v="0"/>
    <n v="15134.006171337314"/>
    <n v="8597.9290517773934"/>
    <n v="1778.6749482226062"/>
    <n v="0"/>
    <n v="10376.603999999999"/>
  </r>
  <r>
    <x v="0"/>
    <x v="0"/>
    <x v="1"/>
    <n v="30"/>
    <n v="5"/>
    <n v="0"/>
    <n v="20260302"/>
    <n v="20260405"/>
    <n v="12946.6708"/>
    <n v="35"/>
    <n v="369.90487999999999"/>
    <n v="17880.815813616511"/>
    <n v="1849.5244"/>
    <n v="0"/>
    <n v="19730.34021361651"/>
    <n v="11733.048364496217"/>
    <n v="1213.6224355037841"/>
    <n v="0"/>
    <n v="12946.670800000002"/>
  </r>
  <r>
    <x v="0"/>
    <x v="1"/>
    <x v="0"/>
    <n v="0"/>
    <n v="27"/>
    <n v="13"/>
    <n v="20260404"/>
    <n v="20260513"/>
    <n v="3922.6786999999999"/>
    <n v="40"/>
    <n v="98.066967500000004"/>
    <n v="0"/>
    <n v="2647.8081225000001"/>
    <n v="958.05940547784007"/>
    <n v="3605.8675279778399"/>
    <n v="0"/>
    <n v="2880.4442878805535"/>
    <n v="1042.2344121194467"/>
    <n v="3922.6787000000004"/>
  </r>
  <r>
    <x v="0"/>
    <x v="1"/>
    <x v="1"/>
    <n v="0"/>
    <n v="25"/>
    <n v="7"/>
    <n v="20260406"/>
    <n v="20260507"/>
    <n v="5822.5218999999997"/>
    <n v="32"/>
    <n v="181.95380937499999"/>
    <n v="0"/>
    <n v="4548.8452343749996"/>
    <n v="957.1621861668425"/>
    <n v="5506.0074205418423"/>
    <n v="0"/>
    <n v="4810.336959962292"/>
    <n v="1012.1849400377075"/>
    <n v="5822.5218999999997"/>
  </r>
  <r>
    <x v="0"/>
    <x v="0"/>
    <x v="0"/>
    <n v="23"/>
    <n v="2"/>
    <n v="0"/>
    <n v="20260309"/>
    <n v="20260402"/>
    <n v="10889.8969"/>
    <n v="25"/>
    <n v="435.59587599999998"/>
    <n v="16143.124996739662"/>
    <n v="871.19175199999995"/>
    <n v="0"/>
    <n v="17014.31674873966"/>
    <n v="10332.296586128265"/>
    <n v="557.60031387173592"/>
    <n v="0"/>
    <n v="10889.8969"/>
  </r>
  <r>
    <x v="0"/>
    <x v="0"/>
    <x v="0"/>
    <n v="22"/>
    <n v="4"/>
    <n v="0"/>
    <n v="20260310"/>
    <n v="20260404"/>
    <n v="40400.6351"/>
    <n v="26"/>
    <n v="1553.8705807692309"/>
    <n v="55082.486824225605"/>
    <n v="6215.4823230769234"/>
    <n v="0"/>
    <n v="61297.96914730253"/>
    <n v="36304.0975344291"/>
    <n v="4096.537565570904"/>
    <n v="0"/>
    <n v="40400.635100000007"/>
  </r>
  <r>
    <x v="0"/>
    <x v="1"/>
    <x v="0"/>
    <n v="0"/>
    <n v="19"/>
    <n v="0"/>
    <n v="20260403"/>
    <n v="20260421"/>
    <n v="17621.876899999999"/>
    <n v="19"/>
    <n v="927.46720526315789"/>
    <n v="0"/>
    <n v="17621.876899999999"/>
    <n v="0"/>
    <n v="17621.876899999999"/>
    <n v="0"/>
    <n v="17621.876899999999"/>
    <n v="0"/>
    <n v="17621.876899999999"/>
  </r>
  <r>
    <x v="0"/>
    <x v="1"/>
    <x v="0"/>
    <n v="28"/>
    <n v="13"/>
    <n v="0"/>
    <n v="20260304"/>
    <n v="20260413"/>
    <n v="7259.6660000000002"/>
    <n v="41"/>
    <n v="177.06502439024391"/>
    <n v="7988.5292374220689"/>
    <n v="2301.8453170731709"/>
    <n v="0"/>
    <n v="10290.37455449524"/>
    <n v="5635.7573563330443"/>
    <n v="1623.9086436669556"/>
    <n v="0"/>
    <n v="7259.6660000000002"/>
  </r>
  <r>
    <x v="0"/>
    <x v="1"/>
    <x v="1"/>
    <n v="0"/>
    <n v="20"/>
    <n v="0"/>
    <n v="20260403"/>
    <n v="20260422"/>
    <n v="210.82749999999999"/>
    <n v="20"/>
    <n v="10.541374999999999"/>
    <n v="0"/>
    <n v="210.82749999999999"/>
    <n v="0"/>
    <n v="210.82749999999999"/>
    <n v="0"/>
    <n v="210.82749999999999"/>
    <n v="0"/>
    <n v="210.82749999999999"/>
  </r>
  <r>
    <x v="0"/>
    <x v="1"/>
    <x v="0"/>
    <n v="31"/>
    <n v="1"/>
    <n v="0"/>
    <n v="20260228"/>
    <n v="20260401"/>
    <n v="461.91370000000001"/>
    <n v="32"/>
    <n v="14.434803125"/>
    <n v="721.02209406754992"/>
    <n v="14.434803125"/>
    <n v="0"/>
    <n v="735.45689719254995"/>
    <n v="452.84772571150995"/>
    <n v="9.065974288490029"/>
    <n v="0"/>
    <n v="461.91370000000001"/>
  </r>
  <r>
    <x v="0"/>
    <x v="1"/>
    <x v="0"/>
    <n v="0"/>
    <n v="15"/>
    <n v="8"/>
    <n v="20260416"/>
    <n v="20260508"/>
    <n v="760.04639999999995"/>
    <n v="23"/>
    <n v="33.045495652173912"/>
    <n v="0"/>
    <n v="495.68243478260865"/>
    <n v="198.66831019240325"/>
    <n v="694.35074497501193"/>
    <n v="0"/>
    <n v="542.58118512325427"/>
    <n v="217.46521487674565"/>
    <n v="760.04639999999995"/>
  </r>
  <r>
    <x v="0"/>
    <x v="1"/>
    <x v="0"/>
    <n v="0"/>
    <n v="27"/>
    <n v="10"/>
    <n v="20260404"/>
    <n v="20260510"/>
    <n v="104617.0184"/>
    <n v="37"/>
    <n v="2827.4869837837837"/>
    <n v="0"/>
    <n v="76342.148562162154"/>
    <n v="21248.435303859089"/>
    <n v="97590.583866021247"/>
    <n v="0"/>
    <n v="81838.714806624179"/>
    <n v="22778.303593375818"/>
    <n v="104617.0184"/>
  </r>
  <r>
    <x v="0"/>
    <x v="1"/>
    <x v="1"/>
    <n v="24"/>
    <n v="6"/>
    <n v="0"/>
    <n v="20260308"/>
    <n v="20260406"/>
    <n v="1937.4767999999999"/>
    <n v="30"/>
    <n v="64.582560000000001"/>
    <n v="2497.4828342504425"/>
    <n v="387.49536000000001"/>
    <n v="0"/>
    <n v="2884.9781942504424"/>
    <n v="1677.2449301009949"/>
    <n v="260.23186989900518"/>
    <n v="0"/>
    <n v="1937.4768000000001"/>
  </r>
  <r>
    <x v="0"/>
    <x v="1"/>
    <x v="0"/>
    <n v="27"/>
    <n v="11"/>
    <n v="0"/>
    <n v="20260305"/>
    <n v="20260411"/>
    <n v="268.45850000000002"/>
    <n v="38"/>
    <n v="7.0646973684210534"/>
    <n v="307.35008735572865"/>
    <n v="77.711671052631587"/>
    <n v="0"/>
    <n v="385.06175840836022"/>
    <n v="214.27924644463073"/>
    <n v="54.179253555369286"/>
    <n v="0"/>
    <n v="268.45850000000002"/>
  </r>
  <r>
    <x v="0"/>
    <x v="1"/>
    <x v="0"/>
    <n v="0"/>
    <n v="25"/>
    <n v="11"/>
    <n v="20260406"/>
    <n v="20260511"/>
    <n v="8397.0319"/>
    <n v="36"/>
    <n v="233.2508861111111"/>
    <n v="0"/>
    <n v="5831.2721527777776"/>
    <n v="1928.1567097133002"/>
    <n v="7759.4288624910778"/>
    <n v="0"/>
    <n v="6310.435877717021"/>
    <n v="2086.596022282979"/>
    <n v="8397.0319"/>
  </r>
  <r>
    <x v="0"/>
    <x v="0"/>
    <x v="0"/>
    <n v="23"/>
    <n v="7"/>
    <n v="0"/>
    <n v="20260309"/>
    <n v="20260407"/>
    <n v="36349.743900000001"/>
    <n v="30"/>
    <n v="1211.65813"/>
    <n v="44903.888497571163"/>
    <n v="8481.6069100000004"/>
    <n v="0"/>
    <n v="53385.495407571165"/>
    <n v="30574.687647637369"/>
    <n v="5775.0562523626304"/>
    <n v="0"/>
    <n v="36349.743900000001"/>
  </r>
  <r>
    <x v="0"/>
    <x v="1"/>
    <x v="0"/>
    <n v="30"/>
    <n v="11"/>
    <n v="0"/>
    <n v="20260302"/>
    <n v="20260411"/>
    <n v="4379.6553000000004"/>
    <n v="41"/>
    <n v="106.82086097560976"/>
    <n v="5163.6089260482695"/>
    <n v="1175.0294707317073"/>
    <n v="0"/>
    <n v="6338.6383967799766"/>
    <n v="3567.7736738513004"/>
    <n v="811.88162614870009"/>
    <n v="0"/>
    <n v="4379.6553000000004"/>
  </r>
  <r>
    <x v="0"/>
    <x v="1"/>
    <x v="0"/>
    <n v="0"/>
    <n v="22"/>
    <n v="0"/>
    <n v="20260406"/>
    <n v="20260427"/>
    <n v="337.52960000000002"/>
    <n v="22"/>
    <n v="15.342254545454546"/>
    <n v="0"/>
    <n v="337.52960000000002"/>
    <n v="0"/>
    <n v="337.52960000000002"/>
    <n v="0"/>
    <n v="337.52960000000002"/>
    <n v="0"/>
    <n v="337.52960000000002"/>
  </r>
  <r>
    <x v="0"/>
    <x v="1"/>
    <x v="1"/>
    <n v="0"/>
    <n v="29"/>
    <n v="10"/>
    <n v="20260402"/>
    <n v="20260510"/>
    <n v="5145.2767999999996"/>
    <n v="39"/>
    <n v="131.93017435897434"/>
    <n v="0"/>
    <n v="3825.975056410256"/>
    <n v="991.4492234875247"/>
    <n v="4817.4242798977812"/>
    <n v="0"/>
    <n v="4086.3539417259053"/>
    <n v="1058.9228582740936"/>
    <n v="5145.2767999999987"/>
  </r>
  <r>
    <x v="0"/>
    <x v="1"/>
    <x v="0"/>
    <n v="0"/>
    <n v="27"/>
    <n v="0"/>
    <n v="20260403"/>
    <n v="20260429"/>
    <n v="42.167499999999997"/>
    <n v="27"/>
    <n v="1.5617592592592591"/>
    <n v="0"/>
    <n v="42.167499999999997"/>
    <n v="0"/>
    <n v="42.167499999999997"/>
    <n v="0"/>
    <n v="42.167499999999997"/>
    <n v="0"/>
    <n v="42.167499999999997"/>
  </r>
  <r>
    <x v="0"/>
    <x v="1"/>
    <x v="0"/>
    <n v="30"/>
    <n v="14"/>
    <n v="0"/>
    <n v="20260302"/>
    <n v="20260414"/>
    <n v="13.4216"/>
    <n v="44"/>
    <n v="0.30503636363636361"/>
    <n v="14.745139438650192"/>
    <n v="4.2705090909090906"/>
    <n v="0"/>
    <n v="19.015648529559282"/>
    <n v="10.407394898057369"/>
    <n v="3.0142051019426295"/>
    <n v="0"/>
    <n v="13.421599999999998"/>
  </r>
  <r>
    <x v="0"/>
    <x v="1"/>
    <x v="0"/>
    <n v="0"/>
    <n v="12"/>
    <n v="0"/>
    <n v="20260406"/>
    <n v="20260417"/>
    <n v="800.95690000000002"/>
    <n v="12"/>
    <n v="66.746408333333335"/>
    <n v="0"/>
    <n v="800.95690000000002"/>
    <n v="0"/>
    <n v="800.95690000000002"/>
    <n v="0"/>
    <n v="800.95690000000002"/>
    <n v="0"/>
    <n v="800.95690000000002"/>
  </r>
  <r>
    <x v="0"/>
    <x v="0"/>
    <x v="0"/>
    <n v="21"/>
    <n v="7"/>
    <n v="0"/>
    <n v="20260311"/>
    <n v="20260407"/>
    <n v="3409.4827"/>
    <n v="28"/>
    <n v="121.76723928571428"/>
    <n v="4120.2708773679815"/>
    <n v="852.37067500000001"/>
    <n v="0"/>
    <n v="4972.6415523679816"/>
    <n v="2825.0562860317718"/>
    <n v="584.42641396822808"/>
    <n v="0"/>
    <n v="3409.4827"/>
  </r>
  <r>
    <x v="0"/>
    <x v="1"/>
    <x v="1"/>
    <n v="24"/>
    <n v="2"/>
    <n v="0"/>
    <n v="20260308"/>
    <n v="20260402"/>
    <n v="71.306799999999996"/>
    <n v="26"/>
    <n v="2.7425692307692304"/>
    <n v="106.0583472626293"/>
    <n v="5.4851384615384609"/>
    <n v="0"/>
    <n v="111.54348572416775"/>
    <n v="67.800296068282847"/>
    <n v="3.5065039317171562"/>
    <n v="0"/>
    <n v="71.30680000000001"/>
  </r>
  <r>
    <x v="0"/>
    <x v="0"/>
    <x v="0"/>
    <n v="31"/>
    <n v="3"/>
    <n v="0"/>
    <n v="20260227"/>
    <n v="20260403"/>
    <n v="39011.147700000001"/>
    <n v="34"/>
    <n v="1147.3866970588235"/>
    <n v="57312.257871102935"/>
    <n v="3442.1600911764708"/>
    <n v="0"/>
    <n v="60754.417962279404"/>
    <n v="36800.895010108332"/>
    <n v="2210.2526898916685"/>
    <n v="0"/>
    <n v="39011.147700000001"/>
  </r>
  <r>
    <x v="0"/>
    <x v="0"/>
    <x v="0"/>
    <n v="22"/>
    <n v="6"/>
    <n v="0"/>
    <n v="20260310"/>
    <n v="20260406"/>
    <n v="16141.3153"/>
    <n v="28"/>
    <n v="576.47554642857142"/>
    <n v="20435.232562882185"/>
    <n v="3458.8532785714287"/>
    <n v="0"/>
    <n v="23894.085841453612"/>
    <n v="13804.735373221614"/>
    <n v="2336.5799267783864"/>
    <n v="0"/>
    <n v="16141.3153"/>
  </r>
  <r>
    <x v="0"/>
    <x v="1"/>
    <x v="0"/>
    <n v="0"/>
    <n v="21"/>
    <n v="0"/>
    <n v="20260408"/>
    <n v="20260428"/>
    <n v="379.91649999999998"/>
    <n v="21"/>
    <n v="18.091261904761904"/>
    <n v="0"/>
    <n v="379.91649999999998"/>
    <n v="0"/>
    <n v="379.91649999999998"/>
    <n v="0"/>
    <n v="379.91649999999998"/>
    <n v="0"/>
    <n v="379.91649999999998"/>
  </r>
  <r>
    <x v="0"/>
    <x v="1"/>
    <x v="1"/>
    <n v="6"/>
    <n v="30"/>
    <n v="8"/>
    <n v="20260326"/>
    <n v="20260508"/>
    <n v="72.877399999999994"/>
    <n v="44"/>
    <n v="1.6563045454545453"/>
    <n v="16.012806594240413"/>
    <n v="49.689136363636358"/>
    <n v="9.9576422963352957"/>
    <n v="75.659585254212061"/>
    <n v="15.423977112353116"/>
    <n v="47.861947091834935"/>
    <n v="9.5914757958119523"/>
    <n v="72.877399999999994"/>
  </r>
  <r>
    <x v="0"/>
    <x v="0"/>
    <x v="1"/>
    <n v="6"/>
    <n v="30"/>
    <n v="8"/>
    <n v="20260326"/>
    <n v="20260508"/>
    <n v="11.507"/>
    <n v="44"/>
    <n v="0.26152272727272724"/>
    <n v="2.5283471347759994"/>
    <n v="7.8456818181818173"/>
    <n v="1.5722650630226962"/>
    <n v="11.946294015980513"/>
    <n v="2.4353737184895086"/>
    <n v="7.5571771932827536"/>
    <n v="1.5144490882277373"/>
    <n v="11.507"/>
  </r>
  <r>
    <x v="0"/>
    <x v="1"/>
    <x v="0"/>
    <n v="0"/>
    <n v="30"/>
    <n v="7"/>
    <n v="20260401"/>
    <n v="20260507"/>
    <n v="31542.7549"/>
    <n v="37"/>
    <n v="852.50688918918922"/>
    <n v="0"/>
    <n v="25575.206675675676"/>
    <n v="4484.5851844568915"/>
    <n v="30059.791860132565"/>
    <n v="0"/>
    <n v="26836.928194356566"/>
    <n v="4705.826705643437"/>
    <n v="31542.754900000004"/>
  </r>
  <r>
    <x v="0"/>
    <x v="1"/>
    <x v="0"/>
    <n v="0"/>
    <n v="11"/>
    <n v="4"/>
    <n v="20260420"/>
    <n v="20260504"/>
    <n v="3925.8953000000001"/>
    <n v="15"/>
    <n v="261.72635333333335"/>
    <n v="0"/>
    <n v="2878.9898866666667"/>
    <n v="786.74462772254674"/>
    <n v="3665.7345143892135"/>
    <n v="0"/>
    <n v="3083.3146318822946"/>
    <n v="842.5806681177055"/>
    <n v="3925.8953000000001"/>
  </r>
  <r>
    <x v="0"/>
    <x v="0"/>
    <x v="0"/>
    <n v="16"/>
    <n v="2"/>
    <n v="0"/>
    <n v="20260316"/>
    <n v="20260402"/>
    <n v="4719.3269"/>
    <n v="18"/>
    <n v="262.1848277777778"/>
    <n v="6759.3284913234429"/>
    <n v="524.3696555555556"/>
    <n v="0"/>
    <n v="7283.6981468789982"/>
    <n v="4379.5720431808104"/>
    <n v="339.75485681918923"/>
    <n v="0"/>
    <n v="4719.3269"/>
  </r>
  <r>
    <x v="0"/>
    <x v="1"/>
    <x v="0"/>
    <n v="1"/>
    <n v="30"/>
    <n v="4"/>
    <n v="20260331"/>
    <n v="20260504"/>
    <n v="9258.4372999999996"/>
    <n v="35"/>
    <n v="264.52677999999997"/>
    <n v="426.23161490859087"/>
    <n v="7935.8033999999989"/>
    <n v="795.16265902612326"/>
    <n v="9157.1976739347137"/>
    <n v="430.9439221937526"/>
    <n v="8023.5396046066217"/>
    <n v="803.95377319962483"/>
    <n v="9258.4372999999978"/>
  </r>
  <r>
    <x v="0"/>
    <x v="0"/>
    <x v="0"/>
    <n v="14"/>
    <n v="1"/>
    <n v="0"/>
    <n v="20260318"/>
    <n v="20260401"/>
    <n v="865.89980000000003"/>
    <n v="15"/>
    <n v="57.726653333333338"/>
    <n v="1302.2082128300615"/>
    <n v="57.726653333333338"/>
    <n v="0"/>
    <n v="1359.9348661633949"/>
    <n v="829.14399733643552"/>
    <n v="36.755802663564452"/>
    <n v="0"/>
    <n v="865.89979999999991"/>
  </r>
  <r>
    <x v="0"/>
    <x v="1"/>
    <x v="0"/>
    <n v="0"/>
    <n v="16"/>
    <n v="4"/>
    <n v="20260415"/>
    <n v="20260504"/>
    <n v="26304.8177"/>
    <n v="20"/>
    <n v="1315.2408849999999"/>
    <n v="0"/>
    <n v="21043.854159999999"/>
    <n v="3953.5900273555353"/>
    <n v="24997.444187355533"/>
    <n v="0"/>
    <n v="22144.453778366325"/>
    <n v="4160.3639216336742"/>
    <n v="26304.8177"/>
  </r>
  <r>
    <x v="0"/>
    <x v="0"/>
    <x v="1"/>
    <n v="8"/>
    <n v="1"/>
    <n v="0"/>
    <n v="20260324"/>
    <n v="20260401"/>
    <n v="6203.1157999999996"/>
    <n v="9"/>
    <n v="689.23508888888887"/>
    <n v="8884.5079500465636"/>
    <n v="689.23508888888887"/>
    <n v="0"/>
    <n v="9573.7430389354522"/>
    <n v="5756.5396748195526"/>
    <n v="446.57612518044687"/>
    <n v="0"/>
    <n v="6203.1157999999996"/>
  </r>
  <r>
    <x v="0"/>
    <x v="1"/>
    <x v="0"/>
    <n v="0"/>
    <n v="30"/>
    <n v="1"/>
    <n v="20260401"/>
    <n v="20260501"/>
    <n v="30443.4951"/>
    <n v="31"/>
    <n v="982.04822903225806"/>
    <n v="0"/>
    <n v="29461.446870967742"/>
    <n v="738.0047504917892"/>
    <n v="30199.451621459531"/>
    <n v="0"/>
    <n v="29699.526491331348"/>
    <n v="743.96860866865177"/>
    <n v="30443.4951"/>
  </r>
  <r>
    <x v="0"/>
    <x v="1"/>
    <x v="0"/>
    <n v="0"/>
    <n v="9"/>
    <n v="5"/>
    <n v="20260422"/>
    <n v="20260505"/>
    <n v="3586.1678999999999"/>
    <n v="14"/>
    <n v="256.15485000000001"/>
    <n v="0"/>
    <n v="2305.39365"/>
    <n v="962.49598834774758"/>
    <n v="3267.8896383477477"/>
    <n v="0"/>
    <n v="2529.9289815288612"/>
    <n v="1056.238918471139"/>
    <n v="3586.1679000000004"/>
  </r>
  <r>
    <x v="0"/>
    <x v="1"/>
    <x v="0"/>
    <n v="7"/>
    <n v="1"/>
    <n v="0"/>
    <n v="20260325"/>
    <n v="20260401"/>
    <n v="1649.1950999999999"/>
    <n v="8"/>
    <n v="206.14938749999999"/>
    <n v="2325.1774524522361"/>
    <n v="206.14938749999999"/>
    <n v="0"/>
    <n v="2531.3268399522362"/>
    <n v="1514.8858696125812"/>
    <n v="134.30923038741861"/>
    <n v="0"/>
    <n v="1649.1950999999999"/>
  </r>
  <r>
    <x v="0"/>
    <x v="1"/>
    <x v="0"/>
    <n v="6"/>
    <n v="30"/>
    <n v="2"/>
    <n v="20260326"/>
    <n v="20260502"/>
    <n v="2060.5621999999998"/>
    <n v="38"/>
    <n v="54.225321052631578"/>
    <n v="524.23908447832696"/>
    <n v="1626.7596315789474"/>
    <n v="81.500161297006969"/>
    <n v="2232.4988773542814"/>
    <n v="483.8646290916916"/>
    <n v="1501.4741728739336"/>
    <n v="75.223398034374597"/>
    <n v="2060.5621999999998"/>
  </r>
  <r>
    <x v="0"/>
    <x v="0"/>
    <x v="1"/>
    <n v="2"/>
    <n v="30"/>
    <n v="3"/>
    <n v="20260330"/>
    <n v="20260503"/>
    <n v="9.6399000000000008"/>
    <n v="35"/>
    <n v="0.27542571428571433"/>
    <n v="0.88758610366294233"/>
    <n v="8.2627714285714298"/>
    <n v="0.6209434920037149"/>
    <n v="9.7713010242380864"/>
    <n v="0.87565015748428121"/>
    <n v="8.1516565805009158"/>
    <n v="0.61259326201480468"/>
    <n v="9.6399000000000026"/>
  </r>
  <r>
    <x v="0"/>
    <x v="1"/>
    <x v="0"/>
    <n v="0"/>
    <n v="16"/>
    <n v="1"/>
    <n v="20260415"/>
    <n v="20260501"/>
    <n v="13724.022800000001"/>
    <n v="17"/>
    <n v="807.29545882352943"/>
    <n v="0"/>
    <n v="12916.727341176471"/>
    <n v="606.6788433082578"/>
    <n v="13523.406184484729"/>
    <n v="0"/>
    <n v="13108.344015804892"/>
    <n v="615.6787841951076"/>
    <n v="13724.022800000001"/>
  </r>
  <r>
    <x v="0"/>
    <x v="1"/>
    <x v="0"/>
    <n v="0"/>
    <n v="15"/>
    <n v="6"/>
    <n v="20260416"/>
    <n v="20260506"/>
    <n v="12960.5859"/>
    <n v="21"/>
    <n v="617.17075714285716"/>
    <n v="0"/>
    <n v="9257.5613571428567"/>
    <n v="2782.8059997718196"/>
    <n v="12040.367356914676"/>
    <n v="0"/>
    <n v="9965.0962165091387"/>
    <n v="2995.4896834908623"/>
    <n v="12960.585900000002"/>
  </r>
  <r>
    <x v="0"/>
    <x v="0"/>
    <x v="0"/>
    <n v="9"/>
    <n v="2"/>
    <n v="0"/>
    <n v="20260323"/>
    <n v="20260402"/>
    <n v="484.11869999999999"/>
    <n v="11"/>
    <n v="44.010790909090908"/>
    <n v="638.23070897878597"/>
    <n v="88.021581818181815"/>
    <n v="0"/>
    <n v="726.25229079696783"/>
    <n v="425.44364409759493"/>
    <n v="58.675055902405049"/>
    <n v="0"/>
    <n v="484.11869999999999"/>
  </r>
  <r>
    <x v="0"/>
    <x v="1"/>
    <x v="0"/>
    <n v="21"/>
    <n v="1"/>
    <n v="0"/>
    <n v="20260311"/>
    <n v="20260401"/>
    <n v="4126.7964000000002"/>
    <n v="22"/>
    <n v="187.58165454545454"/>
    <n v="6347.2509755981027"/>
    <n v="187.58165454545454"/>
    <n v="0"/>
    <n v="6534.8326301435573"/>
    <n v="4008.3371615623632"/>
    <n v="118.4592384376369"/>
    <n v="0"/>
    <n v="4126.7964000000002"/>
  </r>
  <r>
    <x v="0"/>
    <x v="0"/>
    <x v="0"/>
    <n v="21"/>
    <n v="1"/>
    <n v="0"/>
    <n v="20260311"/>
    <n v="20260401"/>
    <n v="86662.722599999994"/>
    <n v="22"/>
    <n v="3939.2146636363632"/>
    <n v="133292.26771905631"/>
    <n v="3939.2146636363632"/>
    <n v="0"/>
    <n v="137231.48238269269"/>
    <n v="84175.078644478417"/>
    <n v="2487.6439555215711"/>
    <n v="0"/>
    <n v="86662.722599999994"/>
  </r>
  <r>
    <x v="0"/>
    <x v="1"/>
    <x v="0"/>
    <n v="0"/>
    <n v="9"/>
    <n v="1"/>
    <n v="20260422"/>
    <n v="20260501"/>
    <n v="1265.8249000000001"/>
    <n v="10"/>
    <n v="126.58249000000001"/>
    <n v="0"/>
    <n v="1139.2424100000001"/>
    <n v="95.126162022752169"/>
    <n v="1234.3685720227522"/>
    <n v="0"/>
    <n v="1168.2745675798269"/>
    <n v="97.550332420173277"/>
    <n v="1265.8249000000001"/>
  </r>
  <r>
    <x v="0"/>
    <x v="1"/>
    <x v="0"/>
    <n v="0"/>
    <n v="16"/>
    <n v="7"/>
    <n v="20260415"/>
    <n v="20260507"/>
    <n v="4095.422"/>
    <n v="23"/>
    <n v="178.06182608695653"/>
    <n v="0"/>
    <n v="2848.9892173913045"/>
    <n v="936.68853274180833"/>
    <n v="3785.6777501331126"/>
    <n v="0"/>
    <n v="3082.0935876691738"/>
    <n v="1013.3284123308265"/>
    <n v="4095.4220000000005"/>
  </r>
  <r>
    <x v="0"/>
    <x v="1"/>
    <x v="0"/>
    <n v="20"/>
    <n v="1"/>
    <n v="0"/>
    <n v="20260312"/>
    <n v="20260401"/>
    <n v="236.65790000000001"/>
    <n v="21"/>
    <n v="11.26942380952381"/>
    <n v="363.16812304770485"/>
    <n v="11.26942380952381"/>
    <n v="0"/>
    <n v="374.43754685722865"/>
    <n v="229.53522174468921"/>
    <n v="7.1226782553108103"/>
    <n v="0"/>
    <n v="236.65790000000001"/>
  </r>
  <r>
    <x v="0"/>
    <x v="1"/>
    <x v="0"/>
    <n v="18"/>
    <n v="8"/>
    <n v="0"/>
    <n v="20260314"/>
    <n v="20260408"/>
    <n v="427.4898"/>
    <n v="26"/>
    <n v="16.441915384615385"/>
    <n v="476.87101713614925"/>
    <n v="131.53532307692308"/>
    <n v="0"/>
    <n v="608.40634021307233"/>
    <n v="335.06800022816219"/>
    <n v="92.421799771837854"/>
    <n v="0"/>
    <n v="427.48980000000006"/>
  </r>
  <r>
    <x v="0"/>
    <x v="1"/>
    <x v="0"/>
    <n v="0"/>
    <n v="7"/>
    <n v="5"/>
    <n v="20260424"/>
    <n v="20260505"/>
    <n v="590.34479999999996"/>
    <n v="12"/>
    <n v="49.195399999999999"/>
    <n v="0"/>
    <n v="344.36779999999999"/>
    <n v="184.85058996604118"/>
    <n v="529.21838996604117"/>
    <n v="0"/>
    <n v="384.14337799275086"/>
    <n v="206.20142200724908"/>
    <n v="590.34479999999996"/>
  </r>
  <r>
    <x v="0"/>
    <x v="1"/>
    <x v="0"/>
    <n v="0"/>
    <n v="7"/>
    <n v="4"/>
    <n v="20260424"/>
    <n v="20260504"/>
    <n v="2867.5232000000001"/>
    <n v="11"/>
    <n v="260.68392727272726"/>
    <n v="0"/>
    <n v="1824.7874909090908"/>
    <n v="783.61111406396878"/>
    <n v="2608.3986049730597"/>
    <n v="0"/>
    <n v="2006.0662719552602"/>
    <n v="861.45692804473981"/>
    <n v="2867.5232000000001"/>
  </r>
  <r>
    <x v="0"/>
    <x v="1"/>
    <x v="1"/>
    <n v="0"/>
    <n v="18"/>
    <n v="3"/>
    <n v="20260413"/>
    <n v="20260503"/>
    <n v="42.2258"/>
    <n v="21"/>
    <n v="2.0107523809523808"/>
    <n v="0"/>
    <n v="36.193542857142859"/>
    <n v="4.5332136406412342"/>
    <n v="40.726756497784095"/>
    <n v="0"/>
    <n v="37.52573083153078"/>
    <n v="4.7000691684692235"/>
    <n v="42.225800000000007"/>
  </r>
  <r>
    <x v="0"/>
    <x v="0"/>
    <x v="0"/>
    <n v="16"/>
    <n v="8"/>
    <n v="0"/>
    <n v="20260316"/>
    <n v="20260408"/>
    <n v="982.61670000000004"/>
    <n v="24"/>
    <n v="40.942362500000002"/>
    <n v="1055.5259039737562"/>
    <n v="327.53890000000001"/>
    <n v="0"/>
    <n v="1383.0648039737562"/>
    <n v="749.91235229704375"/>
    <n v="232.70434770295628"/>
    <n v="0"/>
    <n v="982.61670000000004"/>
  </r>
  <r>
    <x v="0"/>
    <x v="1"/>
    <x v="1"/>
    <n v="0"/>
    <n v="21"/>
    <n v="0"/>
    <n v="20260404"/>
    <n v="20260424"/>
    <n v="1860.4675"/>
    <n v="21"/>
    <n v="88.593690476190474"/>
    <n v="0"/>
    <n v="1860.4675"/>
    <n v="0"/>
    <n v="1860.4675"/>
    <n v="0"/>
    <n v="1860.4675"/>
    <n v="0"/>
    <n v="1860.4675"/>
  </r>
  <r>
    <x v="0"/>
    <x v="1"/>
    <x v="0"/>
    <n v="8"/>
    <n v="6"/>
    <n v="0"/>
    <n v="20260324"/>
    <n v="20260406"/>
    <n v="795.6241"/>
    <n v="14"/>
    <n v="56.830292857142858"/>
    <n v="732.56454413358551"/>
    <n v="340.98175714285713"/>
    <n v="0"/>
    <n v="1073.5463012764426"/>
    <n v="542.91650525477337"/>
    <n v="252.70759474522669"/>
    <n v="0"/>
    <n v="795.6241"/>
  </r>
  <r>
    <x v="0"/>
    <x v="1"/>
    <x v="0"/>
    <n v="13"/>
    <n v="3"/>
    <n v="0"/>
    <n v="20260319"/>
    <n v="20260403"/>
    <n v="102.7784"/>
    <n v="16"/>
    <n v="6.4236500000000003"/>
    <n v="134.5554324231309"/>
    <n v="19.270949999999999"/>
    <n v="0"/>
    <n v="153.82638242313089"/>
    <n v="89.902602127877842"/>
    <n v="12.875797872122169"/>
    <n v="0"/>
    <n v="102.7784"/>
  </r>
  <r>
    <x v="0"/>
    <x v="0"/>
    <x v="0"/>
    <n v="19"/>
    <n v="3"/>
    <n v="0"/>
    <n v="20260313"/>
    <n v="20260403"/>
    <n v="4073.6795000000002"/>
    <n v="22"/>
    <n v="185.16725"/>
    <n v="5668.8346787345035"/>
    <n v="555.50175000000002"/>
    <n v="0"/>
    <n v="6224.3364287345039"/>
    <n v="3710.1168749557728"/>
    <n v="363.56262504422699"/>
    <n v="0"/>
    <n v="4073.6794999999997"/>
  </r>
  <r>
    <x v="0"/>
    <x v="1"/>
    <x v="0"/>
    <n v="14"/>
    <n v="6"/>
    <n v="0"/>
    <n v="20260318"/>
    <n v="20260406"/>
    <n v="126.39570000000001"/>
    <n v="20"/>
    <n v="6.3197850000000004"/>
    <n v="142.56284497906506"/>
    <n v="37.918710000000004"/>
    <n v="0"/>
    <n v="180.48155497906507"/>
    <n v="99.840288871683114"/>
    <n v="26.555411128316887"/>
    <n v="0"/>
    <n v="126.39570000000001"/>
  </r>
  <r>
    <x v="0"/>
    <x v="1"/>
    <x v="1"/>
    <n v="0"/>
    <n v="9"/>
    <n v="2"/>
    <n v="20260422"/>
    <n v="20260502"/>
    <n v="84.384399999999999"/>
    <n v="11"/>
    <n v="7.6713090909090909"/>
    <n v="0"/>
    <n v="69.041781818181818"/>
    <n v="11.529907359357994"/>
    <n v="80.57168917753981"/>
    <n v="0"/>
    <n v="72.308889054323728"/>
    <n v="12.075510945676275"/>
    <n v="84.384399999999999"/>
  </r>
  <r>
    <x v="0"/>
    <x v="1"/>
    <x v="1"/>
    <n v="0"/>
    <n v="13"/>
    <n v="2"/>
    <n v="20260418"/>
    <n v="20260502"/>
    <n v="42.2258"/>
    <n v="15"/>
    <n v="2.8150533333333332"/>
    <n v="0"/>
    <n v="36.59569333333333"/>
    <n v="4.2309993979318188"/>
    <n v="40.826692731265148"/>
    <n v="0"/>
    <n v="37.849806687164907"/>
    <n v="4.3759933128350932"/>
    <n v="42.2258"/>
  </r>
  <r>
    <x v="0"/>
    <x v="0"/>
    <x v="0"/>
    <n v="26"/>
    <n v="7"/>
    <n v="0"/>
    <n v="20260306"/>
    <n v="20260407"/>
    <n v="1165544.8306"/>
    <n v="33"/>
    <n v="35319.540321212124"/>
    <n v="1479668.4193276111"/>
    <n v="247236.78224848487"/>
    <n v="0"/>
    <n v="1726905.201576096"/>
    <n v="998676.63585433643"/>
    <n v="166868.19474566358"/>
    <n v="0"/>
    <n v="1165544.8306"/>
  </r>
  <r>
    <x v="0"/>
    <x v="1"/>
    <x v="0"/>
    <n v="0"/>
    <n v="29"/>
    <n v="2"/>
    <n v="20260402"/>
    <n v="20260502"/>
    <n v="7391846.9473000001"/>
    <n v="31"/>
    <n v="238446.67571935485"/>
    <n v="0"/>
    <n v="6914953.5958612906"/>
    <n v="358383.17145232321"/>
    <n v="7273336.7673136136"/>
    <n v="0"/>
    <n v="7027624.3577770367"/>
    <n v="364222.58952296397"/>
    <n v="7391846.947300001"/>
  </r>
  <r>
    <x v="0"/>
    <x v="1"/>
    <x v="1"/>
    <n v="15"/>
    <n v="15"/>
    <n v="0"/>
    <n v="20260317"/>
    <n v="20260415"/>
    <n v="8862442.7125000004"/>
    <n v="30"/>
    <n v="295414.75708333333"/>
    <n v="7140020.5101800049"/>
    <n v="4431221.3562500002"/>
    <n v="0"/>
    <n v="11571241.866430005"/>
    <n v="5468559.3359797299"/>
    <n v="3393883.3765202705"/>
    <n v="0"/>
    <n v="8862442.7125000004"/>
  </r>
  <r>
    <x v="0"/>
    <x v="0"/>
    <x v="1"/>
    <n v="27"/>
    <n v="1"/>
    <n v="0"/>
    <n v="20260305"/>
    <n v="20260401"/>
    <n v="1531103.3407000001"/>
    <n v="28"/>
    <n v="54682.262167857145"/>
    <n v="2378955.1310753445"/>
    <n v="54682.262167857145"/>
    <n v="0"/>
    <n v="2433637.3932432015"/>
    <n v="1496700.4364240004"/>
    <n v="34402.904275999696"/>
    <n v="0"/>
    <n v="1531103.3407000001"/>
  </r>
  <r>
    <x v="0"/>
    <x v="0"/>
    <x v="0"/>
    <n v="26"/>
    <n v="6"/>
    <n v="0"/>
    <n v="20260306"/>
    <n v="20260406"/>
    <n v="1130150.92"/>
    <n v="32"/>
    <n v="35317.216249999998"/>
    <n v="1479571.0552411713"/>
    <n v="211903.29749999999"/>
    <n v="0"/>
    <n v="1691474.3527411711"/>
    <n v="988568.69249973819"/>
    <n v="141582.22750026186"/>
    <n v="0"/>
    <n v="1130150.92"/>
  </r>
  <r>
    <x v="0"/>
    <x v="1"/>
    <x v="1"/>
    <n v="0"/>
    <n v="14"/>
    <n v="15"/>
    <n v="20260417"/>
    <n v="20260515"/>
    <n v="3089183.6949999998"/>
    <n v="29"/>
    <n v="106523.57568965516"/>
    <n v="0"/>
    <n v="1491330.0596551723"/>
    <n v="1200779.6955523279"/>
    <n v="2692109.7552075004"/>
    <n v="0"/>
    <n v="1711294.4579018624"/>
    <n v="1377889.2370981371"/>
    <n v="3089183.6949999994"/>
  </r>
  <r>
    <x v="0"/>
    <x v="0"/>
    <x v="1"/>
    <n v="30"/>
    <n v="1"/>
    <n v="0"/>
    <n v="20260302"/>
    <n v="20260401"/>
    <n v="4828980.0928999996"/>
    <n v="31"/>
    <n v="155773.55138387094"/>
    <n v="7529930.8863617145"/>
    <n v="155773.55138387094"/>
    <n v="0"/>
    <n v="7685704.4377455851"/>
    <n v="4731106.5167397261"/>
    <n v="97873.576160273951"/>
    <n v="0"/>
    <n v="4828980.0928999996"/>
  </r>
  <r>
    <x v="0"/>
    <x v="0"/>
    <x v="0"/>
    <n v="30"/>
    <n v="2"/>
    <n v="0"/>
    <n v="20260302"/>
    <n v="20260402"/>
    <n v="5576148.5460999999"/>
    <n v="32"/>
    <n v="174254.642065625"/>
    <n v="8423287.5204109568"/>
    <n v="348509.28413124999"/>
    <n v="0"/>
    <n v="8771796.8045422062"/>
    <n v="5354604.4792100191"/>
    <n v="221544.06688998116"/>
    <n v="0"/>
    <n v="5576148.5460999999"/>
  </r>
  <r>
    <x v="0"/>
    <x v="1"/>
    <x v="1"/>
    <n v="28"/>
    <n v="2"/>
    <n v="0"/>
    <n v="20260304"/>
    <n v="20260402"/>
    <n v="198289.11319999999"/>
    <n v="30"/>
    <n v="6609.6371066666661"/>
    <n v="298202.76170964551"/>
    <n v="13219.274213333332"/>
    <n v="0"/>
    <n v="311422.03592297883"/>
    <n v="189872.1167818089"/>
    <n v="8416.9964181911037"/>
    <n v="0"/>
    <n v="198289.11319999999"/>
  </r>
  <r>
    <x v="0"/>
    <x v="1"/>
    <x v="0"/>
    <n v="0"/>
    <n v="24"/>
    <n v="5"/>
    <n v="20260407"/>
    <n v="20260505"/>
    <n v="1155212.3918999999"/>
    <n v="29"/>
    <n v="39834.910065517237"/>
    <n v="0"/>
    <n v="956037.84157241369"/>
    <n v="149678.76319442579"/>
    <n v="1105716.6047668394"/>
    <n v="0"/>
    <n v="998833.47771798167"/>
    <n v="156378.91418201834"/>
    <n v="1155212.3918999999"/>
  </r>
  <r>
    <x v="0"/>
    <x v="1"/>
    <x v="0"/>
    <n v="29"/>
    <n v="1"/>
    <n v="0"/>
    <n v="20260303"/>
    <n v="20260401"/>
    <n v="203001.72159999999"/>
    <n v="30"/>
    <n v="6766.7240533333334"/>
    <n v="316193.16541750182"/>
    <n v="6766.7240533333334"/>
    <n v="0"/>
    <n v="322959.88947083516"/>
    <n v="198748.38650420989"/>
    <n v="4253.3350957901066"/>
    <n v="0"/>
    <n v="203001.72159999999"/>
  </r>
  <r>
    <x v="0"/>
    <x v="1"/>
    <x v="1"/>
    <n v="30"/>
    <n v="3"/>
    <n v="0"/>
    <n v="20260302"/>
    <n v="20260403"/>
    <n v="64339.962399999997"/>
    <n v="33"/>
    <n v="1949.6958303030301"/>
    <n v="94246.261455714222"/>
    <n v="5849.0874909090908"/>
    <n v="0"/>
    <n v="100095.34894662331"/>
    <n v="60580.246557058257"/>
    <n v="3759.7158429417377"/>
    <n v="0"/>
    <n v="64339.962399999997"/>
  </r>
  <r>
    <x v="0"/>
    <x v="1"/>
    <x v="0"/>
    <n v="26"/>
    <n v="1"/>
    <n v="0"/>
    <n v="20260306"/>
    <n v="20260401"/>
    <n v="41387.407299999999"/>
    <n v="27"/>
    <n v="1532.8669370370369"/>
    <n v="64217.56277510096"/>
    <n v="1532.8669370370369"/>
    <n v="0"/>
    <n v="65750.429712137993"/>
    <n v="40422.525571658327"/>
    <n v="964.88172834167153"/>
    <n v="0"/>
    <n v="41387.407299999999"/>
  </r>
  <r>
    <x v="0"/>
    <x v="1"/>
    <x v="1"/>
    <n v="14"/>
    <n v="15"/>
    <n v="0"/>
    <n v="20260318"/>
    <n v="20260415"/>
    <n v="596265.86730000004"/>
    <n v="29"/>
    <n v="20560.891975862069"/>
    <n v="463816.29365336435"/>
    <n v="308413.37963793101"/>
    <n v="0"/>
    <n v="772229.6732912953"/>
    <n v="358128.97919913719"/>
    <n v="238136.88810086291"/>
    <n v="0"/>
    <n v="596265.86730000004"/>
  </r>
  <r>
    <x v="0"/>
    <x v="1"/>
    <x v="0"/>
    <n v="25"/>
    <n v="2"/>
    <n v="0"/>
    <n v="20260307"/>
    <n v="20260402"/>
    <n v="49506.036800000002"/>
    <n v="27"/>
    <n v="1833.5569185185186"/>
    <n v="73860.189732677332"/>
    <n v="3667.1138370370372"/>
    <n v="0"/>
    <n v="77527.303569714364"/>
    <n v="47164.355041354858"/>
    <n v="2341.6817586451452"/>
    <n v="0"/>
    <n v="49506.036800000002"/>
  </r>
  <r>
    <x v="0"/>
    <x v="1"/>
    <x v="1"/>
    <n v="16"/>
    <n v="15"/>
    <n v="0"/>
    <n v="20260316"/>
    <n v="20260415"/>
    <n v="4830965.8070999999"/>
    <n v="31"/>
    <n v="155837.60668064517"/>
    <n v="4017614.5346936113"/>
    <n v="2337564.1002096776"/>
    <n v="0"/>
    <n v="6355178.6349032894"/>
    <n v="3054038.2195736929"/>
    <n v="1776927.5875263067"/>
    <n v="0"/>
    <n v="4830965.8070999999"/>
  </r>
  <r>
    <x v="0"/>
    <x v="0"/>
    <x v="1"/>
    <n v="16"/>
    <n v="15"/>
    <n v="0"/>
    <n v="20260316"/>
    <n v="20260415"/>
    <n v="5178562.5158000002"/>
    <n v="31"/>
    <n v="167050.40373548388"/>
    <n v="4306689.1514156656"/>
    <n v="2505756.0560322581"/>
    <n v="0"/>
    <n v="6812445.2074479237"/>
    <n v="3273781.7813698961"/>
    <n v="1904780.7344301038"/>
    <n v="0"/>
    <n v="5178562.5158000002"/>
  </r>
  <r>
    <x v="0"/>
    <x v="1"/>
    <x v="0"/>
    <n v="0"/>
    <n v="26"/>
    <n v="7"/>
    <n v="20260405"/>
    <n v="20260507"/>
    <n v="274379.42200000002"/>
    <n v="33"/>
    <n v="8314.52793939394"/>
    <n v="0"/>
    <n v="216177.72642424243"/>
    <n v="43738.30790766095"/>
    <n v="259916.03433190339"/>
    <n v="0"/>
    <n v="228207.23537900325"/>
    <n v="46172.186620996748"/>
    <n v="274379.42200000002"/>
  </r>
  <r>
    <x v="0"/>
    <x v="1"/>
    <x v="1"/>
    <n v="29"/>
    <n v="1"/>
    <n v="0"/>
    <n v="20260303"/>
    <n v="20260401"/>
    <n v="41852.259599999998"/>
    <n v="30"/>
    <n v="1395.0753199999999"/>
    <n v="65188.602039910133"/>
    <n v="1395.0753199999999"/>
    <n v="0"/>
    <n v="66583.677359910129"/>
    <n v="40975.362186560531"/>
    <n v="876.89741343946514"/>
    <n v="0"/>
    <n v="41852.259599999998"/>
  </r>
  <r>
    <x v="0"/>
    <x v="1"/>
    <x v="0"/>
    <n v="0"/>
    <n v="26"/>
    <n v="6"/>
    <n v="20260405"/>
    <n v="20260506"/>
    <n v="334344.78330000001"/>
    <n v="32"/>
    <n v="10448.274478125"/>
    <n v="0"/>
    <n v="271655.13643125002"/>
    <n v="47110.982768515853"/>
    <n v="318766.11919976585"/>
    <n v="0"/>
    <n v="284931.40347051329"/>
    <n v="49413.379829486716"/>
    <n v="334344.78330000001"/>
  </r>
  <r>
    <x v="0"/>
    <x v="1"/>
    <x v="0"/>
    <n v="0"/>
    <n v="25"/>
    <n v="5"/>
    <n v="20260406"/>
    <n v="20260505"/>
    <n v="473585.1164"/>
    <n v="30"/>
    <n v="15786.170546666666"/>
    <n v="0"/>
    <n v="394654.26366666664"/>
    <n v="59316.174659742093"/>
    <n v="453970.43832640874"/>
    <n v="0"/>
    <n v="411706.07074187981"/>
    <n v="61879.045658120202"/>
    <n v="473585.1164"/>
  </r>
  <r>
    <x v="0"/>
    <x v="0"/>
    <x v="1"/>
    <n v="25"/>
    <n v="7"/>
    <n v="0"/>
    <n v="20260307"/>
    <n v="20260407"/>
    <n v="303844.7781"/>
    <n v="32"/>
    <n v="9495.1493156249999"/>
    <n v="382488.00618571072"/>
    <n v="66466.045209375006"/>
    <n v="0"/>
    <n v="448954.05139508576"/>
    <n v="258861.64297721451"/>
    <n v="44983.135122785476"/>
    <n v="0"/>
    <n v="303844.7781"/>
  </r>
  <r>
    <x v="0"/>
    <x v="1"/>
    <x v="1"/>
    <n v="0"/>
    <n v="26"/>
    <n v="10"/>
    <n v="20260405"/>
    <n v="20260510"/>
    <n v="5780.1943000000001"/>
    <n v="36"/>
    <n v="160.56095277777777"/>
    <n v="0"/>
    <n v="4174.5847722222225"/>
    <n v="1206.6082132265171"/>
    <n v="5381.1929854487398"/>
    <n v="0"/>
    <n v="4484.1192595239145"/>
    <n v="1296.075040476085"/>
    <n v="5780.1942999999992"/>
  </r>
  <r>
    <x v="0"/>
    <x v="1"/>
    <x v="0"/>
    <n v="23"/>
    <n v="4"/>
    <n v="0"/>
    <n v="20260309"/>
    <n v="20260404"/>
    <n v="20228.204600000001"/>
    <n v="27"/>
    <n v="749.192762962963"/>
    <n v="27764.983751048785"/>
    <n v="2996.771051851852"/>
    <n v="0"/>
    <n v="30761.754802900636"/>
    <n v="18257.598619794331"/>
    <n v="1970.6059802056695"/>
    <n v="0"/>
    <n v="20228.204600000001"/>
  </r>
  <r>
    <x v="0"/>
    <x v="1"/>
    <x v="1"/>
    <n v="0"/>
    <n v="24"/>
    <n v="2"/>
    <n v="20260407"/>
    <n v="20260502"/>
    <n v="54821.7716"/>
    <n v="26"/>
    <n v="2108.5296769230767"/>
    <n v="0"/>
    <n v="50604.712246153838"/>
    <n v="3169.1008081254504"/>
    <n v="53773.813054279286"/>
    <n v="0"/>
    <n v="51590.910502144434"/>
    <n v="3230.861097855568"/>
    <n v="54821.7716"/>
  </r>
  <r>
    <x v="0"/>
    <x v="1"/>
    <x v="1"/>
    <n v="27"/>
    <n v="5"/>
    <n v="0"/>
    <n v="20260305"/>
    <n v="20260405"/>
    <n v="34082.500899999999"/>
    <n v="32"/>
    <n v="1065.078153125"/>
    <n v="46336.289628894512"/>
    <n v="5325.3907656249994"/>
    <n v="0"/>
    <n v="51661.680394519513"/>
    <n v="30569.207600668597"/>
    <n v="3513.2932993313993"/>
    <n v="0"/>
    <n v="34082.500899999999"/>
  </r>
  <r>
    <x v="0"/>
    <x v="0"/>
    <x v="1"/>
    <n v="27"/>
    <n v="5"/>
    <n v="0"/>
    <n v="20260305"/>
    <n v="20260405"/>
    <n v="184045.50380000001"/>
    <n v="32"/>
    <n v="5751.4219937500002"/>
    <n v="250215.96255492527"/>
    <n v="28757.109968750003"/>
    <n v="0"/>
    <n v="278973.07252367528"/>
    <n v="165073.7200928774"/>
    <n v="18971.783707122609"/>
    <n v="0"/>
    <n v="184045.50380000001"/>
  </r>
  <r>
    <x v="0"/>
    <x v="1"/>
    <x v="0"/>
    <n v="14"/>
    <n v="16"/>
    <n v="0"/>
    <n v="20260318"/>
    <n v="20260416"/>
    <n v="490700.92690000002"/>
    <n v="30"/>
    <n v="16356.697563333333"/>
    <n v="368977.32107831852"/>
    <n v="261707.16101333333"/>
    <n v="0"/>
    <n v="630684.48209165188"/>
    <n v="287080.97091232741"/>
    <n v="203619.95598767255"/>
    <n v="0"/>
    <n v="490700.92689999996"/>
  </r>
  <r>
    <x v="0"/>
    <x v="1"/>
    <x v="1"/>
    <n v="29"/>
    <n v="2"/>
    <n v="0"/>
    <n v="20260303"/>
    <n v="20260402"/>
    <n v="29680.2075"/>
    <n v="31"/>
    <n v="957.42604838709678"/>
    <n v="44738.276676667316"/>
    <n v="1914.8520967741936"/>
    <n v="0"/>
    <n v="46653.128773441509"/>
    <n v="28461.999652889393"/>
    <n v="1218.2078471106081"/>
    <n v="0"/>
    <n v="29680.2075"/>
  </r>
  <r>
    <x v="0"/>
    <x v="1"/>
    <x v="1"/>
    <n v="22"/>
    <n v="1"/>
    <n v="0"/>
    <n v="20260310"/>
    <n v="20260401"/>
    <n v="6727.1148999999996"/>
    <n v="23"/>
    <n v="292.48325652173912"/>
    <n v="10368.112584826607"/>
    <n v="292.48325652173912"/>
    <n v="0"/>
    <n v="10660.595841348346"/>
    <n v="6542.5503125951882"/>
    <n v="184.56458740481213"/>
    <n v="0"/>
    <n v="6727.1149000000005"/>
  </r>
  <r>
    <x v="0"/>
    <x v="1"/>
    <x v="0"/>
    <n v="0"/>
    <n v="17"/>
    <n v="4"/>
    <n v="20260414"/>
    <n v="20260504"/>
    <n v="6291.0532000000003"/>
    <n v="21"/>
    <n v="299.57396190476192"/>
    <n v="0"/>
    <n v="5092.7573523809524"/>
    <n v="900.51384636058799"/>
    <n v="5993.2711987415405"/>
    <n v="0"/>
    <n v="5345.7963733139904"/>
    <n v="945.25682668600973"/>
    <n v="6291.0532000000003"/>
  </r>
  <r>
    <x v="0"/>
    <x v="0"/>
    <x v="0"/>
    <n v="30"/>
    <n v="6"/>
    <n v="0"/>
    <n v="20260302"/>
    <n v="20260406"/>
    <n v="528699.27930000005"/>
    <n v="36"/>
    <n v="14686.091091666669"/>
    <n v="709910.31486820604"/>
    <n v="88116.546550000014"/>
    <n v="0"/>
    <n v="798026.86141820601"/>
    <n v="470321.35130319302"/>
    <n v="58377.927996807004"/>
    <n v="0"/>
    <n v="528699.27930000005"/>
  </r>
  <r>
    <x v="0"/>
    <x v="1"/>
    <x v="0"/>
    <n v="13"/>
    <n v="16"/>
    <n v="0"/>
    <n v="20260319"/>
    <n v="20260416"/>
    <n v="28580.3999"/>
    <n v="29"/>
    <n v="985.53103103448279"/>
    <n v="20643.80127299259"/>
    <n v="15768.496496551725"/>
    <n v="0"/>
    <n v="36412.297769544311"/>
    <n v="16203.539243045168"/>
    <n v="12376.860656954834"/>
    <n v="0"/>
    <n v="28580.399900000004"/>
  </r>
  <r>
    <x v="0"/>
    <x v="1"/>
    <x v="0"/>
    <n v="0"/>
    <n v="22"/>
    <n v="2"/>
    <n v="20260409"/>
    <n v="20260502"/>
    <n v="5445.3418000000001"/>
    <n v="24"/>
    <n v="226.88924166666666"/>
    <n v="0"/>
    <n v="4991.5633166666667"/>
    <n v="341.0124538394324"/>
    <n v="5332.5757705060987"/>
    <n v="0"/>
    <n v="5097.1180805203994"/>
    <n v="348.22371947960079"/>
    <n v="5445.3418000000001"/>
  </r>
  <r>
    <x v="0"/>
    <x v="1"/>
    <x v="1"/>
    <n v="0"/>
    <n v="22"/>
    <n v="6"/>
    <n v="20260409"/>
    <n v="20260506"/>
    <n v="39379.140399999997"/>
    <n v="28"/>
    <n v="1406.3978714285713"/>
    <n v="0"/>
    <n v="30940.753171428569"/>
    <n v="6341.4093901597944"/>
    <n v="37282.16256158836"/>
    <n v="0"/>
    <n v="32681.051191884548"/>
    <n v="6698.0892081154507"/>
    <n v="39379.140399999997"/>
  </r>
  <r>
    <x v="0"/>
    <x v="1"/>
    <x v="1"/>
    <n v="30"/>
    <n v="4"/>
    <n v="0"/>
    <n v="20260302"/>
    <n v="20260404"/>
    <n v="2596.1821"/>
    <n v="34"/>
    <n v="76.358297058823524"/>
    <n v="3691.080381394911"/>
    <n v="305.4331882352941"/>
    <n v="0"/>
    <n v="3996.513569630205"/>
    <n v="2397.7691177276106"/>
    <n v="198.41298227238931"/>
    <n v="0"/>
    <n v="2596.1821"/>
  </r>
  <r>
    <x v="0"/>
    <x v="1"/>
    <x v="1"/>
    <n v="25"/>
    <n v="8"/>
    <n v="0"/>
    <n v="20260307"/>
    <n v="20260408"/>
    <n v="19537.157899999998"/>
    <n v="33"/>
    <n v="592.03508787878786"/>
    <n v="23848.631846379154"/>
    <n v="4736.2807030303029"/>
    <n v="0"/>
    <n v="28584.912549409455"/>
    <n v="16300.014396626304"/>
    <n v="3237.1435033736952"/>
    <n v="0"/>
    <n v="19537.157899999998"/>
  </r>
  <r>
    <x v="0"/>
    <x v="1"/>
    <x v="1"/>
    <n v="27"/>
    <n v="8"/>
    <n v="0"/>
    <n v="20260305"/>
    <n v="20260408"/>
    <n v="12121.264300000001"/>
    <n v="35"/>
    <n v="346.32183714285719"/>
    <n v="15066.752522881696"/>
    <n v="2770.5746971428575"/>
    <n v="0"/>
    <n v="17837.327220024552"/>
    <n v="10238.534463140799"/>
    <n v="1882.7298368592024"/>
    <n v="0"/>
    <n v="12121.264300000001"/>
  </r>
  <r>
    <x v="0"/>
    <x v="1"/>
    <x v="1"/>
    <n v="24"/>
    <n v="4"/>
    <n v="0"/>
    <n v="20260308"/>
    <n v="20260404"/>
    <n v="361.0883"/>
    <n v="28"/>
    <n v="12.896010714285714"/>
    <n v="498.70375824740228"/>
    <n v="51.584042857142855"/>
    <n v="0"/>
    <n v="550.28780110454511"/>
    <n v="327.23984051202717"/>
    <n v="33.848459487972846"/>
    <n v="0"/>
    <n v="361.0883"/>
  </r>
  <r>
    <x v="0"/>
    <x v="1"/>
    <x v="0"/>
    <n v="0"/>
    <n v="22"/>
    <n v="7"/>
    <n v="20260409"/>
    <n v="20260507"/>
    <n v="242248.71669999999"/>
    <n v="29"/>
    <n v="8353.4040241379298"/>
    <n v="0"/>
    <n v="183774.88853103446"/>
    <n v="43942.814306240798"/>
    <n v="227717.70283727525"/>
    <n v="0"/>
    <n v="195501.84440487542"/>
    <n v="46746.872295124573"/>
    <n v="242248.71669999999"/>
  </r>
  <r>
    <x v="0"/>
    <x v="1"/>
    <x v="1"/>
    <n v="22"/>
    <n v="2"/>
    <n v="0"/>
    <n v="20260310"/>
    <n v="20260402"/>
    <n v="4561.6274999999996"/>
    <n v="24"/>
    <n v="190.06781249999997"/>
    <n v="6737.6317611714085"/>
    <n v="380.13562499999995"/>
    <n v="0"/>
    <n v="7117.7673861714084"/>
    <n v="4318.0065685126037"/>
    <n v="243.62093148739612"/>
    <n v="0"/>
    <n v="4561.6274999999996"/>
  </r>
  <r>
    <x v="0"/>
    <x v="1"/>
    <x v="1"/>
    <n v="14"/>
    <n v="20"/>
    <n v="0"/>
    <n v="20260318"/>
    <n v="20260420"/>
    <n v="40471.296199999997"/>
    <n v="34"/>
    <n v="1190.3322411764705"/>
    <n v="26851.728464247477"/>
    <n v="23806.644823529408"/>
    <n v="0"/>
    <n v="50658.373287776885"/>
    <n v="21452.016431422624"/>
    <n v="19019.279768577373"/>
    <n v="0"/>
    <n v="40471.296199999997"/>
  </r>
  <r>
    <x v="0"/>
    <x v="1"/>
    <x v="0"/>
    <n v="0"/>
    <n v="24"/>
    <n v="9"/>
    <n v="20260407"/>
    <n v="20260509"/>
    <n v="38746.942600000002"/>
    <n v="33"/>
    <n v="1174.1497757575758"/>
    <n v="0"/>
    <n v="28179.594618181818"/>
    <n v="7941.3136545918751"/>
    <n v="36120.908272773697"/>
    <n v="0"/>
    <n v="30228.285704126778"/>
    <n v="8518.6568958732169"/>
    <n v="38746.942599999995"/>
  </r>
  <r>
    <x v="0"/>
    <x v="1"/>
    <x v="0"/>
    <n v="0"/>
    <n v="29"/>
    <n v="14"/>
    <n v="20260402"/>
    <n v="20260514"/>
    <n v="15854.6018"/>
    <n v="43"/>
    <n v="368.71166976744189"/>
    <n v="0"/>
    <n v="10692.638423255816"/>
    <n v="3879.1918576706807"/>
    <n v="14571.830280926497"/>
    <n v="0"/>
    <n v="11633.921142630961"/>
    <n v="4220.6806573690392"/>
    <n v="15854.6018"/>
  </r>
  <r>
    <x v="0"/>
    <x v="1"/>
    <x v="0"/>
    <n v="0"/>
    <n v="26"/>
    <n v="0"/>
    <n v="20260404"/>
    <n v="20260429"/>
    <n v="7296.5129999999999"/>
    <n v="26"/>
    <n v="280.6351153846154"/>
    <n v="0"/>
    <n v="7296.5130000000008"/>
    <n v="0"/>
    <n v="7296.5130000000008"/>
    <n v="0"/>
    <n v="7296.5129999999999"/>
    <n v="0"/>
    <n v="7296.5129999999999"/>
  </r>
  <r>
    <x v="0"/>
    <x v="1"/>
    <x v="0"/>
    <n v="24"/>
    <n v="14"/>
    <n v="0"/>
    <n v="20260308"/>
    <n v="20260414"/>
    <n v="1629.6484"/>
    <n v="38"/>
    <n v="42.885484210526315"/>
    <n v="1658.4316362545528"/>
    <n v="600.39677894736838"/>
    <n v="0"/>
    <n v="2258.8284152019214"/>
    <n v="1196.4877209542353"/>
    <n v="433.1606790457646"/>
    <n v="0"/>
    <n v="1629.6484"/>
  </r>
  <r>
    <x v="0"/>
    <x v="1"/>
    <x v="0"/>
    <n v="30"/>
    <n v="13"/>
    <n v="0"/>
    <n v="20260302"/>
    <n v="20260413"/>
    <n v="6401.9005999999999"/>
    <n v="43"/>
    <n v="148.88140930232558"/>
    <n v="7196.7719317640131"/>
    <n v="1935.4583209302325"/>
    <n v="0"/>
    <n v="9132.2302526942458"/>
    <n v="5045.1004051754444"/>
    <n v="1356.8001948245549"/>
    <n v="0"/>
    <n v="6401.900599999999"/>
  </r>
  <r>
    <x v="0"/>
    <x v="0"/>
    <x v="0"/>
    <n v="26"/>
    <n v="8"/>
    <n v="0"/>
    <n v="20260306"/>
    <n v="20260408"/>
    <n v="27102.7637"/>
    <n v="34"/>
    <n v="797.14010882352943"/>
    <n v="33395.198071056679"/>
    <n v="6377.1208705882354"/>
    <n v="0"/>
    <n v="39772.318941644917"/>
    <n v="22757.087997874522"/>
    <n v="4345.675702125478"/>
    <n v="0"/>
    <n v="27102.7637"/>
  </r>
  <r>
    <x v="0"/>
    <x v="1"/>
    <x v="0"/>
    <n v="0"/>
    <n v="23"/>
    <n v="11"/>
    <n v="20260408"/>
    <n v="20260511"/>
    <n v="21696.435000000001"/>
    <n v="34"/>
    <n v="638.13044117647064"/>
    <n v="0"/>
    <n v="14677.000147058825"/>
    <n v="5275.0731726721124"/>
    <n v="19952.073319730938"/>
    <n v="0"/>
    <n v="15960.174894242346"/>
    <n v="5736.2601057576549"/>
    <n v="21696.435000000001"/>
  </r>
  <r>
    <x v="0"/>
    <x v="0"/>
    <x v="0"/>
    <n v="28"/>
    <n v="13"/>
    <n v="0"/>
    <n v="20260304"/>
    <n v="20260413"/>
    <n v="15636.2037"/>
    <n v="41"/>
    <n v="381.37082195121951"/>
    <n v="17206.062981373681"/>
    <n v="4957.8206853658539"/>
    <n v="0"/>
    <n v="22163.883666739537"/>
    <n v="12138.554311919715"/>
    <n v="3497.6493880802823"/>
    <n v="0"/>
    <n v="15636.203699999998"/>
  </r>
  <r>
    <x v="0"/>
    <x v="1"/>
    <x v="1"/>
    <n v="0"/>
    <n v="24"/>
    <n v="8"/>
    <n v="20260407"/>
    <n v="20260508"/>
    <n v="46806.478300000002"/>
    <n v="32"/>
    <n v="1462.7024468750001"/>
    <n v="0"/>
    <n v="35104.858724999998"/>
    <n v="8793.7135667030907"/>
    <n v="43898.572291703087"/>
    <n v="0"/>
    <n v="37430.256210105348"/>
    <n v="9376.2220898946525"/>
    <n v="46806.478300000002"/>
  </r>
  <r>
    <x v="0"/>
    <x v="1"/>
    <x v="1"/>
    <n v="0"/>
    <n v="28"/>
    <n v="9"/>
    <n v="20260403"/>
    <n v="20260509"/>
    <n v="1855.8910000000001"/>
    <n v="37"/>
    <n v="50.159216216216215"/>
    <n v="0"/>
    <n v="1404.4580540540539"/>
    <n v="339.24979322544829"/>
    <n v="1743.7078472795022"/>
    <n v="0"/>
    <n v="1494.8152389536322"/>
    <n v="361.07576104636814"/>
    <n v="1855.8910000000003"/>
  </r>
  <r>
    <x v="0"/>
    <x v="1"/>
    <x v="1"/>
    <n v="0"/>
    <n v="19"/>
    <n v="0"/>
    <n v="20260403"/>
    <n v="20260421"/>
    <n v="4300.0752000000002"/>
    <n v="19"/>
    <n v="226.31974736842108"/>
    <n v="0"/>
    <n v="4300.0752000000002"/>
    <n v="0"/>
    <n v="4300.0752000000002"/>
    <n v="0"/>
    <n v="4300.0752000000002"/>
    <n v="0"/>
    <n v="4300.0752000000002"/>
  </r>
  <r>
    <x v="0"/>
    <x v="1"/>
    <x v="1"/>
    <n v="0"/>
    <n v="25"/>
    <n v="2"/>
    <n v="20260406"/>
    <n v="20260502"/>
    <n v="1223.5447999999999"/>
    <n v="27"/>
    <n v="45.316474074074073"/>
    <n v="0"/>
    <n v="1132.9118518518519"/>
    <n v="68.110245817888682"/>
    <n v="1201.0220976697406"/>
    <n v="0"/>
    <n v="1154.1572864322727"/>
    <n v="69.387513567727311"/>
    <n v="1223.5448000000001"/>
  </r>
  <r>
    <x v="0"/>
    <x v="1"/>
    <x v="1"/>
    <n v="24"/>
    <n v="5"/>
    <n v="0"/>
    <n v="20260308"/>
    <n v="20260405"/>
    <n v="936.91790000000003"/>
    <n v="29"/>
    <n v="32.307513793103446"/>
    <n v="1249.3691968169928"/>
    <n v="161.53756896551724"/>
    <n v="0"/>
    <n v="1410.9067657825101"/>
    <n v="829.64827485057492"/>
    <n v="107.26962514942511"/>
    <n v="0"/>
    <n v="936.91790000000003"/>
  </r>
  <r>
    <x v="0"/>
    <x v="1"/>
    <x v="1"/>
    <n v="29"/>
    <n v="5"/>
    <n v="0"/>
    <n v="20260303"/>
    <n v="20260405"/>
    <n v="403.21319999999997"/>
    <n v="34"/>
    <n v="11.859211764705881"/>
    <n v="554.15318811347902"/>
    <n v="59.296058823529407"/>
    <n v="0"/>
    <n v="613.44924693700841"/>
    <n v="364.23857619044696"/>
    <n v="38.974623809553066"/>
    <n v="0"/>
    <n v="403.21320000000003"/>
  </r>
  <r>
    <x v="0"/>
    <x v="1"/>
    <x v="1"/>
    <n v="0"/>
    <n v="27"/>
    <n v="9"/>
    <n v="20260404"/>
    <n v="20260509"/>
    <n v="2615.5479999999998"/>
    <n v="36"/>
    <n v="72.654111111111106"/>
    <n v="0"/>
    <n v="1961.6609999999998"/>
    <n v="491.39308846406277"/>
    <n v="2453.0540884640627"/>
    <n v="0"/>
    <n v="2091.6043104620544"/>
    <n v="523.94368953794526"/>
    <n v="2615.5479999999998"/>
  </r>
  <r>
    <x v="0"/>
    <x v="1"/>
    <x v="1"/>
    <n v="0"/>
    <n v="25"/>
    <n v="1"/>
    <n v="20260406"/>
    <n v="20260501"/>
    <n v="7088.2875000000004"/>
    <n v="26"/>
    <n v="272.62644230769234"/>
    <n v="0"/>
    <n v="6815.6610576923085"/>
    <n v="204.87752391857703"/>
    <n v="7020.5385816108856"/>
    <n v="0"/>
    <n v="6881.4328869327246"/>
    <n v="206.85461306727575"/>
    <n v="7088.2875000000004"/>
  </r>
  <r>
    <x v="0"/>
    <x v="1"/>
    <x v="1"/>
    <n v="28"/>
    <n v="5"/>
    <n v="0"/>
    <n v="20260304"/>
    <n v="20260405"/>
    <n v="1469.6451"/>
    <n v="33"/>
    <n v="44.534700000000001"/>
    <n v="2009.2435208758429"/>
    <n v="222.67349999999999"/>
    <n v="0"/>
    <n v="2231.9170208758428"/>
    <n v="1323.0218092978971"/>
    <n v="146.62329070210282"/>
    <n v="0"/>
    <n v="1469.6451"/>
  </r>
  <r>
    <x v="0"/>
    <x v="0"/>
    <x v="1"/>
    <n v="28"/>
    <n v="5"/>
    <n v="0"/>
    <n v="20260304"/>
    <n v="20260405"/>
    <n v="8230.0121999999992"/>
    <n v="33"/>
    <n v="249.39430909090908"/>
    <n v="11251.763224726255"/>
    <n v="1246.9715454545453"/>
    <n v="0"/>
    <n v="12498.734770180801"/>
    <n v="7408.9218079846396"/>
    <n v="821.09039201535973"/>
    <n v="0"/>
    <n v="8230.0121999999992"/>
  </r>
  <r>
    <x v="0"/>
    <x v="0"/>
    <x v="1"/>
    <n v="22"/>
    <n v="8"/>
    <n v="0"/>
    <n v="20260310"/>
    <n v="20260408"/>
    <n v="1450.9884"/>
    <n v="30"/>
    <n v="48.366279999999996"/>
    <n v="1714.5153617091764"/>
    <n v="386.93023999999997"/>
    <n v="0"/>
    <n v="2101.4456017091766"/>
    <n v="1183.8240777864794"/>
    <n v="267.16432221352051"/>
    <n v="0"/>
    <n v="1450.9884"/>
  </r>
  <r>
    <x v="0"/>
    <x v="1"/>
    <x v="0"/>
    <n v="30"/>
    <n v="9"/>
    <n v="0"/>
    <n v="20260302"/>
    <n v="20260409"/>
    <n v="807.93449999999996"/>
    <n v="39"/>
    <n v="20.716269230769228"/>
    <n v="1001.4028321569469"/>
    <n v="186.44642307692305"/>
    <n v="0"/>
    <n v="1187.8492552338701"/>
    <n v="681.12000991069635"/>
    <n v="126.8144900893036"/>
    <n v="0"/>
    <n v="807.93449999999996"/>
  </r>
  <r>
    <x v="0"/>
    <x v="1"/>
    <x v="0"/>
    <n v="15"/>
    <n v="20"/>
    <n v="0"/>
    <n v="20260317"/>
    <n v="20260420"/>
    <n v="15920.1685"/>
    <n v="35"/>
    <n v="454.86195714285714"/>
    <n v="10993.776124679074"/>
    <n v="9097.2391428571427"/>
    <n v="0"/>
    <n v="20091.015267536219"/>
    <n v="8711.4944678269148"/>
    <n v="7208.6740321730831"/>
    <n v="0"/>
    <n v="15920.168499999998"/>
  </r>
  <r>
    <x v="0"/>
    <x v="0"/>
    <x v="0"/>
    <n v="15"/>
    <n v="20"/>
    <n v="0"/>
    <n v="20260317"/>
    <n v="20260420"/>
    <n v="11940.126399999999"/>
    <n v="35"/>
    <n v="341.14646857142856"/>
    <n v="8245.332110773219"/>
    <n v="6822.9293714285714"/>
    <n v="0"/>
    <n v="15068.261482201789"/>
    <n v="6533.6208645501529"/>
    <n v="5406.5055354498463"/>
    <n v="0"/>
    <n v="11940.126399999999"/>
  </r>
  <r>
    <x v="0"/>
    <x v="1"/>
    <x v="1"/>
    <n v="0"/>
    <n v="28"/>
    <n v="10"/>
    <n v="20260403"/>
    <n v="20260510"/>
    <n v="20793.440600000002"/>
    <n v="38"/>
    <n v="547.19580526315792"/>
    <n v="0"/>
    <n v="15321.482547368421"/>
    <n v="4112.1514381359939"/>
    <n v="19433.633985504413"/>
    <n v="0"/>
    <n v="16393.554468005117"/>
    <n v="4399.8861319948855"/>
    <n v="20793.440600000002"/>
  </r>
  <r>
    <x v="0"/>
    <x v="0"/>
    <x v="0"/>
    <n v="29"/>
    <n v="8"/>
    <n v="0"/>
    <n v="20260303"/>
    <n v="20260408"/>
    <n v="20494.478500000001"/>
    <n v="37"/>
    <n v="553.90482432432441"/>
    <n v="25882.675037835746"/>
    <n v="4431.2385945945953"/>
    <n v="0"/>
    <n v="30313.91363243034"/>
    <n v="17498.628963497638"/>
    <n v="2995.8495365023646"/>
    <n v="0"/>
    <n v="20494.478500000005"/>
  </r>
  <r>
    <x v="0"/>
    <x v="1"/>
    <x v="0"/>
    <n v="23"/>
    <n v="7"/>
    <n v="0"/>
    <n v="20260309"/>
    <n v="20260407"/>
    <n v="11062.9656"/>
    <n v="30"/>
    <n v="368.76551999999998"/>
    <n v="13666.400927651801"/>
    <n v="2581.3586399999999"/>
    <n v="0"/>
    <n v="16247.759567651801"/>
    <n v="9305.3397737021514"/>
    <n v="1757.6258262978492"/>
    <n v="0"/>
    <n v="11062.965600000001"/>
  </r>
  <r>
    <x v="0"/>
    <x v="1"/>
    <x v="0"/>
    <n v="0"/>
    <n v="21"/>
    <n v="0"/>
    <n v="20260407"/>
    <n v="20260427"/>
    <n v="3038.7624000000001"/>
    <n v="21"/>
    <n v="144.70297142857143"/>
    <n v="0"/>
    <n v="3038.7624000000001"/>
    <n v="0"/>
    <n v="3038.7624000000001"/>
    <n v="0"/>
    <n v="3038.7624000000001"/>
    <n v="0"/>
    <n v="3038.7624000000001"/>
  </r>
  <r>
    <x v="0"/>
    <x v="1"/>
    <x v="0"/>
    <n v="0"/>
    <n v="23"/>
    <n v="0"/>
    <n v="20260402"/>
    <n v="20260424"/>
    <n v="25973.951499999999"/>
    <n v="23"/>
    <n v="1129.3022391304348"/>
    <n v="0"/>
    <n v="25973.951500000003"/>
    <n v="0"/>
    <n v="25973.951500000003"/>
    <n v="0"/>
    <n v="25973.951499999999"/>
    <n v="0"/>
    <n v="25973.951499999999"/>
  </r>
  <r>
    <x v="0"/>
    <x v="1"/>
    <x v="0"/>
    <n v="23"/>
    <n v="6"/>
    <n v="0"/>
    <n v="20260309"/>
    <n v="20260406"/>
    <n v="1881.8005000000001"/>
    <n v="29"/>
    <n v="64.889672413793107"/>
    <n v="2404.8025945345535"/>
    <n v="389.33803448275864"/>
    <n v="0"/>
    <n v="2794.1406290173122"/>
    <n v="1619.5887486121162"/>
    <n v="262.21175138788368"/>
    <n v="0"/>
    <n v="1881.8004999999998"/>
  </r>
  <r>
    <x v="0"/>
    <x v="1"/>
    <x v="0"/>
    <n v="0"/>
    <n v="29"/>
    <n v="11"/>
    <n v="20260402"/>
    <n v="20260511"/>
    <n v="16616.713500000002"/>
    <n v="40"/>
    <n v="415.41783750000002"/>
    <n v="0"/>
    <n v="12047.117287500001"/>
    <n v="3434.0306442765482"/>
    <n v="15481.14793177655"/>
    <n v="0"/>
    <n v="12930.79152459933"/>
    <n v="3685.9219754006704"/>
    <n v="16616.713500000002"/>
  </r>
  <r>
    <x v="0"/>
    <x v="1"/>
    <x v="1"/>
    <n v="0"/>
    <n v="23"/>
    <n v="3"/>
    <n v="20260408"/>
    <n v="20260503"/>
    <n v="211.04990000000001"/>
    <n v="26"/>
    <n v="8.1173038461538471"/>
    <n v="0"/>
    <n v="186.69798846153847"/>
    <n v="18.30035009242922"/>
    <n v="204.9983385539677"/>
    <n v="0"/>
    <n v="192.20932263622106"/>
    <n v="18.840577363778952"/>
    <n v="211.04990000000001"/>
  </r>
  <r>
    <x v="0"/>
    <x v="1"/>
    <x v="0"/>
    <n v="0"/>
    <n v="21"/>
    <n v="0"/>
    <n v="20260404"/>
    <n v="20260424"/>
    <n v="1012.3279"/>
    <n v="21"/>
    <n v="48.206090476190475"/>
    <n v="0"/>
    <n v="1012.3279"/>
    <n v="0"/>
    <n v="1012.3279"/>
    <n v="0"/>
    <n v="1012.3279"/>
    <n v="0"/>
    <n v="1012.3279"/>
  </r>
  <r>
    <x v="0"/>
    <x v="0"/>
    <x v="0"/>
    <n v="28"/>
    <n v="11"/>
    <n v="0"/>
    <n v="20260304"/>
    <n v="20260411"/>
    <n v="5176.3841000000002"/>
    <n v="39"/>
    <n v="132.72779743589743"/>
    <n v="5988.1949814009795"/>
    <n v="1460.0057717948716"/>
    <n v="0"/>
    <n v="7448.2007531958516"/>
    <n v="4161.7027140579748"/>
    <n v="1014.6813859420251"/>
    <n v="0"/>
    <n v="5176.3841000000002"/>
  </r>
  <r>
    <x v="0"/>
    <x v="1"/>
    <x v="0"/>
    <n v="0"/>
    <n v="18"/>
    <n v="0"/>
    <n v="20260403"/>
    <n v="20260420"/>
    <n v="2697.5805"/>
    <n v="18"/>
    <n v="149.86558333333335"/>
    <n v="0"/>
    <n v="2697.5805"/>
    <n v="0"/>
    <n v="2697.5805"/>
    <n v="0"/>
    <n v="2697.5805"/>
    <n v="0"/>
    <n v="2697.5805"/>
  </r>
  <r>
    <x v="0"/>
    <x v="0"/>
    <x v="0"/>
    <n v="31"/>
    <n v="2"/>
    <n v="0"/>
    <n v="20260227"/>
    <n v="20260402"/>
    <n v="59916.9882"/>
    <n v="33"/>
    <n v="1815.6663090909092"/>
    <n v="90692.994769100915"/>
    <n v="3631.3326181818184"/>
    <n v="0"/>
    <n v="94324.327387282727"/>
    <n v="57610.281969903845"/>
    <n v="2306.7062300961625"/>
    <n v="0"/>
    <n v="59916.988200000007"/>
  </r>
  <r>
    <x v="0"/>
    <x v="0"/>
    <x v="0"/>
    <n v="31"/>
    <n v="1"/>
    <n v="0"/>
    <n v="20260227"/>
    <n v="20260401"/>
    <n v="34837.9041"/>
    <n v="32"/>
    <n v="1088.684503125"/>
    <n v="54380.068326846515"/>
    <n v="1088.684503125"/>
    <n v="0"/>
    <n v="55468.752829971512"/>
    <n v="34154.141001318407"/>
    <n v="683.76309868159649"/>
    <n v="0"/>
    <n v="34837.9041"/>
  </r>
  <r>
    <x v="0"/>
    <x v="1"/>
    <x v="1"/>
    <n v="31"/>
    <n v="3"/>
    <n v="0"/>
    <n v="20260226"/>
    <n v="20260403"/>
    <n v="82.1614"/>
    <n v="34"/>
    <n v="2.4165117647058825"/>
    <n v="120.70537837190665"/>
    <n v="7.2495352941176474"/>
    <n v="0"/>
    <n v="127.9549136660243"/>
    <n v="77.506385573052867"/>
    <n v="4.6550144269471305"/>
    <n v="0"/>
    <n v="82.1614"/>
  </r>
  <r>
    <x v="0"/>
    <x v="1"/>
    <x v="1"/>
    <n v="14"/>
    <n v="4"/>
    <n v="0"/>
    <n v="20260318"/>
    <n v="20260404"/>
    <n v="908.49620000000004"/>
    <n v="18"/>
    <n v="50.472011111111115"/>
    <n v="1138.5566907442237"/>
    <n v="201.88804444444446"/>
    <n v="0"/>
    <n v="1340.4447351886681"/>
    <n v="771.66510477592635"/>
    <n v="136.83109522407372"/>
    <n v="0"/>
    <n v="908.49620000000004"/>
  </r>
  <r>
    <x v="0"/>
    <x v="1"/>
    <x v="0"/>
    <n v="14"/>
    <n v="8"/>
    <n v="0"/>
    <n v="20260318"/>
    <n v="20260408"/>
    <n v="842.61839999999995"/>
    <n v="22"/>
    <n v="38.300836363636364"/>
    <n v="863.99714501009601"/>
    <n v="306.40669090909091"/>
    <n v="0"/>
    <n v="1170.4038359191868"/>
    <n v="622.02452656968467"/>
    <n v="220.5938734303154"/>
    <n v="0"/>
    <n v="842.61840000000007"/>
  </r>
  <r>
    <x v="0"/>
    <x v="1"/>
    <x v="0"/>
    <n v="0"/>
    <n v="14"/>
    <n v="4"/>
    <n v="20260417"/>
    <n v="20260504"/>
    <n v="4011.4495999999999"/>
    <n v="18"/>
    <n v="222.85831111111111"/>
    <n v="0"/>
    <n v="3120.0163555555555"/>
    <n v="669.90800420729488"/>
    <n v="3789.9243597628501"/>
    <n v="0"/>
    <n v="3302.3847373750623"/>
    <n v="709.06486262493797"/>
    <n v="4011.4496000000004"/>
  </r>
  <r>
    <x v="0"/>
    <x v="0"/>
    <x v="0"/>
    <n v="14"/>
    <n v="7"/>
    <n v="0"/>
    <n v="20260318"/>
    <n v="20260407"/>
    <n v="5195.9027999999998"/>
    <n v="21"/>
    <n v="247.42394285714286"/>
    <n v="5581.4337370103431"/>
    <n v="1731.9675999999999"/>
    <n v="0"/>
    <n v="7313.401337010343"/>
    <n v="3965.4034895344198"/>
    <n v="1230.4993104655803"/>
    <n v="0"/>
    <n v="5195.9027999999998"/>
  </r>
  <r>
    <x v="0"/>
    <x v="1"/>
    <x v="0"/>
    <n v="0"/>
    <n v="18"/>
    <n v="1"/>
    <n v="20260413"/>
    <n v="20260501"/>
    <n v="13132.834000000001"/>
    <n v="19"/>
    <n v="691.20178947368424"/>
    <n v="0"/>
    <n v="12441.632210526317"/>
    <n v="519.43498200967542"/>
    <n v="12961.067192535993"/>
    <n v="0"/>
    <n v="12606.515195291195"/>
    <n v="526.31880470880526"/>
    <n v="13132.834000000001"/>
  </r>
  <r>
    <x v="0"/>
    <x v="1"/>
    <x v="0"/>
    <n v="9"/>
    <n v="3"/>
    <n v="0"/>
    <n v="20260323"/>
    <n v="20260403"/>
    <n v="2502.7559999999999"/>
    <n v="12"/>
    <n v="208.56299999999999"/>
    <n v="3024.5153201563335"/>
    <n v="625.68899999999996"/>
    <n v="0"/>
    <n v="3650.2043201563333"/>
    <n v="2073.7534671179687"/>
    <n v="429.00253288203123"/>
    <n v="0"/>
    <n v="2502.7559999999999"/>
  </r>
  <r>
    <x v="0"/>
    <x v="1"/>
    <x v="0"/>
    <n v="14"/>
    <n v="1"/>
    <n v="0"/>
    <n v="20260318"/>
    <n v="20260401"/>
    <n v="61.85"/>
    <n v="15"/>
    <n v="4.1233333333333331"/>
    <n v="93.014893828984938"/>
    <n v="4.1233333333333331"/>
    <n v="0"/>
    <n v="97.138227162318273"/>
    <n v="59.224584917629663"/>
    <n v="2.6254150823703402"/>
    <n v="0"/>
    <n v="61.85"/>
  </r>
  <r>
    <x v="0"/>
    <x v="1"/>
    <x v="0"/>
    <n v="0"/>
    <n v="8"/>
    <n v="1"/>
    <n v="20260423"/>
    <n v="20260501"/>
    <n v="13876.3529"/>
    <n v="9"/>
    <n v="1541.8169888888888"/>
    <n v="0"/>
    <n v="12334.53591111111"/>
    <n v="1158.6684121514461"/>
    <n v="13493.204323262556"/>
    <n v="0"/>
    <n v="12684.783322017907"/>
    <n v="1191.5695779820928"/>
    <n v="13876.3529"/>
  </r>
  <r>
    <x v="0"/>
    <x v="0"/>
    <x v="1"/>
    <n v="13"/>
    <n v="1"/>
    <n v="0"/>
    <n v="20260319"/>
    <n v="20260401"/>
    <n v="2859.4917"/>
    <n v="14"/>
    <n v="204.24940714285714"/>
    <n v="4278.3880348828561"/>
    <n v="204.24940714285714"/>
    <n v="0"/>
    <n v="4482.6374420257134"/>
    <n v="2729.2002160224361"/>
    <n v="130.29148397756379"/>
    <n v="0"/>
    <n v="2859.4917"/>
  </r>
  <r>
    <x v="0"/>
    <x v="0"/>
    <x v="0"/>
    <n v="5"/>
    <n v="30"/>
    <n v="1"/>
    <n v="20260327"/>
    <n v="20260501"/>
    <n v="5981.9655000000002"/>
    <n v="36"/>
    <n v="166.16570833333333"/>
    <n v="1338.7128177598231"/>
    <n v="4984.9712499999996"/>
    <n v="124.87276947658437"/>
    <n v="6448.5568372364069"/>
    <n v="1241.8490047269265"/>
    <n v="4624.2790113596175"/>
    <n v="115.83748391345627"/>
    <n v="5981.9655000000012"/>
  </r>
  <r>
    <x v="0"/>
    <x v="0"/>
    <x v="0"/>
    <n v="1"/>
    <n v="30"/>
    <n v="2"/>
    <n v="20260331"/>
    <n v="20260502"/>
    <n v="1046.5938000000001"/>
    <n v="33"/>
    <n v="31.714963636363638"/>
    <n v="51.102274663814796"/>
    <n v="951.44890909090918"/>
    <n v="47.66730010475257"/>
    <n v="1050.2184838594765"/>
    <n v="50.925902229884905"/>
    <n v="948.16511475963398"/>
    <n v="47.502783010481323"/>
    <n v="1046.5938000000001"/>
  </r>
  <r>
    <x v="0"/>
    <x v="1"/>
    <x v="1"/>
    <n v="8"/>
    <n v="1"/>
    <n v="0"/>
    <n v="20260324"/>
    <n v="20260401"/>
    <n v="775.3895"/>
    <n v="9"/>
    <n v="86.154388888888889"/>
    <n v="1110.5635295624547"/>
    <n v="86.154388888888889"/>
    <n v="0"/>
    <n v="1196.7179184513436"/>
    <n v="719.56748255263847"/>
    <n v="55.822017447361553"/>
    <n v="0"/>
    <n v="775.3895"/>
  </r>
  <r>
    <x v="0"/>
    <x v="0"/>
    <x v="0"/>
    <n v="7"/>
    <n v="1"/>
    <n v="0"/>
    <n v="20260325"/>
    <n v="20260401"/>
    <n v="11544.365900000001"/>
    <n v="8"/>
    <n v="1443.0457375000001"/>
    <n v="16276.242449142899"/>
    <n v="1443.0457375000001"/>
    <n v="0"/>
    <n v="17719.288186642898"/>
    <n v="10604.20127100022"/>
    <n v="940.16462899978285"/>
    <n v="0"/>
    <n v="11544.365900000003"/>
  </r>
  <r>
    <x v="0"/>
    <x v="1"/>
    <x v="0"/>
    <n v="8"/>
    <n v="2"/>
    <n v="0"/>
    <n v="20260324"/>
    <n v="20260402"/>
    <n v="287.45119999999997"/>
    <n v="10"/>
    <n v="28.745119999999996"/>
    <n v="370.53575954287072"/>
    <n v="57.490239999999993"/>
    <n v="0"/>
    <n v="428.02599954287069"/>
    <n v="248.84224051170423"/>
    <n v="38.60895948829576"/>
    <n v="0"/>
    <n v="287.45119999999997"/>
  </r>
  <r>
    <x v="0"/>
    <x v="0"/>
    <x v="0"/>
    <n v="14"/>
    <n v="2"/>
    <n v="0"/>
    <n v="20260318"/>
    <n v="20260402"/>
    <n v="1180.6065000000001"/>
    <n v="16"/>
    <n v="73.787906250000006"/>
    <n v="1664.5208405109568"/>
    <n v="147.57581250000001"/>
    <n v="0"/>
    <n v="1812.0966530109567"/>
    <n v="1084.4587789660338"/>
    <n v="96.147721033966178"/>
    <n v="0"/>
    <n v="1180.6065000000001"/>
  </r>
  <r>
    <x v="0"/>
    <x v="1"/>
    <x v="0"/>
    <n v="20"/>
    <n v="7"/>
    <n v="0"/>
    <n v="20260312"/>
    <n v="20260407"/>
    <n v="3503.4324999999999"/>
    <n v="27"/>
    <n v="129.75675925925927"/>
    <n v="4181.5375399329578"/>
    <n v="908.29731481481485"/>
    <n v="0"/>
    <n v="5089.8348547477726"/>
    <n v="2878.2337611024791"/>
    <n v="625.1987388975208"/>
    <n v="0"/>
    <n v="3503.4324999999999"/>
  </r>
  <r>
    <x v="0"/>
    <x v="1"/>
    <x v="0"/>
    <n v="0"/>
    <n v="8"/>
    <n v="4"/>
    <n v="20260423"/>
    <n v="20260504"/>
    <n v="4007.0374000000002"/>
    <n v="12"/>
    <n v="333.91978333333333"/>
    <n v="0"/>
    <n v="2671.3582666666666"/>
    <n v="1003.7567569406784"/>
    <n v="3675.1150236073449"/>
    <n v="0"/>
    <n v="2912.6251599128627"/>
    <n v="1094.4122400871377"/>
    <n v="4007.0374000000002"/>
  </r>
  <r>
    <x v="0"/>
    <x v="1"/>
    <x v="0"/>
    <n v="0"/>
    <n v="7"/>
    <n v="7"/>
    <n v="20260424"/>
    <n v="20260507"/>
    <n v="42.177399999999999"/>
    <n v="14"/>
    <n v="3.0126714285714287"/>
    <n v="0"/>
    <n v="21.088699999999999"/>
    <n v="15.848061552977931"/>
    <n v="36.936761552977927"/>
    <n v="0"/>
    <n v="24.080793712904406"/>
    <n v="18.0966062870956"/>
    <n v="42.177400000000006"/>
  </r>
  <r>
    <x v="0"/>
    <x v="1"/>
    <x v="0"/>
    <n v="16"/>
    <n v="8"/>
    <n v="0"/>
    <n v="20260316"/>
    <n v="20260408"/>
    <n v="491.30829999999997"/>
    <n v="24"/>
    <n v="20.471179166666666"/>
    <n v="527.76289827692665"/>
    <n v="163.76943333333332"/>
    <n v="0"/>
    <n v="691.53233161025992"/>
    <n v="374.95613798957584"/>
    <n v="116.35216201042415"/>
    <n v="0"/>
    <n v="491.30829999999997"/>
  </r>
  <r>
    <x v="0"/>
    <x v="0"/>
    <x v="0"/>
    <n v="21"/>
    <n v="3"/>
    <n v="0"/>
    <n v="20260311"/>
    <n v="20260403"/>
    <n v="221.0472"/>
    <n v="24"/>
    <n v="9.2103000000000002"/>
    <n v="311.65140217048912"/>
    <n v="27.6309"/>
    <n v="0"/>
    <n v="339.28230217048912"/>
    <n v="203.04527935926211"/>
    <n v="18.001920640737897"/>
    <n v="0"/>
    <n v="221.0472"/>
  </r>
  <r>
    <x v="0"/>
    <x v="1"/>
    <x v="0"/>
    <n v="0"/>
    <n v="30"/>
    <n v="5"/>
    <n v="20260401"/>
    <n v="20260505"/>
    <n v="11469.286400000001"/>
    <n v="35"/>
    <n v="327.69389714285717"/>
    <n v="0"/>
    <n v="9830.816914285715"/>
    <n v="1231.3023212562225"/>
    <n v="11062.119235541937"/>
    <n v="0"/>
    <n v="10192.663117717999"/>
    <n v="1276.6232822820025"/>
    <n v="11469.286400000001"/>
  </r>
  <r>
    <x v="0"/>
    <x v="1"/>
    <x v="0"/>
    <n v="0"/>
    <n v="20"/>
    <n v="4"/>
    <n v="20260411"/>
    <n v="20260504"/>
    <n v="11864.0574"/>
    <n v="24"/>
    <n v="494.33572499999997"/>
    <n v="0"/>
    <n v="9886.7145"/>
    <n v="1485.9641414854348"/>
    <n v="11372.678641485434"/>
    <n v="0"/>
    <n v="10313.889280009735"/>
    <n v="1550.1681199902653"/>
    <n v="11864.0574"/>
  </r>
  <r>
    <x v="0"/>
    <x v="1"/>
    <x v="1"/>
    <n v="16"/>
    <n v="6"/>
    <n v="0"/>
    <n v="20260316"/>
    <n v="20260406"/>
    <n v="103.36620000000001"/>
    <n v="22"/>
    <n v="4.6984636363636367"/>
    <n v="121.13004170339583"/>
    <n v="28.190781818181819"/>
    <n v="0"/>
    <n v="149.32082352157767"/>
    <n v="83.851346526442356"/>
    <n v="19.514853473557629"/>
    <n v="0"/>
    <n v="103.36619999999999"/>
  </r>
  <r>
    <x v="0"/>
    <x v="1"/>
    <x v="1"/>
    <n v="0"/>
    <n v="11"/>
    <n v="3"/>
    <n v="20260420"/>
    <n v="20260503"/>
    <n v="5868.1480000000001"/>
    <n v="14"/>
    <n v="419.15342857142861"/>
    <n v="0"/>
    <n v="4610.6877142857147"/>
    <n v="944.9756508663512"/>
    <n v="5555.663365152066"/>
    <n v="0"/>
    <n v="4870.0211137558226"/>
    <n v="998.12688624417694"/>
    <n v="5868.1479999999992"/>
  </r>
  <r>
    <x v="0"/>
    <x v="0"/>
    <x v="0"/>
    <n v="15"/>
    <n v="6"/>
    <n v="0"/>
    <n v="20260317"/>
    <n v="20260406"/>
    <n v="2737.8031000000001"/>
    <n v="21"/>
    <n v="130.37157619047619"/>
    <n v="3151.0129593218353"/>
    <n v="782.2294571428572"/>
    <n v="0"/>
    <n v="3933.2424164646927"/>
    <n v="2193.3184214782136"/>
    <n v="544.48467852178612"/>
    <n v="0"/>
    <n v="2737.8030999999996"/>
  </r>
  <r>
    <x v="0"/>
    <x v="1"/>
    <x v="0"/>
    <n v="0"/>
    <n v="21"/>
    <n v="9"/>
    <n v="20260410"/>
    <n v="20260509"/>
    <n v="7388.6478999999999"/>
    <n v="30"/>
    <n v="246.28826333333333"/>
    <n v="0"/>
    <n v="5172.0535300000001"/>
    <n v="1665.7605264309482"/>
    <n v="6837.8140564309488"/>
    <n v="0"/>
    <n v="5588.698689046897"/>
    <n v="1799.9492109531027"/>
    <n v="7388.6478999999999"/>
  </r>
  <r>
    <x v="0"/>
    <x v="1"/>
    <x v="0"/>
    <n v="4"/>
    <n v="30"/>
    <n v="5"/>
    <n v="20260328"/>
    <n v="20260505"/>
    <n v="832.77160000000003"/>
    <n v="39"/>
    <n v="21.353117948717948"/>
    <n v="137.62499126350338"/>
    <n v="640.5935384615384"/>
    <n v="80.233852157619935"/>
    <n v="858.45238188266171"/>
    <n v="133.50791097246827"/>
    <n v="621.43004927580762"/>
    <n v="77.833639751724149"/>
    <n v="832.77160000000003"/>
  </r>
  <r>
    <x v="0"/>
    <x v="1"/>
    <x v="0"/>
    <n v="0"/>
    <n v="9"/>
    <n v="0"/>
    <n v="20260401"/>
    <n v="20260409"/>
    <n v="1093.5797"/>
    <n v="9"/>
    <n v="121.50885555555556"/>
    <n v="0"/>
    <n v="1093.5797"/>
    <n v="0"/>
    <n v="1093.5797"/>
    <n v="0"/>
    <n v="1093.5797"/>
    <n v="0"/>
    <n v="1093.5797"/>
  </r>
  <r>
    <x v="0"/>
    <x v="1"/>
    <x v="1"/>
    <n v="0"/>
    <n v="10"/>
    <n v="4"/>
    <n v="20260421"/>
    <n v="20260504"/>
    <n v="2574.3865000000001"/>
    <n v="14"/>
    <n v="183.88475"/>
    <n v="0"/>
    <n v="1838.8474999999999"/>
    <n v="552.75419284336328"/>
    <n v="2391.6016928433633"/>
    <n v="0"/>
    <n v="1979.3865315133787"/>
    <n v="594.99996848662124"/>
    <n v="2574.3865000000001"/>
  </r>
  <r>
    <x v="0"/>
    <x v="1"/>
    <x v="0"/>
    <n v="0"/>
    <n v="23"/>
    <n v="6"/>
    <n v="20260408"/>
    <n v="20260506"/>
    <n v="1098217.1846"/>
    <n v="29"/>
    <n v="37869.558089655176"/>
    <n v="0"/>
    <n v="870999.83606206905"/>
    <n v="170752.79773213007"/>
    <n v="1041752.6337941991"/>
    <n v="0"/>
    <n v="918209.32985144283"/>
    <n v="180007.85474855726"/>
    <n v="1098217.1846"/>
  </r>
  <r>
    <x v="0"/>
    <x v="1"/>
    <x v="1"/>
    <n v="0"/>
    <n v="15"/>
    <n v="15"/>
    <n v="20260416"/>
    <n v="20260515"/>
    <n v="21890433.717700001"/>
    <n v="30"/>
    <n v="729681.12392333336"/>
    <n v="0"/>
    <n v="10945216.85885"/>
    <n v="8225280.3866405506"/>
    <n v="19170497.245490551"/>
    <n v="0"/>
    <n v="12498139.255666321"/>
    <n v="9392294.4620336797"/>
    <n v="21890433.717700001"/>
  </r>
  <r>
    <x v="0"/>
    <x v="0"/>
    <x v="1"/>
    <n v="15"/>
    <n v="15"/>
    <n v="0"/>
    <n v="20260317"/>
    <n v="20260415"/>
    <n v="8891487.2721999995"/>
    <n v="30"/>
    <n v="296382.90907333331"/>
    <n v="7163420.238527433"/>
    <n v="4445743.6360999998"/>
    <n v="0"/>
    <n v="11609163.874627434"/>
    <n v="5486481.2456901101"/>
    <n v="3405006.026509888"/>
    <n v="0"/>
    <n v="8891487.2721999977"/>
  </r>
  <r>
    <x v="0"/>
    <x v="0"/>
    <x v="1"/>
    <n v="26"/>
    <n v="3"/>
    <n v="0"/>
    <n v="20260306"/>
    <n v="20260403"/>
    <n v="755444.38589999999"/>
    <n v="29"/>
    <n v="26049.806410344827"/>
    <n v="1091324.3922327012"/>
    <n v="78149.419231034481"/>
    <n v="0"/>
    <n v="1169473.8114637358"/>
    <n v="704962.24646197516"/>
    <n v="50482.139438024678"/>
    <n v="0"/>
    <n v="755444.38589999988"/>
  </r>
  <r>
    <x v="0"/>
    <x v="1"/>
    <x v="0"/>
    <n v="26"/>
    <n v="3"/>
    <n v="0"/>
    <n v="20260306"/>
    <n v="20260403"/>
    <n v="346577.71120000002"/>
    <n v="29"/>
    <n v="11950.95555862069"/>
    <n v="500670.4889151266"/>
    <n v="35852.866675862067"/>
    <n v="0"/>
    <n v="536523.35559098865"/>
    <n v="323417.85367843544"/>
    <n v="23159.857521564583"/>
    <n v="0"/>
    <n v="346577.71120000002"/>
  </r>
  <r>
    <x v="0"/>
    <x v="0"/>
    <x v="0"/>
    <n v="27"/>
    <n v="1"/>
    <n v="0"/>
    <n v="20260305"/>
    <n v="20260401"/>
    <n v="3864154.5383000001"/>
    <n v="28"/>
    <n v="138005.519225"/>
    <n v="6003938.4813529998"/>
    <n v="138005.519225"/>
    <n v="0"/>
    <n v="6141944.0005780002"/>
    <n v="3777329.4787791795"/>
    <n v="86825.059520820563"/>
    <n v="0"/>
    <n v="3864154.5383000001"/>
  </r>
  <r>
    <x v="0"/>
    <x v="1"/>
    <x v="0"/>
    <n v="27"/>
    <n v="2"/>
    <n v="0"/>
    <n v="20260305"/>
    <n v="20260402"/>
    <n v="519407.4779"/>
    <n v="29"/>
    <n v="17910.602686206897"/>
    <n v="779201.85580854618"/>
    <n v="35821.205372413795"/>
    <n v="0"/>
    <n v="815023.06118095992"/>
    <n v="496578.91902356315"/>
    <n v="22828.558876436902"/>
    <n v="0"/>
    <n v="519407.47790000006"/>
  </r>
  <r>
    <x v="0"/>
    <x v="1"/>
    <x v="1"/>
    <n v="0"/>
    <n v="24"/>
    <n v="1"/>
    <n v="20260407"/>
    <n v="20260501"/>
    <n v="305849.9595"/>
    <n v="25"/>
    <n v="12233.998379999999"/>
    <n v="0"/>
    <n v="293615.96111999999"/>
    <n v="9193.7938026180982"/>
    <n v="302809.7549226181"/>
    <n v="0"/>
    <n v="296563.86017040384"/>
    <n v="9286.0993295961434"/>
    <n v="305849.9595"/>
  </r>
  <r>
    <x v="0"/>
    <x v="1"/>
    <x v="1"/>
    <n v="26"/>
    <n v="2"/>
    <n v="0"/>
    <n v="20260306"/>
    <n v="20260402"/>
    <n v="79992.5965"/>
    <n v="28"/>
    <n v="2856.8784464285714"/>
    <n v="119685.385953319"/>
    <n v="5713.7568928571427"/>
    <n v="0"/>
    <n v="125399.14284617614"/>
    <n v="76347.768957677181"/>
    <n v="3644.8275423228101"/>
    <n v="0"/>
    <n v="79992.596499999985"/>
  </r>
  <r>
    <x v="0"/>
    <x v="1"/>
    <x v="0"/>
    <n v="0"/>
    <n v="27"/>
    <n v="5"/>
    <n v="20260404"/>
    <n v="20260505"/>
    <n v="1827820.7224000001"/>
    <n v="32"/>
    <n v="57119.397575000003"/>
    <n v="0"/>
    <n v="1542223.734525"/>
    <n v="214624.82956218696"/>
    <n v="1756848.5640871869"/>
    <n v="0"/>
    <n v="1604525.6023569359"/>
    <n v="223295.12004306426"/>
    <n v="1827820.7224000001"/>
  </r>
  <r>
    <x v="0"/>
    <x v="1"/>
    <x v="0"/>
    <n v="30"/>
    <n v="7"/>
    <n v="0"/>
    <n v="20260302"/>
    <n v="20260407"/>
    <n v="142414.21840000001"/>
    <n v="37"/>
    <n v="3849.0329297297299"/>
    <n v="186058.23442243328"/>
    <n v="26943.23050810811"/>
    <n v="0"/>
    <n v="213001.46493054138"/>
    <n v="124399.79246525583"/>
    <n v="18014.425934744198"/>
    <n v="0"/>
    <n v="142414.21840000001"/>
  </r>
  <r>
    <x v="0"/>
    <x v="1"/>
    <x v="1"/>
    <n v="28"/>
    <n v="6"/>
    <n v="0"/>
    <n v="20260304"/>
    <n v="20260406"/>
    <n v="68050.880900000004"/>
    <n v="34"/>
    <n v="2001.4964970588237"/>
    <n v="90300.234845438201"/>
    <n v="12008.978982352943"/>
    <n v="0"/>
    <n v="102309.21382779114"/>
    <n v="60063.119408310056"/>
    <n v="7987.7614916899529"/>
    <n v="0"/>
    <n v="68050.880900000004"/>
  </r>
  <r>
    <x v="0"/>
    <x v="1"/>
    <x v="1"/>
    <n v="0"/>
    <n v="27"/>
    <n v="7"/>
    <n v="20260404"/>
    <n v="20260507"/>
    <n v="394976.59889999998"/>
    <n v="34"/>
    <n v="11616.95879117647"/>
    <n v="0"/>
    <n v="313657.88736176468"/>
    <n v="61110.63962533536"/>
    <n v="374768.52698710002"/>
    <n v="0"/>
    <n v="330570.78342273243"/>
    <n v="64405.815477267555"/>
    <n v="394976.59889999998"/>
  </r>
  <r>
    <x v="0"/>
    <x v="0"/>
    <x v="1"/>
    <n v="25"/>
    <n v="3"/>
    <n v="0"/>
    <n v="20260307"/>
    <n v="20260403"/>
    <n v="317177.33960000001"/>
    <n v="28"/>
    <n v="11327.762128571429"/>
    <n v="456310.16502009524"/>
    <n v="33983.286385714287"/>
    <n v="0"/>
    <n v="490293.45140580955"/>
    <n v="295193.10070025513"/>
    <n v="21984.238899744843"/>
    <n v="0"/>
    <n v="317177.33959999995"/>
  </r>
  <r>
    <x v="0"/>
    <x v="1"/>
    <x v="1"/>
    <n v="0"/>
    <n v="29"/>
    <n v="9"/>
    <n v="20260402"/>
    <n v="20260509"/>
    <n v="10459.4962"/>
    <n v="38"/>
    <n v="275.24989999999997"/>
    <n v="0"/>
    <n v="7982.2470999999987"/>
    <n v="1861.6413633300856"/>
    <n v="9843.8884633300841"/>
    <n v="0"/>
    <n v="8481.4332792294881"/>
    <n v="1978.0629207705117"/>
    <n v="10459.4962"/>
  </r>
  <r>
    <x v="0"/>
    <x v="0"/>
    <x v="0"/>
    <n v="27"/>
    <n v="7"/>
    <n v="0"/>
    <n v="20260305"/>
    <n v="20260407"/>
    <n v="837127.83059999999"/>
    <n v="34"/>
    <n v="24621.40678235294"/>
    <n v="1071155.7948969021"/>
    <n v="172349.84747647058"/>
    <n v="0"/>
    <n v="1243505.6423733726"/>
    <n v="721101.93654225697"/>
    <n v="116025.89405774311"/>
    <n v="0"/>
    <n v="837127.8306000001"/>
  </r>
  <r>
    <x v="0"/>
    <x v="1"/>
    <x v="1"/>
    <n v="0"/>
    <n v="23"/>
    <n v="8"/>
    <n v="20260408"/>
    <n v="20260508"/>
    <n v="65551.538"/>
    <n v="31"/>
    <n v="2114.5657419354839"/>
    <n v="0"/>
    <n v="48635.01206451613"/>
    <n v="12712.691834399275"/>
    <n v="61347.703898915403"/>
    <n v="0"/>
    <n v="51967.712544396498"/>
    <n v="13583.825455603512"/>
    <n v="65551.538000000015"/>
  </r>
  <r>
    <x v="0"/>
    <x v="0"/>
    <x v="1"/>
    <n v="29"/>
    <n v="4"/>
    <n v="0"/>
    <n v="20260303"/>
    <n v="20260404"/>
    <n v="102096.02280000001"/>
    <n v="33"/>
    <n v="3093.8188727272727"/>
    <n v="144566.90931768582"/>
    <n v="12375.275490909091"/>
    <n v="0"/>
    <n v="156942.1848085949"/>
    <n v="94045.501455359321"/>
    <n v="8050.5213446406815"/>
    <n v="0"/>
    <n v="102096.02280000001"/>
  </r>
  <r>
    <x v="0"/>
    <x v="1"/>
    <x v="1"/>
    <n v="0"/>
    <n v="29"/>
    <n v="7"/>
    <n v="20260402"/>
    <n v="20260507"/>
    <n v="257237.6575"/>
    <n v="36"/>
    <n v="7145.4904861111108"/>
    <n v="0"/>
    <n v="207219.22409722221"/>
    <n v="37588.623829384909"/>
    <n v="244807.84792660712"/>
    <n v="0"/>
    <n v="217740.51872600749"/>
    <n v="39497.138773992498"/>
    <n v="257237.65749999997"/>
  </r>
  <r>
    <x v="0"/>
    <x v="0"/>
    <x v="0"/>
    <n v="29"/>
    <n v="7"/>
    <n v="0"/>
    <n v="20260303"/>
    <n v="20260407"/>
    <n v="243286.53880000001"/>
    <n v="36"/>
    <n v="6757.959411111111"/>
    <n v="315783.61421574547"/>
    <n v="47305.71587777778"/>
    <n v="0"/>
    <n v="363089.33009352325"/>
    <n v="211589.53498444761"/>
    <n v="31697.003815552369"/>
    <n v="0"/>
    <n v="243286.53879999998"/>
  </r>
  <r>
    <x v="0"/>
    <x v="1"/>
    <x v="0"/>
    <n v="27"/>
    <n v="13"/>
    <n v="0"/>
    <n v="20260305"/>
    <n v="20260413"/>
    <n v="6768.2439999999997"/>
    <n v="40"/>
    <n v="169.20609999999999"/>
    <n v="7361.3216397046153"/>
    <n v="2199.6792999999998"/>
    <n v="0"/>
    <n v="9561.000939704616"/>
    <n v="5211.0883927535933"/>
    <n v="1557.1556072464059"/>
    <n v="0"/>
    <n v="6768.2439999999988"/>
  </r>
  <r>
    <x v="0"/>
    <x v="1"/>
    <x v="1"/>
    <n v="27"/>
    <n v="6"/>
    <n v="0"/>
    <n v="20260305"/>
    <n v="20260406"/>
    <n v="108610.97749999999"/>
    <n v="33"/>
    <n v="3291.2417424242421"/>
    <n v="143185.6715567979"/>
    <n v="19747.450454545455"/>
    <n v="0"/>
    <n v="162933.12201134337"/>
    <n v="95447.356312825534"/>
    <n v="13163.621187174462"/>
    <n v="0"/>
    <n v="108610.97749999999"/>
  </r>
  <r>
    <x v="0"/>
    <x v="1"/>
    <x v="1"/>
    <n v="0"/>
    <n v="23"/>
    <n v="1"/>
    <n v="20260408"/>
    <n v="20260501"/>
    <n v="206682.24290000001"/>
    <n v="24"/>
    <n v="8611.7601208333344"/>
    <n v="0"/>
    <n v="198070.48277916669"/>
    <n v="6471.6983253802919"/>
    <n v="204542.18110454699"/>
    <n v="0"/>
    <n v="200142.8331897941"/>
    <n v="6539.4097102059222"/>
    <n v="206682.24290000001"/>
  </r>
  <r>
    <x v="0"/>
    <x v="1"/>
    <x v="1"/>
    <n v="15"/>
    <n v="17"/>
    <n v="0"/>
    <n v="20260317"/>
    <n v="20260417"/>
    <n v="574144.39930000005"/>
    <n v="32"/>
    <n v="17942.012478125002"/>
    <n v="433649.07817242411"/>
    <n v="305014.21212812501"/>
    <n v="0"/>
    <n v="738663.29030054912"/>
    <n v="337064.52285316732"/>
    <n v="237079.87644683273"/>
    <n v="0"/>
    <n v="574144.39930000005"/>
  </r>
  <r>
    <x v="0"/>
    <x v="1"/>
    <x v="1"/>
    <n v="31"/>
    <n v="3"/>
    <n v="0"/>
    <n v="20260216"/>
    <n v="20260403"/>
    <n v="1611.3145999999999"/>
    <n v="34"/>
    <n v="47.391605882352941"/>
    <n v="2367.2227891586249"/>
    <n v="142.17481764705883"/>
    <n v="0"/>
    <n v="2509.3976068056836"/>
    <n v="1520.0224274061718"/>
    <n v="91.292172593828056"/>
    <n v="0"/>
    <n v="1611.3145999999999"/>
  </r>
  <r>
    <x v="0"/>
    <x v="1"/>
    <x v="1"/>
    <n v="0"/>
    <n v="14"/>
    <n v="17"/>
    <n v="20260417"/>
    <n v="20260517"/>
    <n v="235235.81849999999"/>
    <n v="31"/>
    <n v="7588.2522096774192"/>
    <n v="0"/>
    <n v="106235.53093548387"/>
    <n v="96943.125829202618"/>
    <n v="203178.65676468649"/>
    <n v="0"/>
    <n v="122997.18125577294"/>
    <n v="112238.63724422707"/>
    <n v="235235.81849999999"/>
  </r>
  <r>
    <x v="0"/>
    <x v="0"/>
    <x v="1"/>
    <n v="29"/>
    <n v="2"/>
    <n v="0"/>
    <n v="20260303"/>
    <n v="20260402"/>
    <n v="430363.01490000001"/>
    <n v="31"/>
    <n v="13882.677900000001"/>
    <n v="648705.02108184039"/>
    <n v="27765.355800000001"/>
    <n v="0"/>
    <n v="676470.37688184041"/>
    <n v="412699.00086447276"/>
    <n v="17664.014035527198"/>
    <n v="0"/>
    <n v="430363.01489999995"/>
  </r>
  <r>
    <x v="0"/>
    <x v="1"/>
    <x v="0"/>
    <n v="0"/>
    <n v="24"/>
    <n v="1"/>
    <n v="20260407"/>
    <n v="20260501"/>
    <n v="580010.19839999999"/>
    <n v="25"/>
    <n v="23200.407936"/>
    <n v="0"/>
    <n v="556809.79046399996"/>
    <n v="17435.000404193986"/>
    <n v="574244.79086819396"/>
    <n v="0"/>
    <n v="562400.15090048034"/>
    <n v="17610.047499519667"/>
    <n v="580010.19839999999"/>
  </r>
  <r>
    <x v="0"/>
    <x v="1"/>
    <x v="0"/>
    <n v="29"/>
    <n v="6"/>
    <n v="0"/>
    <n v="20260303"/>
    <n v="20260406"/>
    <n v="50777.9467"/>
    <n v="35"/>
    <n v="1450.7984771428571"/>
    <n v="67792.414653692933"/>
    <n v="8704.7908628571422"/>
    <n v="0"/>
    <n v="76497.205516550079"/>
    <n v="44999.80874732435"/>
    <n v="5778.1379526756482"/>
    <n v="0"/>
    <n v="50777.9467"/>
  </r>
  <r>
    <x v="0"/>
    <x v="0"/>
    <x v="0"/>
    <n v="28"/>
    <n v="7"/>
    <n v="0"/>
    <n v="20260304"/>
    <n v="20260407"/>
    <n v="442862.36129999999"/>
    <n v="35"/>
    <n v="12653.210322857143"/>
    <n v="570866.7816215232"/>
    <n v="88572.47226000001"/>
    <n v="0"/>
    <n v="659439.25388152315"/>
    <n v="383379.37787073379"/>
    <n v="59482.983429266264"/>
    <n v="0"/>
    <n v="442862.36130000005"/>
  </r>
  <r>
    <x v="0"/>
    <x v="0"/>
    <x v="0"/>
    <n v="24"/>
    <n v="6"/>
    <n v="0"/>
    <n v="20260308"/>
    <n v="20260406"/>
    <n v="234822.18520000001"/>
    <n v="30"/>
    <n v="7827.4061733333338"/>
    <n v="302694.9156955987"/>
    <n v="46964.437040000004"/>
    <n v="0"/>
    <n v="349659.35273559869"/>
    <n v="203282.0829658125"/>
    <n v="31540.102234187529"/>
    <n v="0"/>
    <n v="234822.18520000004"/>
  </r>
  <r>
    <x v="0"/>
    <x v="1"/>
    <x v="0"/>
    <n v="0"/>
    <n v="22"/>
    <n v="11"/>
    <n v="20260409"/>
    <n v="20260511"/>
    <n v="7218.4125999999997"/>
    <n v="33"/>
    <n v="218.73977575757576"/>
    <n v="0"/>
    <n v="4812.275066666667"/>
    <n v="1808.2013463701965"/>
    <n v="6620.476413036864"/>
    <n v="0"/>
    <n v="5246.9014023657519"/>
    <n v="1971.5111976342466"/>
    <n v="7218.4125999999987"/>
  </r>
  <r>
    <x v="0"/>
    <x v="0"/>
    <x v="0"/>
    <n v="24"/>
    <n v="4"/>
    <n v="0"/>
    <n v="20260308"/>
    <n v="20260404"/>
    <n v="92835.796799999996"/>
    <n v="28"/>
    <n v="3315.5641714285712"/>
    <n v="128216.72916029727"/>
    <n v="13262.256685714285"/>
    <n v="0"/>
    <n v="141478.98584601155"/>
    <n v="84133.358346528985"/>
    <n v="8702.4384534710171"/>
    <n v="0"/>
    <n v="92835.796799999996"/>
  </r>
  <r>
    <x v="0"/>
    <x v="1"/>
    <x v="0"/>
    <n v="15"/>
    <n v="17"/>
    <n v="0"/>
    <n v="20260317"/>
    <n v="20260417"/>
    <n v="499679.16800000001"/>
    <n v="32"/>
    <n v="15614.974"/>
    <n v="377405.77257106028"/>
    <n v="265454.55800000002"/>
    <n v="0"/>
    <n v="642860.3305710603"/>
    <n v="293348.01584223623"/>
    <n v="206331.15215776378"/>
    <n v="0"/>
    <n v="499679.16800000001"/>
  </r>
  <r>
    <x v="0"/>
    <x v="1"/>
    <x v="0"/>
    <n v="0"/>
    <n v="10"/>
    <n v="0"/>
    <n v="20260401"/>
    <n v="20260410"/>
    <n v="42.070599999999999"/>
    <n v="10"/>
    <n v="4.2070600000000002"/>
    <n v="0"/>
    <n v="42.070599999999999"/>
    <n v="0"/>
    <n v="42.070599999999999"/>
    <n v="0"/>
    <n v="42.070599999999999"/>
    <n v="0"/>
    <n v="42.070599999999999"/>
  </r>
  <r>
    <x v="0"/>
    <x v="1"/>
    <x v="1"/>
    <n v="29"/>
    <n v="7"/>
    <n v="0"/>
    <n v="20260303"/>
    <n v="20260407"/>
    <n v="1221.8860999999999"/>
    <n v="36"/>
    <n v="33.941280555555551"/>
    <n v="1585.9965402162304"/>
    <n v="237.58896388888886"/>
    <n v="0"/>
    <n v="1823.5855041051193"/>
    <n v="1062.6905745718154"/>
    <n v="159.19552542818451"/>
    <n v="0"/>
    <n v="1221.8860999999999"/>
  </r>
  <r>
    <x v="0"/>
    <x v="0"/>
    <x v="1"/>
    <n v="27"/>
    <n v="8"/>
    <n v="0"/>
    <n v="20260305"/>
    <n v="20260408"/>
    <n v="40909.2673"/>
    <n v="35"/>
    <n v="1168.8362085714286"/>
    <n v="50850.290122088714"/>
    <n v="9350.6896685714291"/>
    <n v="0"/>
    <n v="60200.979790660145"/>
    <n v="34555.054055944383"/>
    <n v="6354.2132440556134"/>
    <n v="0"/>
    <n v="40909.2673"/>
  </r>
  <r>
    <x v="0"/>
    <x v="1"/>
    <x v="0"/>
    <n v="0"/>
    <n v="15"/>
    <n v="16"/>
    <n v="20260416"/>
    <n v="20260516"/>
    <n v="57687.5268"/>
    <n v="31"/>
    <n v="1860.8879612903227"/>
    <n v="0"/>
    <n v="27913.319419354841"/>
    <n v="22375.18060665638"/>
    <n v="50288.500026011221"/>
    <n v="0"/>
    <n v="32020.250380267993"/>
    <n v="25667.276419732007"/>
    <n v="57687.5268"/>
  </r>
  <r>
    <x v="0"/>
    <x v="1"/>
    <x v="0"/>
    <n v="22"/>
    <n v="8"/>
    <n v="0"/>
    <n v="20260310"/>
    <n v="20260408"/>
    <n v="10709.809600000001"/>
    <n v="30"/>
    <n v="356.99365333333333"/>
    <n v="12654.913767870517"/>
    <n v="2855.9492266666666"/>
    <n v="0"/>
    <n v="15510.862994537183"/>
    <n v="8737.8579132602208"/>
    <n v="1971.9516867397806"/>
    <n v="0"/>
    <n v="10709.809600000001"/>
  </r>
  <r>
    <x v="0"/>
    <x v="1"/>
    <x v="1"/>
    <n v="0"/>
    <n v="22"/>
    <n v="9"/>
    <n v="20260409"/>
    <n v="20260509"/>
    <n v="17097.841400000001"/>
    <n v="31"/>
    <n v="551.54327096774193"/>
    <n v="0"/>
    <n v="12133.951961290322"/>
    <n v="3730.3401995783543"/>
    <n v="15864.292160868677"/>
    <n v="0"/>
    <n v="13077.443612712739"/>
    <n v="4020.3977872872597"/>
    <n v="17097.841399999998"/>
  </r>
  <r>
    <x v="0"/>
    <x v="0"/>
    <x v="0"/>
    <n v="22"/>
    <n v="2"/>
    <n v="0"/>
    <n v="20260310"/>
    <n v="20260402"/>
    <n v="18838.165400000002"/>
    <n v="24"/>
    <n v="784.9235583333334"/>
    <n v="27824.416071071191"/>
    <n v="1569.8471166666668"/>
    <n v="0"/>
    <n v="29394.263187737859"/>
    <n v="17832.083381627908"/>
    <n v="1006.0820183720913"/>
    <n v="0"/>
    <n v="18838.165399999998"/>
  </r>
  <r>
    <x v="0"/>
    <x v="0"/>
    <x v="0"/>
    <n v="24"/>
    <n v="8"/>
    <n v="0"/>
    <n v="20260308"/>
    <n v="20260408"/>
    <n v="148216.9736"/>
    <n v="32"/>
    <n v="4631.7804249999999"/>
    <n v="179116.34508534064"/>
    <n v="37054.243399999999"/>
    <n v="0"/>
    <n v="216170.58848534065"/>
    <n v="122810.79853119219"/>
    <n v="25406.17506880781"/>
    <n v="0"/>
    <n v="148216.9736"/>
  </r>
  <r>
    <x v="0"/>
    <x v="0"/>
    <x v="0"/>
    <n v="22"/>
    <n v="7"/>
    <n v="0"/>
    <n v="20260310"/>
    <n v="20260407"/>
    <n v="171716.45540000001"/>
    <n v="29"/>
    <n v="5921.2570827586205"/>
    <n v="209900.0838811445"/>
    <n v="41448.799579310347"/>
    <n v="0"/>
    <n v="251348.88346045485"/>
    <n v="143399.47683874858"/>
    <n v="28316.978561251432"/>
    <n v="0"/>
    <n v="171716.45540000001"/>
  </r>
  <r>
    <x v="0"/>
    <x v="1"/>
    <x v="0"/>
    <n v="0"/>
    <n v="20"/>
    <n v="0"/>
    <n v="20260403"/>
    <n v="20260422"/>
    <n v="5903.1707999999999"/>
    <n v="20"/>
    <n v="295.15854000000002"/>
    <n v="0"/>
    <n v="5903.1707999999999"/>
    <n v="0"/>
    <n v="5903.1707999999999"/>
    <n v="0"/>
    <n v="5903.1707999999999"/>
    <n v="0"/>
    <n v="5903.1707999999999"/>
  </r>
  <r>
    <x v="0"/>
    <x v="1"/>
    <x v="0"/>
    <n v="0"/>
    <n v="25"/>
    <n v="0"/>
    <n v="20260403"/>
    <n v="20260427"/>
    <n v="28377.385300000002"/>
    <n v="25"/>
    <n v="1135.0954120000001"/>
    <n v="0"/>
    <n v="28377.385300000002"/>
    <n v="0"/>
    <n v="28377.385300000002"/>
    <n v="0"/>
    <n v="28377.385300000002"/>
    <n v="0"/>
    <n v="28377.385300000002"/>
  </r>
  <r>
    <x v="0"/>
    <x v="1"/>
    <x v="0"/>
    <n v="0"/>
    <n v="28"/>
    <n v="0"/>
    <n v="20260403"/>
    <n v="20260430"/>
    <n v="8644.5364000000009"/>
    <n v="28"/>
    <n v="308.7334428571429"/>
    <n v="0"/>
    <n v="8644.5364000000009"/>
    <n v="0"/>
    <n v="8644.5364000000009"/>
    <n v="0"/>
    <n v="8644.5364000000009"/>
    <n v="0"/>
    <n v="8644.5364000000009"/>
  </r>
  <r>
    <x v="0"/>
    <x v="1"/>
    <x v="1"/>
    <n v="0"/>
    <n v="27"/>
    <n v="8"/>
    <n v="20260404"/>
    <n v="20260508"/>
    <n v="232261.21350000001"/>
    <n v="35"/>
    <n v="6636.0346714285715"/>
    <n v="0"/>
    <n v="179172.93612857143"/>
    <n v="39895.59752492878"/>
    <n v="219068.5336535002"/>
    <n v="0"/>
    <n v="189963.03520889106"/>
    <n v="42298.178291108961"/>
    <n v="232261.21350000001"/>
  </r>
  <r>
    <x v="0"/>
    <x v="1"/>
    <x v="1"/>
    <n v="0"/>
    <n v="15"/>
    <n v="17"/>
    <n v="20260416"/>
    <n v="20260517"/>
    <n v="84300.636100000003"/>
    <n v="32"/>
    <n v="2634.3948781250001"/>
    <n v="0"/>
    <n v="39515.923171875002"/>
    <n v="33655.50684097984"/>
    <n v="73171.430012854835"/>
    <n v="0"/>
    <n v="45526.204132986881"/>
    <n v="38774.43196701313"/>
    <n v="84300.636100000003"/>
  </r>
  <r>
    <x v="0"/>
    <x v="1"/>
    <x v="0"/>
    <n v="30"/>
    <n v="10"/>
    <n v="0"/>
    <n v="20260302"/>
    <n v="20260410"/>
    <n v="3458.8679999999999"/>
    <n v="40"/>
    <n v="86.471699999999998"/>
    <n v="4179.9517237791042"/>
    <n v="864.71699999999998"/>
    <n v="0"/>
    <n v="5044.6687237791039"/>
    <n v="2865.9763505924648"/>
    <n v="592.89164940753551"/>
    <n v="0"/>
    <n v="3458.8680000000004"/>
  </r>
  <r>
    <x v="0"/>
    <x v="0"/>
    <x v="0"/>
    <n v="22"/>
    <n v="1"/>
    <n v="0"/>
    <n v="20260310"/>
    <n v="20260401"/>
    <n v="49949.835500000001"/>
    <n v="23"/>
    <n v="2171.7319782608697"/>
    <n v="76984.788539522182"/>
    <n v="2171.7319782608697"/>
    <n v="0"/>
    <n v="79156.52051778305"/>
    <n v="48579.415800464951"/>
    <n v="1370.4196995350469"/>
    <n v="0"/>
    <n v="49949.835500000001"/>
  </r>
  <r>
    <x v="0"/>
    <x v="1"/>
    <x v="0"/>
    <n v="0"/>
    <n v="19"/>
    <n v="0"/>
    <n v="20260404"/>
    <n v="20260422"/>
    <n v="1602.7399"/>
    <n v="19"/>
    <n v="84.354731578947366"/>
    <n v="0"/>
    <n v="1602.7399"/>
    <n v="0"/>
    <n v="1602.7399"/>
    <n v="0"/>
    <n v="1602.7399"/>
    <n v="0"/>
    <n v="1602.7399"/>
  </r>
  <r>
    <x v="0"/>
    <x v="1"/>
    <x v="1"/>
    <n v="0"/>
    <n v="23"/>
    <n v="2"/>
    <n v="20260408"/>
    <n v="20260502"/>
    <n v="759.77940000000001"/>
    <n v="25"/>
    <n v="30.391176000000002"/>
    <n v="0"/>
    <n v="698.99704800000006"/>
    <n v="45.677659401991178"/>
    <n v="744.67470740199121"/>
    <n v="0"/>
    <n v="713.17523269193168"/>
    <n v="46.604167308068313"/>
    <n v="759.77940000000001"/>
  </r>
  <r>
    <x v="0"/>
    <x v="1"/>
    <x v="0"/>
    <n v="0"/>
    <n v="26"/>
    <n v="12"/>
    <n v="20260405"/>
    <n v="20260512"/>
    <n v="11222.333199999999"/>
    <n v="38"/>
    <n v="295.32455789473681"/>
    <n v="0"/>
    <n v="7678.4385052631569"/>
    <n v="2663.2206470508572"/>
    <n v="10341.659152314014"/>
    <n v="0"/>
    <n v="8332.3182569299825"/>
    <n v="2890.014943070018"/>
    <n v="11222.333200000001"/>
  </r>
  <r>
    <x v="0"/>
    <x v="1"/>
    <x v="0"/>
    <n v="0"/>
    <n v="24"/>
    <n v="0"/>
    <n v="20260404"/>
    <n v="20260427"/>
    <n v="7802.2638999999999"/>
    <n v="24"/>
    <n v="325.09432916666668"/>
    <n v="0"/>
    <n v="7802.2638999999999"/>
    <n v="0"/>
    <n v="7802.2638999999999"/>
    <n v="0"/>
    <n v="7802.2638999999999"/>
    <n v="0"/>
    <n v="7802.2638999999999"/>
  </r>
  <r>
    <x v="0"/>
    <x v="1"/>
    <x v="0"/>
    <n v="22"/>
    <n v="4"/>
    <n v="0"/>
    <n v="20260310"/>
    <n v="20260404"/>
    <n v="7345.57"/>
    <n v="26"/>
    <n v="282.52192307692309"/>
    <n v="10014.997579615447"/>
    <n v="1130.0876923076924"/>
    <n v="0"/>
    <n v="11145.085271923139"/>
    <n v="6600.7449899216144"/>
    <n v="744.82501007838528"/>
    <n v="0"/>
    <n v="7345.57"/>
  </r>
  <r>
    <x v="0"/>
    <x v="1"/>
    <x v="0"/>
    <n v="0"/>
    <n v="22"/>
    <n v="10"/>
    <n v="20260409"/>
    <n v="20260510"/>
    <n v="87804.969400000002"/>
    <n v="32"/>
    <n v="2743.9052937500001"/>
    <n v="0"/>
    <n v="60365.916462499998"/>
    <n v="20620.322727760362"/>
    <n v="80986.239190260356"/>
    <n v="0"/>
    <n v="65448.494716991547"/>
    <n v="22356.474683008462"/>
    <n v="87804.969400000002"/>
  </r>
  <r>
    <x v="0"/>
    <x v="0"/>
    <x v="0"/>
    <n v="31"/>
    <n v="1"/>
    <n v="0"/>
    <n v="20260228"/>
    <n v="20260401"/>
    <n v="14781.238300000001"/>
    <n v="32"/>
    <n v="461.91369687500003"/>
    <n v="23072.706854067048"/>
    <n v="461.91369687500003"/>
    <n v="0"/>
    <n v="23534.620550942047"/>
    <n v="14491.12712473102"/>
    <n v="290.11117526898227"/>
    <n v="0"/>
    <n v="14781.238300000003"/>
  </r>
  <r>
    <x v="0"/>
    <x v="0"/>
    <x v="0"/>
    <n v="19"/>
    <n v="5"/>
    <n v="0"/>
    <n v="20260313"/>
    <n v="20260405"/>
    <n v="15667.3881"/>
    <n v="24"/>
    <n v="652.80783750000001"/>
    <n v="19985.498017439255"/>
    <n v="3264.0391875"/>
    <n v="0"/>
    <n v="23249.537204939254"/>
    <n v="13467.818780688693"/>
    <n v="2199.5693193113079"/>
    <n v="0"/>
    <n v="15667.3881"/>
  </r>
  <r>
    <x v="0"/>
    <x v="1"/>
    <x v="0"/>
    <n v="0"/>
    <n v="28"/>
    <n v="0"/>
    <n v="20260402"/>
    <n v="20260429"/>
    <n v="8643.5236000000004"/>
    <n v="28"/>
    <n v="308.69727142857147"/>
    <n v="0"/>
    <n v="8643.5236000000004"/>
    <n v="0"/>
    <n v="8643.5236000000004"/>
    <n v="0"/>
    <n v="8643.5236000000004"/>
    <n v="0"/>
    <n v="8643.5236000000004"/>
  </r>
  <r>
    <x v="0"/>
    <x v="0"/>
    <x v="1"/>
    <n v="22"/>
    <n v="7"/>
    <n v="0"/>
    <n v="20260310"/>
    <n v="20260407"/>
    <n v="4375.1153999999997"/>
    <n v="29"/>
    <n v="150.86604827586206"/>
    <n v="5347.985359414115"/>
    <n v="1056.0623379310343"/>
    <n v="0"/>
    <n v="6404.0476973451496"/>
    <n v="3653.6350462609894"/>
    <n v="721.48035373901018"/>
    <n v="0"/>
    <n v="4375.1153999999997"/>
  </r>
  <r>
    <x v="0"/>
    <x v="0"/>
    <x v="0"/>
    <n v="27"/>
    <n v="9"/>
    <n v="0"/>
    <n v="20260305"/>
    <n v="20260409"/>
    <n v="22067.951700000001"/>
    <n v="36"/>
    <n v="612.99865833333342"/>
    <n v="26668.543797765353"/>
    <n v="5516.9879250000013"/>
    <n v="0"/>
    <n v="32185.531722765354"/>
    <n v="18285.23889267147"/>
    <n v="3782.7128073285321"/>
    <n v="0"/>
    <n v="22067.951700000001"/>
  </r>
  <r>
    <x v="0"/>
    <x v="1"/>
    <x v="0"/>
    <n v="0"/>
    <n v="26"/>
    <n v="0"/>
    <n v="20260403"/>
    <n v="20260428"/>
    <n v="15348.6037"/>
    <n v="26"/>
    <n v="590.33091153846158"/>
    <n v="0"/>
    <n v="15348.603700000001"/>
    <n v="0"/>
    <n v="15348.603700000001"/>
    <n v="0"/>
    <n v="15348.6037"/>
    <n v="0"/>
    <n v="15348.6037"/>
  </r>
  <r>
    <x v="0"/>
    <x v="1"/>
    <x v="0"/>
    <n v="0"/>
    <n v="28"/>
    <n v="14"/>
    <n v="20260403"/>
    <n v="20260514"/>
    <n v="53597.3819"/>
    <n v="42"/>
    <n v="1276.1281404761905"/>
    <n v="0"/>
    <n v="35731.587933333336"/>
    <n v="13426.06241620181"/>
    <n v="49157.65034953515"/>
    <n v="0"/>
    <n v="38958.728717480459"/>
    <n v="14638.653182519532"/>
    <n v="53597.381899999993"/>
  </r>
  <r>
    <x v="0"/>
    <x v="1"/>
    <x v="1"/>
    <n v="0"/>
    <n v="16"/>
    <n v="1"/>
    <n v="20260415"/>
    <n v="20260501"/>
    <n v="84.455500000000001"/>
    <n v="17"/>
    <n v="4.9679705882352945"/>
    <n v="0"/>
    <n v="79.487529411764712"/>
    <n v="3.733407164772458"/>
    <n v="83.22093657653717"/>
    <n v="0"/>
    <n v="80.666708599960216"/>
    <n v="3.7887914000397842"/>
    <n v="84.455500000000001"/>
  </r>
  <r>
    <x v="0"/>
    <x v="1"/>
    <x v="0"/>
    <n v="0"/>
    <n v="21"/>
    <n v="0"/>
    <n v="20260402"/>
    <n v="20260422"/>
    <n v="4005.2537000000002"/>
    <n v="21"/>
    <n v="190.72636666666668"/>
    <n v="0"/>
    <n v="4005.2537000000002"/>
    <n v="0"/>
    <n v="4005.2537000000002"/>
    <n v="0"/>
    <n v="4005.2537000000002"/>
    <n v="0"/>
    <n v="4005.2537000000002"/>
  </r>
  <r>
    <x v="0"/>
    <x v="1"/>
    <x v="0"/>
    <n v="0"/>
    <n v="16"/>
    <n v="0"/>
    <n v="20260401"/>
    <n v="20260416"/>
    <n v="926.55409999999995"/>
    <n v="16"/>
    <n v="57.909631249999997"/>
    <n v="0"/>
    <n v="926.55409999999995"/>
    <n v="0"/>
    <n v="926.55409999999995"/>
    <n v="0"/>
    <n v="926.55409999999995"/>
    <n v="0"/>
    <n v="926.55409999999995"/>
  </r>
  <r>
    <x v="0"/>
    <x v="1"/>
    <x v="0"/>
    <n v="0"/>
    <n v="22"/>
    <n v="5"/>
    <n v="20260409"/>
    <n v="20260505"/>
    <n v="11776.3073"/>
    <n v="27"/>
    <n v="436.15952962962962"/>
    <n v="0"/>
    <n v="9595.5096518518512"/>
    <n v="1638.859453756816"/>
    <n v="11234.369105608668"/>
    <n v="0"/>
    <n v="10058.390399858703"/>
    <n v="1717.9169001412977"/>
    <n v="11776.3073"/>
  </r>
  <r>
    <x v="0"/>
    <x v="1"/>
    <x v="0"/>
    <n v="0"/>
    <n v="27"/>
    <n v="12"/>
    <n v="20260404"/>
    <n v="20260512"/>
    <n v="37205.664799999999"/>
    <n v="39"/>
    <n v="953.99140512820509"/>
    <n v="0"/>
    <n v="25757.767938461537"/>
    <n v="8603.0421085133003"/>
    <n v="34360.810046974839"/>
    <n v="0"/>
    <n v="27890.345966944387"/>
    <n v="9315.3188330556095"/>
    <n v="37205.664799999999"/>
  </r>
  <r>
    <x v="0"/>
    <x v="0"/>
    <x v="0"/>
    <n v="21"/>
    <n v="2"/>
    <n v="0"/>
    <n v="20260311"/>
    <n v="20260402"/>
    <n v="9996.3528000000006"/>
    <n v="23"/>
    <n v="434.6240347826087"/>
    <n v="14706.490543955728"/>
    <n v="869.24806956521741"/>
    <n v="0"/>
    <n v="15575.738613520945"/>
    <n v="9438.4781084877868"/>
    <n v="557.87469151221262"/>
    <n v="0"/>
    <n v="9996.3527999999988"/>
  </r>
  <r>
    <x v="0"/>
    <x v="0"/>
    <x v="0"/>
    <n v="27"/>
    <n v="10"/>
    <n v="0"/>
    <n v="20260305"/>
    <n v="20260410"/>
    <n v="2522.3831"/>
    <n v="37"/>
    <n v="68.172516216216223"/>
    <n v="2965.8494513823457"/>
    <n v="681.72516216216218"/>
    <n v="0"/>
    <n v="3647.5746135445079"/>
    <n v="2050.9542164077834"/>
    <n v="471.42888359221638"/>
    <n v="0"/>
    <n v="2522.3831"/>
  </r>
  <r>
    <x v="0"/>
    <x v="1"/>
    <x v="0"/>
    <n v="0"/>
    <n v="24"/>
    <n v="0"/>
    <n v="20260407"/>
    <n v="20260430"/>
    <n v="3038.6913"/>
    <n v="24"/>
    <n v="126.6121375"/>
    <n v="0"/>
    <n v="3038.6913"/>
    <n v="0"/>
    <n v="3038.6913"/>
    <n v="0"/>
    <n v="3038.6913"/>
    <n v="0"/>
    <n v="3038.6913"/>
  </r>
  <r>
    <x v="0"/>
    <x v="1"/>
    <x v="0"/>
    <n v="28"/>
    <n v="11"/>
    <n v="0"/>
    <n v="20260304"/>
    <n v="20260411"/>
    <n v="2033.5794000000001"/>
    <n v="39"/>
    <n v="52.143061538461538"/>
    <n v="2352.5050927655107"/>
    <n v="573.57367692307696"/>
    <n v="0"/>
    <n v="2926.0787696885877"/>
    <n v="1634.9545831099333"/>
    <n v="398.6248168900666"/>
    <n v="0"/>
    <n v="2033.5793999999999"/>
  </r>
  <r>
    <x v="0"/>
    <x v="1"/>
    <x v="0"/>
    <n v="0"/>
    <n v="13"/>
    <n v="0"/>
    <n v="20260403"/>
    <n v="20260415"/>
    <n v="7411.0414000000001"/>
    <n v="13"/>
    <n v="570.08010769230771"/>
    <n v="0"/>
    <n v="7411.0414000000001"/>
    <n v="0"/>
    <n v="7411.0414000000001"/>
    <n v="0"/>
    <n v="7411.0414000000001"/>
    <n v="0"/>
    <n v="7411.0414000000001"/>
  </r>
  <r>
    <x v="0"/>
    <x v="1"/>
    <x v="0"/>
    <n v="20"/>
    <n v="3"/>
    <n v="0"/>
    <n v="20260312"/>
    <n v="20260403"/>
    <n v="1406.1134999999999"/>
    <n v="23"/>
    <n v="61.135369565217388"/>
    <n v="1970.1466367840812"/>
    <n v="183.40610869565216"/>
    <n v="0"/>
    <n v="2153.5527454797334"/>
    <n v="1286.3626343846906"/>
    <n v="119.75086561530928"/>
    <n v="0"/>
    <n v="1406.1134999999999"/>
  </r>
  <r>
    <x v="0"/>
    <x v="1"/>
    <x v="0"/>
    <n v="31"/>
    <n v="3"/>
    <n v="0"/>
    <n v="20260228"/>
    <n v="20260403"/>
    <n v="3973.2127"/>
    <n v="34"/>
    <n v="116.85919705882353"/>
    <n v="5837.146668698012"/>
    <n v="350.57759117647061"/>
    <n v="0"/>
    <n v="6187.7242598744824"/>
    <n v="3748.1025821121652"/>
    <n v="225.11011788783495"/>
    <n v="0"/>
    <n v="3973.2127"/>
  </r>
  <r>
    <x v="0"/>
    <x v="0"/>
    <x v="0"/>
    <n v="31"/>
    <n v="6"/>
    <n v="0"/>
    <n v="20260227"/>
    <n v="20260406"/>
    <n v="13606.8907"/>
    <n v="37"/>
    <n v="367.75380270270273"/>
    <n v="18369.396148311327"/>
    <n v="2206.5228162162166"/>
    <n v="0"/>
    <n v="20575.918964527544"/>
    <n v="12147.713355888622"/>
    <n v="1459.1773441113785"/>
    <n v="0"/>
    <n v="13606.8907"/>
  </r>
  <r>
    <x v="0"/>
    <x v="1"/>
    <x v="0"/>
    <n v="31"/>
    <n v="5"/>
    <n v="0"/>
    <n v="20260226"/>
    <n v="20260405"/>
    <n v="4199.8428999999996"/>
    <n v="36"/>
    <n v="116.66230277777777"/>
    <n v="5827.3117491913054"/>
    <n v="583.31151388888884"/>
    <n v="0"/>
    <n v="6410.6232630801942"/>
    <n v="3817.6933617166651"/>
    <n v="382.14953828333472"/>
    <n v="0"/>
    <n v="4199.8428999999996"/>
  </r>
  <r>
    <x v="0"/>
    <x v="1"/>
    <x v="0"/>
    <n v="19"/>
    <n v="2"/>
    <n v="0"/>
    <n v="20260313"/>
    <n v="20260402"/>
    <n v="1315.7501"/>
    <n v="21"/>
    <n v="62.654766666666667"/>
    <n v="1918.1551492935098"/>
    <n v="125.30953333333333"/>
    <n v="0"/>
    <n v="2043.4646826268431"/>
    <n v="1235.0655487004194"/>
    <n v="80.684551299580576"/>
    <n v="0"/>
    <n v="1315.7501"/>
  </r>
  <r>
    <x v="0"/>
    <x v="1"/>
    <x v="0"/>
    <n v="0"/>
    <n v="10"/>
    <n v="4"/>
    <n v="20260421"/>
    <n v="20260504"/>
    <n v="2532.1833999999999"/>
    <n v="14"/>
    <n v="180.87024285714284"/>
    <n v="0"/>
    <n v="1808.7024285714283"/>
    <n v="543.69263954668941"/>
    <n v="2352.3950681181177"/>
    <n v="0"/>
    <n v="1946.9375392085665"/>
    <n v="585.24586079143342"/>
    <n v="2532.1833999999999"/>
  </r>
  <r>
    <x v="0"/>
    <x v="0"/>
    <x v="0"/>
    <n v="1"/>
    <n v="30"/>
    <n v="5"/>
    <n v="20260331"/>
    <n v="20260505"/>
    <n v="14.056800000000001"/>
    <n v="36"/>
    <n v="0.39046666666666668"/>
    <n v="0.62915837066216063"/>
    <n v="11.714"/>
    <n v="1.4671695665734374"/>
    <n v="13.810327937235598"/>
    <n v="0.64038692092739302"/>
    <n v="11.923059028601179"/>
    <n v="1.4933540504714276"/>
    <n v="14.056799999999999"/>
  </r>
  <r>
    <x v="0"/>
    <x v="0"/>
    <x v="0"/>
    <n v="13"/>
    <n v="7"/>
    <n v="0"/>
    <n v="20260319"/>
    <n v="20260407"/>
    <n v="410.82459999999998"/>
    <n v="20"/>
    <n v="20.541229999999999"/>
    <n v="430.27470132292211"/>
    <n v="143.78861000000001"/>
    <n v="0"/>
    <n v="574.06331132292212"/>
    <n v="307.92323525039507"/>
    <n v="102.90136474960491"/>
    <n v="0"/>
    <n v="410.82459999999998"/>
  </r>
  <r>
    <x v="0"/>
    <x v="1"/>
    <x v="0"/>
    <n v="12"/>
    <n v="1"/>
    <n v="0"/>
    <n v="20260320"/>
    <n v="20260401"/>
    <n v="175.34200000000001"/>
    <n v="13"/>
    <n v="13.487846153846155"/>
    <n v="260.79536209343217"/>
    <n v="13.487846153846155"/>
    <n v="0"/>
    <n v="274.28320824727831"/>
    <n v="166.71957671925892"/>
    <n v="8.6224232807411028"/>
    <n v="0"/>
    <n v="175.34200000000004"/>
  </r>
  <r>
    <x v="0"/>
    <x v="1"/>
    <x v="0"/>
    <n v="12"/>
    <n v="2"/>
    <n v="0"/>
    <n v="20260320"/>
    <n v="20260402"/>
    <n v="850.09019999999998"/>
    <n v="14"/>
    <n v="60.720728571428573"/>
    <n v="1174.0706569259817"/>
    <n v="121.44145714285715"/>
    <n v="0"/>
    <n v="1295.5121140688389"/>
    <n v="770.40264519464415"/>
    <n v="79.687554805355731"/>
    <n v="0"/>
    <n v="850.09019999999987"/>
  </r>
  <r>
    <x v="0"/>
    <x v="0"/>
    <x v="0"/>
    <n v="1"/>
    <n v="15"/>
    <n v="0"/>
    <n v="20260331"/>
    <n v="20260415"/>
    <n v="52.653799999999997"/>
    <n v="16"/>
    <n v="3.2908624999999998"/>
    <n v="5.3025619478569341"/>
    <n v="49.362937499999994"/>
    <n v="0"/>
    <n v="54.665499447856931"/>
    <n v="5.1074267885613356"/>
    <n v="47.546373211438656"/>
    <n v="0"/>
    <n v="52.65379999999999"/>
  </r>
  <r>
    <x v="0"/>
    <x v="1"/>
    <x v="0"/>
    <n v="0"/>
    <n v="15"/>
    <n v="4"/>
    <n v="20260416"/>
    <n v="20260504"/>
    <n v="6291.2003999999997"/>
    <n v="19"/>
    <n v="331.11581052631578"/>
    <n v="0"/>
    <n v="4966.7371578947368"/>
    <n v="995.32806600411232"/>
    <n v="5962.0652238988496"/>
    <n v="0"/>
    <n v="5240.9253540518375"/>
    <n v="1050.2750459481611"/>
    <n v="6291.2003999999988"/>
  </r>
  <r>
    <x v="0"/>
    <x v="0"/>
    <x v="0"/>
    <n v="15"/>
    <n v="2"/>
    <n v="0"/>
    <n v="20260317"/>
    <n v="20260402"/>
    <n v="67946.194099999993"/>
    <n v="17"/>
    <n v="3996.8349470588232"/>
    <n v="96601.414836409458"/>
    <n v="7993.6698941176464"/>
    <n v="0"/>
    <n v="104595.0847305271"/>
    <n v="62753.412358904243"/>
    <n v="5192.7817410957496"/>
    <n v="0"/>
    <n v="67946.194099999993"/>
  </r>
  <r>
    <x v="0"/>
    <x v="1"/>
    <x v="0"/>
    <n v="7"/>
    <n v="2"/>
    <n v="0"/>
    <n v="20260325"/>
    <n v="20260402"/>
    <n v="225.39920000000001"/>
    <n v="9"/>
    <n v="25.044355555555555"/>
    <n v="282.4775351271644"/>
    <n v="50.08871111111111"/>
    <n v="0"/>
    <n v="332.56624623827554"/>
    <n v="191.45121056577887"/>
    <n v="33.947989434221121"/>
    <n v="0"/>
    <n v="225.39919999999998"/>
  </r>
  <r>
    <x v="0"/>
    <x v="0"/>
    <x v="0"/>
    <n v="6"/>
    <n v="30"/>
    <n v="1"/>
    <n v="20260326"/>
    <n v="20260501"/>
    <n v="362.59070000000003"/>
    <n v="37"/>
    <n v="9.7997486486486487"/>
    <n v="94.741924251566402"/>
    <n v="293.99245945945944"/>
    <n v="7.3644662680722899"/>
    <n v="396.09884997909813"/>
    <n v="86.727191042173445"/>
    <n v="269.12204283287411"/>
    <n v="6.7414661249524679"/>
    <n v="362.59070000000003"/>
  </r>
  <r>
    <x v="0"/>
    <x v="0"/>
    <x v="0"/>
    <n v="6"/>
    <n v="30"/>
    <n v="2"/>
    <n v="20260326"/>
    <n v="20260502"/>
    <n v="386.35539999999997"/>
    <n v="38"/>
    <n v="10.167247368421052"/>
    <n v="98.294825159491808"/>
    <n v="305.01742105263156"/>
    <n v="15.28127974878392"/>
    <n v="418.59352596090724"/>
    <n v="90.724615019421478"/>
    <n v="281.52639830546144"/>
    <n v="14.104386675117116"/>
    <n v="386.35540000000003"/>
  </r>
  <r>
    <x v="0"/>
    <x v="1"/>
    <x v="0"/>
    <n v="2"/>
    <n v="30"/>
    <n v="1"/>
    <n v="20260330"/>
    <n v="20260501"/>
    <n v="69726.7068"/>
    <n v="33"/>
    <n v="2112.9305090909093"/>
    <n v="6809.1236968858075"/>
    <n v="63387.915272727274"/>
    <n v="1587.8576092996595"/>
    <n v="71784.896578912754"/>
    <n v="6613.8950420548163"/>
    <n v="61570.480609747763"/>
    <n v="1542.3311481974029"/>
    <n v="69726.706799999985"/>
  </r>
  <r>
    <x v="0"/>
    <x v="0"/>
    <x v="0"/>
    <n v="5"/>
    <n v="30"/>
    <n v="6"/>
    <n v="20260327"/>
    <n v="20260506"/>
    <n v="92.597499999999997"/>
    <n v="41"/>
    <n v="2.2584756097560974"/>
    <n v="18.195392284630046"/>
    <n v="67.754268292682923"/>
    <n v="10.183404518812635"/>
    <n v="96.133065096125605"/>
    <n v="17.526205321668602"/>
    <n v="65.262413634250791"/>
    <n v="9.8088810440806018"/>
    <n v="92.597499999999997"/>
  </r>
  <r>
    <x v="0"/>
    <x v="1"/>
    <x v="1"/>
    <n v="2"/>
    <n v="30"/>
    <n v="3"/>
    <n v="20260330"/>
    <n v="20260503"/>
    <n v="159.05770000000001"/>
    <n v="35"/>
    <n v="4.544505714285715"/>
    <n v="14.645110862206993"/>
    <n v="136.33517142857144"/>
    <n v="10.245525749030516"/>
    <n v="161.22580803980895"/>
    <n v="14.44816855507708"/>
    <n v="134.50178392766941"/>
    <n v="10.10774751725352"/>
    <n v="159.05770000000001"/>
  </r>
  <r>
    <x v="0"/>
    <x v="0"/>
    <x v="0"/>
    <n v="2"/>
    <n v="30"/>
    <n v="4"/>
    <n v="20260330"/>
    <n v="20260504"/>
    <n v="489.69159999999999"/>
    <n v="36"/>
    <n v="13.602544444444444"/>
    <n v="43.835520059038537"/>
    <n v="408.07633333333331"/>
    <n v="40.888999631589158"/>
    <n v="492.800853023961"/>
    <n v="43.558946423940057"/>
    <n v="405.50163695113798"/>
    <n v="40.631016624922005"/>
    <n v="489.69160000000005"/>
  </r>
  <r>
    <x v="0"/>
    <x v="1"/>
    <x v="0"/>
    <n v="14"/>
    <n v="2"/>
    <n v="0"/>
    <n v="20260318"/>
    <n v="20260402"/>
    <n v="168.65809999999999"/>
    <n v="16"/>
    <n v="10.541131249999999"/>
    <n v="237.78873178402876"/>
    <n v="21.082262499999999"/>
    <n v="0"/>
    <n v="258.87099428402877"/>
    <n v="154.92270895402592"/>
    <n v="13.735391045974056"/>
    <n v="0"/>
    <n v="168.65809999999999"/>
  </r>
  <r>
    <x v="0"/>
    <x v="0"/>
    <x v="0"/>
    <n v="11"/>
    <n v="4"/>
    <n v="0"/>
    <n v="20260321"/>
    <n v="20260404"/>
    <n v="2135.0246999999999"/>
    <n v="15"/>
    <n v="142.33498"/>
    <n v="2522.7856030954667"/>
    <n v="569.33992000000001"/>
    <n v="0"/>
    <n v="3092.1255230954666"/>
    <n v="1741.9116834627039"/>
    <n v="393.11301653729629"/>
    <n v="0"/>
    <n v="2135.0246999999999"/>
  </r>
  <r>
    <x v="0"/>
    <x v="1"/>
    <x v="0"/>
    <n v="0"/>
    <n v="10"/>
    <n v="5"/>
    <n v="20260421"/>
    <n v="20260505"/>
    <n v="2827.34"/>
    <n v="15"/>
    <n v="188.48933333333335"/>
    <n v="0"/>
    <n v="1884.8933333333334"/>
    <n v="708.24435758165316"/>
    <n v="2593.1376909149867"/>
    <n v="0"/>
    <n v="2055.1297124474136"/>
    <n v="772.21028755258624"/>
    <n v="2827.3399999999997"/>
  </r>
  <r>
    <x v="0"/>
    <x v="0"/>
    <x v="0"/>
    <n v="20"/>
    <n v="7"/>
    <n v="0"/>
    <n v="20260312"/>
    <n v="20260407"/>
    <n v="10009.807199999999"/>
    <n v="27"/>
    <n v="370.73359999999997"/>
    <n v="11947.250182297275"/>
    <n v="2595.1351999999997"/>
    <n v="0"/>
    <n v="14542.385382297274"/>
    <n v="8223.5250786669003"/>
    <n v="1786.2821213330997"/>
    <n v="0"/>
    <n v="10009.807199999999"/>
  </r>
  <r>
    <x v="0"/>
    <x v="1"/>
    <x v="0"/>
    <n v="0"/>
    <n v="15"/>
    <n v="2"/>
    <n v="20260416"/>
    <n v="20260502"/>
    <n v="1013.4189"/>
    <n v="17"/>
    <n v="59.612876470588233"/>
    <n v="0"/>
    <n v="894.19314705882346"/>
    <n v="89.597607785776475"/>
    <n v="983.79075484459997"/>
    <n v="0"/>
    <n v="921.12294308258026"/>
    <n v="92.29595691741973"/>
    <n v="1013.4189"/>
  </r>
  <r>
    <x v="0"/>
    <x v="0"/>
    <x v="0"/>
    <n v="20"/>
    <n v="1"/>
    <n v="0"/>
    <n v="20260312"/>
    <n v="20260401"/>
    <n v="4733.1579000000002"/>
    <n v="21"/>
    <n v="225.38847142857145"/>
    <n v="7263.3623074970938"/>
    <n v="225.38847142857145"/>
    <n v="0"/>
    <n v="7488.7507789256651"/>
    <n v="4590.7043379034776"/>
    <n v="142.45356209652232"/>
    <n v="0"/>
    <n v="4733.1579000000002"/>
  </r>
  <r>
    <x v="0"/>
    <x v="1"/>
    <x v="0"/>
    <n v="4"/>
    <n v="30"/>
    <n v="4"/>
    <n v="20260328"/>
    <n v="20260504"/>
    <n v="8868.9691999999995"/>
    <n v="38"/>
    <n v="233.39392631578946"/>
    <n v="1504.269172647633"/>
    <n v="7001.8177894736837"/>
    <n v="701.57787067838751"/>
    <n v="9207.6648327997045"/>
    <n v="1448.935990067391"/>
    <n v="6744.2622474315494"/>
    <n v="675.77096250105819"/>
    <n v="8868.9691999999977"/>
  </r>
  <r>
    <x v="0"/>
    <x v="0"/>
    <x v="0"/>
    <n v="5"/>
    <n v="30"/>
    <n v="5"/>
    <n v="20260327"/>
    <n v="20260505"/>
    <n v="17637.889599999999"/>
    <n v="40"/>
    <n v="440.94723999999997"/>
    <n v="3552.4882243432216"/>
    <n v="13228.4172"/>
    <n v="1656.8491659361962"/>
    <n v="18437.754590279419"/>
    <n v="3398.3745037641374"/>
    <n v="12654.543209906407"/>
    <n v="1584.9718863294534"/>
    <n v="17637.889599999999"/>
  </r>
  <r>
    <x v="0"/>
    <x v="1"/>
    <x v="0"/>
    <n v="0"/>
    <n v="2"/>
    <n v="0"/>
    <n v="20260427"/>
    <n v="20260428"/>
    <n v="126.5262"/>
    <n v="2"/>
    <n v="63.263100000000001"/>
    <n v="0"/>
    <n v="126.5262"/>
    <n v="0"/>
    <n v="126.5262"/>
    <n v="0"/>
    <n v="126.5262"/>
    <n v="0"/>
    <n v="126.5262"/>
  </r>
  <r>
    <x v="0"/>
    <x v="1"/>
    <x v="0"/>
    <n v="0"/>
    <n v="3"/>
    <n v="13"/>
    <n v="20260428"/>
    <n v="20260513"/>
    <n v="42.1892"/>
    <n v="16"/>
    <n v="2.636825"/>
    <n v="0"/>
    <n v="7.9104749999999999"/>
    <n v="25.760304985968954"/>
    <n v="33.670779985968956"/>
    <n v="0"/>
    <n v="9.911757672648875"/>
    <n v="32.277442327351125"/>
    <n v="42.1892"/>
  </r>
  <r>
    <x v="0"/>
    <x v="1"/>
    <x v="0"/>
    <n v="0"/>
    <n v="14"/>
    <n v="5"/>
    <n v="20260417"/>
    <n v="20260505"/>
    <n v="633.32749999999999"/>
    <n v="19"/>
    <n v="33.333026315789475"/>
    <n v="0"/>
    <n v="466.66236842105263"/>
    <n v="125.24808376041787"/>
    <n v="591.91045218147053"/>
    <n v="0"/>
    <n v="499.31558067093084"/>
    <n v="134.01191932906912"/>
    <n v="633.32749999999999"/>
  </r>
  <r>
    <x v="0"/>
    <x v="1"/>
    <x v="0"/>
    <n v="0"/>
    <n v="18"/>
    <n v="5"/>
    <n v="20260413"/>
    <n v="20260505"/>
    <n v="4602.0721000000003"/>
    <n v="23"/>
    <n v="200.09009130434785"/>
    <n v="0"/>
    <n v="3601.6216434782614"/>
    <n v="751.83394024579025"/>
    <n v="4353.4555837240514"/>
    <n v="0"/>
    <n v="3807.302535065458"/>
    <n v="794.76956493454236"/>
    <n v="4602.0721000000003"/>
  </r>
  <r>
    <x v="0"/>
    <x v="0"/>
    <x v="0"/>
    <n v="1"/>
    <n v="30"/>
    <n v="6"/>
    <n v="20260331"/>
    <n v="20260506"/>
    <n v="275.8175"/>
    <n v="37"/>
    <n v="7.4545270270270265"/>
    <n v="12.011468529233474"/>
    <n v="223.6358108108108"/>
    <n v="33.612257703697786"/>
    <n v="269.25953704374206"/>
    <n v="12.304014399770919"/>
    <n v="229.0825830183696"/>
    <n v="34.430902581859471"/>
    <n v="275.8175"/>
  </r>
  <r>
    <x v="0"/>
    <x v="1"/>
    <x v="0"/>
    <n v="0"/>
    <n v="16"/>
    <n v="2"/>
    <n v="20260415"/>
    <n v="20260502"/>
    <n v="42.2258"/>
    <n v="18"/>
    <n v="2.345877777777778"/>
    <n v="0"/>
    <n v="37.534044444444447"/>
    <n v="3.5258328316098493"/>
    <n v="41.059877276054294"/>
    <n v="0"/>
    <n v="38.599848782951014"/>
    <n v="3.6259512170489883"/>
    <n v="42.2258"/>
  </r>
  <r>
    <x v="0"/>
    <x v="1"/>
    <x v="0"/>
    <n v="26"/>
    <n v="7"/>
    <n v="0"/>
    <n v="20260306"/>
    <n v="20260407"/>
    <n v="313800.5307"/>
    <n v="33"/>
    <n v="9509.1069909090911"/>
    <n v="398372.26596081344"/>
    <n v="66563.748936363641"/>
    <n v="0"/>
    <n v="464936.01489717711"/>
    <n v="268874.47835657827"/>
    <n v="44926.052343421703"/>
    <n v="0"/>
    <n v="313800.5307"/>
  </r>
  <r>
    <x v="0"/>
    <x v="1"/>
    <x v="0"/>
    <n v="28"/>
    <n v="1"/>
    <n v="0"/>
    <n v="20260304"/>
    <n v="20260401"/>
    <n v="393800.68310000002"/>
    <n v="29"/>
    <n v="13579.333900000001"/>
    <n v="612650.10556677589"/>
    <n v="13579.333900000001"/>
    <n v="0"/>
    <n v="626229.43946677586"/>
    <n v="385261.39920683729"/>
    <n v="8539.2838931627684"/>
    <n v="0"/>
    <n v="393800.68310000008"/>
  </r>
  <r>
    <x v="0"/>
    <x v="1"/>
    <x v="1"/>
    <n v="0"/>
    <n v="14"/>
    <n v="18"/>
    <n v="20260417"/>
    <n v="20260518"/>
    <n v="5705045.8952000001"/>
    <n v="32"/>
    <n v="178282.684225"/>
    <n v="0"/>
    <n v="2495957.5791500001"/>
    <n v="2411615.1854643812"/>
    <n v="4907572.7646143809"/>
    <n v="0"/>
    <n v="2901546.8999657165"/>
    <n v="2803498.9952342845"/>
    <n v="5705045.8952000011"/>
  </r>
  <r>
    <x v="0"/>
    <x v="0"/>
    <x v="0"/>
    <n v="29"/>
    <n v="2"/>
    <n v="0"/>
    <n v="20260303"/>
    <n v="20260402"/>
    <n v="3997759.5296999998"/>
    <n v="31"/>
    <n v="128959.98482903226"/>
    <n v="6025998.0300509017"/>
    <n v="257919.96965806451"/>
    <n v="0"/>
    <n v="6283917.9997089664"/>
    <n v="3833673.6812455454"/>
    <n v="164085.84845445416"/>
    <n v="0"/>
    <n v="3997759.5296999994"/>
  </r>
  <r>
    <x v="0"/>
    <x v="0"/>
    <x v="0"/>
    <n v="25"/>
    <n v="3"/>
    <n v="0"/>
    <n v="20260307"/>
    <n v="20260403"/>
    <n v="922899.52179999999"/>
    <n v="28"/>
    <n v="32960.697207142854"/>
    <n v="1327738.083750309"/>
    <n v="98882.091621428553"/>
    <n v="0"/>
    <n v="1426620.1753717375"/>
    <n v="858931.38462696387"/>
    <n v="63968.137173036157"/>
    <n v="0"/>
    <n v="922899.52179999999"/>
  </r>
  <r>
    <x v="0"/>
    <x v="1"/>
    <x v="0"/>
    <n v="0"/>
    <n v="27"/>
    <n v="6"/>
    <n v="20260404"/>
    <n v="20260506"/>
    <n v="3462343.0589000001"/>
    <n v="33"/>
    <n v="104919.48663333333"/>
    <n v="0"/>
    <n v="2832826.1390999998"/>
    <n v="473079.08470562304"/>
    <n v="3305905.2238056227"/>
    <n v="0"/>
    <n v="2966877.5284769218"/>
    <n v="495465.53042307863"/>
    <n v="3462343.0589000005"/>
  </r>
  <r>
    <x v="0"/>
    <x v="1"/>
    <x v="1"/>
    <n v="0"/>
    <n v="28"/>
    <n v="1"/>
    <n v="20260403"/>
    <n v="20260501"/>
    <n v="1790822.6261"/>
    <n v="29"/>
    <n v="61752.504348275863"/>
    <n v="0"/>
    <n v="1729070.1217517243"/>
    <n v="46406.724452527342"/>
    <n v="1775476.8462042515"/>
    <n v="0"/>
    <n v="1744014.7996107698"/>
    <n v="46807.826489230109"/>
    <n v="1790822.6261"/>
  </r>
  <r>
    <x v="0"/>
    <x v="0"/>
    <x v="0"/>
    <n v="27"/>
    <n v="3"/>
    <n v="0"/>
    <n v="20260305"/>
    <n v="20260403"/>
    <n v="6457120.5736999996"/>
    <n v="30"/>
    <n v="215237.35245666665"/>
    <n v="9363914.0687716901"/>
    <n v="645712.05736999994"/>
    <n v="0"/>
    <n v="10009626.12614169"/>
    <n v="6040577.4823011272"/>
    <n v="416543.09139887261"/>
    <n v="0"/>
    <n v="6457120.5736999996"/>
  </r>
  <r>
    <x v="0"/>
    <x v="1"/>
    <x v="1"/>
    <n v="0"/>
    <n v="28"/>
    <n v="3"/>
    <n v="20260403"/>
    <n v="20260503"/>
    <n v="205207.58180000001"/>
    <n v="31"/>
    <n v="6619.599412903226"/>
    <n v="0"/>
    <n v="185348.78356129033"/>
    <n v="14923.796007114744"/>
    <n v="200272.57956840508"/>
    <n v="0"/>
    <n v="189916.04215689827"/>
    <n v="15291.539643101734"/>
    <n v="205207.58180000001"/>
  </r>
  <r>
    <x v="0"/>
    <x v="1"/>
    <x v="0"/>
    <n v="25"/>
    <n v="6"/>
    <n v="0"/>
    <n v="20260307"/>
    <n v="20260406"/>
    <n v="236133.9791"/>
    <n v="31"/>
    <n v="7617.2251322580641"/>
    <n v="306840.59372407018"/>
    <n v="45703.350793548387"/>
    <n v="0"/>
    <n v="352543.94451761857"/>
    <n v="205521.86889668778"/>
    <n v="30612.110203312201"/>
    <n v="0"/>
    <n v="236133.9791"/>
  </r>
  <r>
    <x v="0"/>
    <x v="0"/>
    <x v="0"/>
    <n v="25"/>
    <n v="6"/>
    <n v="0"/>
    <n v="20260307"/>
    <n v="20260406"/>
    <n v="983891.57499999995"/>
    <n v="31"/>
    <n v="31738.437903225804"/>
    <n v="1278502.4678945518"/>
    <n v="190430.62741935483"/>
    <n v="0"/>
    <n v="1468933.0953139067"/>
    <n v="856341.11641370994"/>
    <n v="127550.45858628997"/>
    <n v="0"/>
    <n v="983891.57499999995"/>
  </r>
  <r>
    <x v="0"/>
    <x v="1"/>
    <x v="0"/>
    <n v="0"/>
    <n v="27"/>
    <n v="3"/>
    <n v="20260404"/>
    <n v="20260503"/>
    <n v="1363096.8848000001"/>
    <n v="30"/>
    <n v="45436.562826666668"/>
    <n v="0"/>
    <n v="1226787.1963200001"/>
    <n v="102436.10717105783"/>
    <n v="1329223.3034910578"/>
    <n v="0"/>
    <n v="1258050.3224886232"/>
    <n v="105046.56231137706"/>
    <n v="1363096.8848000003"/>
  </r>
  <r>
    <x v="0"/>
    <x v="1"/>
    <x v="1"/>
    <n v="27"/>
    <n v="2"/>
    <n v="0"/>
    <n v="20260305"/>
    <n v="20260402"/>
    <n v="155866.1164"/>
    <n v="29"/>
    <n v="5374.6936689655176"/>
    <n v="233826.37394360642"/>
    <n v="10749.387337931035"/>
    <n v="0"/>
    <n v="244575.76128153745"/>
    <n v="149015.62046670113"/>
    <n v="6850.4959332988583"/>
    <n v="0"/>
    <n v="155866.1164"/>
  </r>
  <r>
    <x v="0"/>
    <x v="0"/>
    <x v="0"/>
    <n v="27"/>
    <n v="2"/>
    <n v="0"/>
    <n v="20260305"/>
    <n v="20260402"/>
    <n v="7012000.9272999996"/>
    <n v="29"/>
    <n v="241793.13542413793"/>
    <n v="10519225.016886124"/>
    <n v="483586.27084827586"/>
    <n v="0"/>
    <n v="11002811.2877344"/>
    <n v="6703815.3835383123"/>
    <n v="308185.54376168747"/>
    <n v="0"/>
    <n v="7012000.9272999996"/>
  </r>
  <r>
    <x v="0"/>
    <x v="0"/>
    <x v="1"/>
    <n v="30"/>
    <n v="7"/>
    <n v="0"/>
    <n v="20260302"/>
    <n v="20260407"/>
    <n v="201864.16039999999"/>
    <n v="37"/>
    <n v="5455.7881189189184"/>
    <n v="263727.10322855558"/>
    <n v="38190.516832432426"/>
    <n v="0"/>
    <n v="301917.620060988"/>
    <n v="176329.72284692264"/>
    <n v="25534.437553077372"/>
    <n v="0"/>
    <n v="201864.16040000002"/>
  </r>
  <r>
    <x v="0"/>
    <x v="0"/>
    <x v="1"/>
    <n v="29"/>
    <n v="6"/>
    <n v="0"/>
    <n v="20260303"/>
    <n v="20260406"/>
    <n v="64370.790099999998"/>
    <n v="35"/>
    <n v="1839.1654314285713"/>
    <n v="85939.892761458032"/>
    <n v="11034.992588571427"/>
    <n v="0"/>
    <n v="96974.885350029464"/>
    <n v="57045.891605817131"/>
    <n v="7324.8984941828676"/>
    <n v="0"/>
    <n v="64370.790099999998"/>
  </r>
  <r>
    <x v="0"/>
    <x v="0"/>
    <x v="1"/>
    <n v="28"/>
    <n v="1"/>
    <n v="0"/>
    <n v="20260304"/>
    <n v="20260401"/>
    <n v="3011664.6861"/>
    <n v="29"/>
    <n v="103850.50641724138"/>
    <n v="4685356.7478509424"/>
    <n v="103850.50641724138"/>
    <n v="0"/>
    <n v="4789207.2542681834"/>
    <n v="2946358.9087123815"/>
    <n v="65305.777387618858"/>
    <n v="0"/>
    <n v="3011664.6861000005"/>
  </r>
  <r>
    <x v="0"/>
    <x v="1"/>
    <x v="0"/>
    <n v="28"/>
    <n v="4"/>
    <n v="0"/>
    <n v="20260304"/>
    <n v="20260404"/>
    <n v="68846.0484"/>
    <n v="32"/>
    <n v="2151.4390125"/>
    <n v="97065.095227432685"/>
    <n v="8605.75605"/>
    <n v="0"/>
    <n v="105670.85127743268"/>
    <n v="63239.277087243267"/>
    <n v="5606.771312756734"/>
    <n v="0"/>
    <n v="68846.0484"/>
  </r>
  <r>
    <x v="0"/>
    <x v="1"/>
    <x v="0"/>
    <n v="27"/>
    <n v="5"/>
    <n v="0"/>
    <n v="20260305"/>
    <n v="20260405"/>
    <n v="84838.938899999994"/>
    <n v="32"/>
    <n v="2651.2168406249998"/>
    <n v="115341.3493984089"/>
    <n v="13256.084203124999"/>
    <n v="0"/>
    <n v="128597.43360153391"/>
    <n v="76093.56905656353"/>
    <n v="8745.3698434364596"/>
    <n v="0"/>
    <n v="84838.938899999994"/>
  </r>
  <r>
    <x v="0"/>
    <x v="0"/>
    <x v="1"/>
    <n v="29"/>
    <n v="1"/>
    <n v="0"/>
    <n v="20260303"/>
    <n v="20260401"/>
    <n v="1213715.5353999999"/>
    <n v="30"/>
    <n v="40457.184513333334"/>
    <n v="1890469.4700605138"/>
    <n v="40457.184513333334"/>
    <n v="0"/>
    <n v="1930926.6545738471"/>
    <n v="1188285.5102635899"/>
    <n v="25430.025136409975"/>
    <n v="0"/>
    <n v="1213715.5353999999"/>
  </r>
  <r>
    <x v="0"/>
    <x v="1"/>
    <x v="0"/>
    <n v="0"/>
    <n v="29"/>
    <n v="6"/>
    <n v="20260402"/>
    <n v="20260506"/>
    <n v="1287945.3737000001"/>
    <n v="35"/>
    <n v="36798.439248571434"/>
    <n v="0"/>
    <n v="1067154.7382085717"/>
    <n v="165923.15228483855"/>
    <n v="1233077.8904934102"/>
    <n v="0"/>
    <n v="1114639.2443609466"/>
    <n v="173306.12933905367"/>
    <n v="1287945.3737000003"/>
  </r>
  <r>
    <x v="0"/>
    <x v="0"/>
    <x v="1"/>
    <n v="25"/>
    <n v="6"/>
    <n v="0"/>
    <n v="20260307"/>
    <n v="20260406"/>
    <n v="1025195.7749"/>
    <n v="31"/>
    <n v="33070.831448387093"/>
    <n v="1332174.5623085729"/>
    <n v="198424.98869032256"/>
    <n v="0"/>
    <n v="1530599.5509988954"/>
    <n v="892290.69211257808"/>
    <n v="132905.08278742188"/>
    <n v="0"/>
    <n v="1025195.7749"/>
  </r>
  <r>
    <x v="0"/>
    <x v="0"/>
    <x v="1"/>
    <n v="25"/>
    <n v="1"/>
    <n v="0"/>
    <n v="20260307"/>
    <n v="20260401"/>
    <n v="240319.3806"/>
    <n v="26"/>
    <n v="9243.053100000001"/>
    <n v="372332.94956930802"/>
    <n v="9243.053100000001"/>
    <n v="0"/>
    <n v="381576.00266930804"/>
    <n v="234498.03759020389"/>
    <n v="5821.3430097960891"/>
    <n v="0"/>
    <n v="240319.38059999997"/>
  </r>
  <r>
    <x v="0"/>
    <x v="0"/>
    <x v="0"/>
    <n v="26"/>
    <n v="5"/>
    <n v="0"/>
    <n v="20260306"/>
    <n v="20260405"/>
    <n v="728096.54330000002"/>
    <n v="31"/>
    <n v="23486.985267741937"/>
    <n v="983958.17300653702"/>
    <n v="117434.92633870969"/>
    <n v="0"/>
    <n v="1101393.0993452468"/>
    <n v="650463.9850601356"/>
    <n v="77632.558239864418"/>
    <n v="0"/>
    <n v="728096.54330000002"/>
  </r>
  <r>
    <x v="0"/>
    <x v="1"/>
    <x v="0"/>
    <n v="0"/>
    <n v="23"/>
    <n v="2"/>
    <n v="20260408"/>
    <n v="20260502"/>
    <n v="243889.23389999999"/>
    <n v="25"/>
    <n v="9755.569356"/>
    <n v="0"/>
    <n v="224378.09518800001"/>
    <n v="14662.531463602147"/>
    <n v="239040.62665160216"/>
    <n v="0"/>
    <n v="228929.29334184297"/>
    <n v="14959.940558157021"/>
    <n v="243889.23389999999"/>
  </r>
  <r>
    <x v="0"/>
    <x v="1"/>
    <x v="1"/>
    <n v="0"/>
    <n v="29"/>
    <n v="3"/>
    <n v="20260402"/>
    <n v="20260503"/>
    <n v="78429.678799999994"/>
    <n v="32"/>
    <n v="2450.9274624999998"/>
    <n v="0"/>
    <n v="71076.896412499991"/>
    <n v="5525.5823195717148"/>
    <n v="76602.478732071701"/>
    <n v="0"/>
    <n v="72772.294682930602"/>
    <n v="5657.3841170693941"/>
    <n v="78429.678799999994"/>
  </r>
  <r>
    <x v="0"/>
    <x v="1"/>
    <x v="1"/>
    <n v="0"/>
    <n v="15"/>
    <n v="16"/>
    <n v="20260416"/>
    <n v="20260516"/>
    <n v="367116.78230000002"/>
    <n v="31"/>
    <n v="11842.476848387098"/>
    <n v="0"/>
    <n v="177637.15272580646"/>
    <n v="142393.07460997015"/>
    <n v="320030.22733577661"/>
    <n v="0"/>
    <n v="203773.18876572704"/>
    <n v="163343.59353427298"/>
    <n v="367116.78230000002"/>
  </r>
  <r>
    <x v="0"/>
    <x v="0"/>
    <x v="1"/>
    <n v="14"/>
    <n v="16"/>
    <n v="0"/>
    <n v="20260318"/>
    <n v="20260416"/>
    <n v="1859514.3728"/>
    <n v="30"/>
    <n v="61983.812426666664"/>
    <n v="1398241.9721864471"/>
    <n v="991740.99882666662"/>
    <n v="0"/>
    <n v="2389982.9710131139"/>
    <n v="1087895.2174419696"/>
    <n v="771619.15535803011"/>
    <n v="0"/>
    <n v="1859514.3727999995"/>
  </r>
  <r>
    <x v="0"/>
    <x v="1"/>
    <x v="1"/>
    <n v="0"/>
    <n v="24"/>
    <n v="4"/>
    <n v="20260407"/>
    <n v="20260504"/>
    <n v="721665.57290000003"/>
    <n v="28"/>
    <n v="25773.770460714288"/>
    <n v="0"/>
    <n v="618570.49105714285"/>
    <n v="77475.482265616083"/>
    <n v="696045.97332275892"/>
    <n v="0"/>
    <n v="641338.42435259605"/>
    <n v="80327.148547403951"/>
    <n v="721665.57290000003"/>
  </r>
  <r>
    <x v="0"/>
    <x v="1"/>
    <x v="1"/>
    <n v="25"/>
    <n v="7"/>
    <n v="0"/>
    <n v="20260307"/>
    <n v="20260407"/>
    <n v="85076.538100000005"/>
    <n v="32"/>
    <n v="2658.6418156250002"/>
    <n v="107096.64202404687"/>
    <n v="18610.492709375001"/>
    <n v="0"/>
    <n v="125707.13473342187"/>
    <n v="72481.260231273292"/>
    <n v="12595.277868726705"/>
    <n v="0"/>
    <n v="85076.538100000005"/>
  </r>
  <r>
    <x v="0"/>
    <x v="1"/>
    <x v="1"/>
    <n v="16"/>
    <n v="16"/>
    <n v="0"/>
    <n v="20260316"/>
    <n v="20260416"/>
    <n v="178468.8622"/>
    <n v="32"/>
    <n v="5577.1519437500001"/>
    <n v="143783.30871907331"/>
    <n v="89234.431100000002"/>
    <n v="0"/>
    <n v="233017.73981907329"/>
    <n v="110123.99111916854"/>
    <n v="68344.871080831464"/>
    <n v="0"/>
    <n v="178468.8622"/>
  </r>
  <r>
    <x v="0"/>
    <x v="1"/>
    <x v="0"/>
    <n v="25"/>
    <n v="7"/>
    <n v="0"/>
    <n v="20260307"/>
    <n v="20260407"/>
    <n v="317587.74660000001"/>
    <n v="32"/>
    <n v="9924.6170812500004"/>
    <n v="399788.02579937025"/>
    <n v="69472.319568749997"/>
    <n v="0"/>
    <n v="469260.34536812024"/>
    <n v="270570.01403279108"/>
    <n v="47017.732567208972"/>
    <n v="0"/>
    <n v="317587.74660000007"/>
  </r>
  <r>
    <x v="0"/>
    <x v="1"/>
    <x v="0"/>
    <n v="0"/>
    <n v="23"/>
    <n v="5"/>
    <n v="20260408"/>
    <n v="20260505"/>
    <n v="373574.2475"/>
    <n v="28"/>
    <n v="13341.937410714285"/>
    <n v="0"/>
    <n v="306864.56044642854"/>
    <n v="50132.024572633447"/>
    <n v="356996.58501906198"/>
    <n v="0"/>
    <n v="321114.26849383372"/>
    <n v="52459.979006166286"/>
    <n v="373574.2475"/>
  </r>
  <r>
    <x v="0"/>
    <x v="1"/>
    <x v="0"/>
    <n v="27"/>
    <n v="7"/>
    <n v="0"/>
    <n v="20260305"/>
    <n v="20260407"/>
    <n v="217033.14129999999"/>
    <n v="34"/>
    <n v="6383.3276852941171"/>
    <n v="277707.05797888583"/>
    <n v="44683.293797058817"/>
    <n v="0"/>
    <n v="322390.35177594464"/>
    <n v="186952.35394707622"/>
    <n v="30080.787352923766"/>
    <n v="0"/>
    <n v="217033.14129999999"/>
  </r>
  <r>
    <x v="0"/>
    <x v="0"/>
    <x v="1"/>
    <n v="27"/>
    <n v="4"/>
    <n v="0"/>
    <n v="20260305"/>
    <n v="20260404"/>
    <n v="453661.39750000002"/>
    <n v="31"/>
    <n v="14634.238629032259"/>
    <n v="636663.43885058735"/>
    <n v="58536.954516129037"/>
    <n v="0"/>
    <n v="695200.39336671634"/>
    <n v="415462.40215338377"/>
    <n v="38198.995346616328"/>
    <n v="0"/>
    <n v="453661.39750000008"/>
  </r>
  <r>
    <x v="0"/>
    <x v="0"/>
    <x v="0"/>
    <n v="23"/>
    <n v="4"/>
    <n v="0"/>
    <n v="20260309"/>
    <n v="20260404"/>
    <n v="116312.1781"/>
    <n v="27"/>
    <n v="4307.8584481481485"/>
    <n v="159648.65883330011"/>
    <n v="17231.433792592594"/>
    <n v="0"/>
    <n v="176880.09262589272"/>
    <n v="104981.19355307649"/>
    <n v="11330.984546923502"/>
    <n v="0"/>
    <n v="116312.17809999999"/>
  </r>
  <r>
    <x v="0"/>
    <x v="0"/>
    <x v="1"/>
    <n v="26"/>
    <n v="4"/>
    <n v="0"/>
    <n v="20260306"/>
    <n v="20260404"/>
    <n v="216397.8236"/>
    <n v="30"/>
    <n v="7213.2607866666667"/>
    <n v="302190.6312861836"/>
    <n v="28853.043146666667"/>
    <n v="0"/>
    <n v="331043.67443285027"/>
    <n v="197537.06224616221"/>
    <n v="18860.761353837792"/>
    <n v="0"/>
    <n v="216397.8236"/>
  </r>
  <r>
    <x v="0"/>
    <x v="1"/>
    <x v="0"/>
    <n v="0"/>
    <n v="25"/>
    <n v="7"/>
    <n v="20260406"/>
    <n v="20260507"/>
    <n v="284712.87900000002"/>
    <n v="32"/>
    <n v="8897.2774687500005"/>
    <n v="0"/>
    <n v="222431.93671875002"/>
    <n v="46803.843141147438"/>
    <n v="269235.77985989745"/>
    <n v="0"/>
    <n v="235218.50297050358"/>
    <n v="49494.376029496452"/>
    <n v="284712.87900000002"/>
  </r>
  <r>
    <x v="0"/>
    <x v="1"/>
    <x v="0"/>
    <n v="0"/>
    <n v="22"/>
    <n v="1"/>
    <n v="20260409"/>
    <n v="20260501"/>
    <n v="195783.6128"/>
    <n v="23"/>
    <n v="8512.3309913043486"/>
    <n v="0"/>
    <n v="187271.28180869567"/>
    <n v="6396.9777895039988"/>
    <n v="193668.25959819966"/>
    <n v="0"/>
    <n v="189316.76363623497"/>
    <n v="6466.8491637650541"/>
    <n v="195783.61280000003"/>
  </r>
  <r>
    <x v="0"/>
    <x v="1"/>
    <x v="0"/>
    <n v="0"/>
    <n v="25"/>
    <n v="1"/>
    <n v="20260406"/>
    <n v="20260501"/>
    <n v="225432.8561"/>
    <n v="26"/>
    <n v="8670.494465384616"/>
    <n v="0"/>
    <n v="216762.3616346154"/>
    <n v="6515.8369165557806"/>
    <n v="223278.19855117117"/>
    <n v="0"/>
    <n v="218854.14068796061"/>
    <n v="6578.715412039418"/>
    <n v="225432.85610000003"/>
  </r>
  <r>
    <x v="0"/>
    <x v="1"/>
    <x v="1"/>
    <n v="0"/>
    <n v="23"/>
    <n v="7"/>
    <n v="20260408"/>
    <n v="20260507"/>
    <n v="181611.4498"/>
    <n v="30"/>
    <n v="6053.714993333333"/>
    <n v="0"/>
    <n v="139235.44484666665"/>
    <n v="31845.373819615452"/>
    <n v="171080.81866628211"/>
    <n v="0"/>
    <n v="147805.88028092464"/>
    <n v="33805.569519075369"/>
    <n v="181611.4498"/>
  </r>
  <r>
    <x v="0"/>
    <x v="1"/>
    <x v="0"/>
    <n v="29"/>
    <n v="4"/>
    <n v="0"/>
    <n v="20260303"/>
    <n v="20260404"/>
    <n v="47743.498599999999"/>
    <n v="33"/>
    <n v="1446.7726848484849"/>
    <n v="67604.298809328946"/>
    <n v="5787.0907393939397"/>
    <n v="0"/>
    <n v="73391.389548722887"/>
    <n v="43978.806851918285"/>
    <n v="3764.6917480817128"/>
    <n v="0"/>
    <n v="47743.498599999999"/>
  </r>
  <r>
    <x v="0"/>
    <x v="0"/>
    <x v="0"/>
    <n v="29"/>
    <n v="4"/>
    <n v="0"/>
    <n v="20260303"/>
    <n v="20260404"/>
    <n v="346140.36560000002"/>
    <n v="33"/>
    <n v="10489.101987878788"/>
    <n v="490131.16742962704"/>
    <n v="41956.407951515153"/>
    <n v="0"/>
    <n v="532087.5753811422"/>
    <n v="318846.35036726826"/>
    <n v="27294.015232731756"/>
    <n v="0"/>
    <n v="346140.36560000002"/>
  </r>
  <r>
    <x v="0"/>
    <x v="1"/>
    <x v="0"/>
    <n v="0"/>
    <n v="23"/>
    <n v="1"/>
    <n v="20260408"/>
    <n v="20260501"/>
    <n v="336716.85200000001"/>
    <n v="24"/>
    <n v="14029.868833333334"/>
    <n v="0"/>
    <n v="322686.9831666667"/>
    <n v="10543.382230809551"/>
    <n v="333230.36539747624"/>
    <n v="0"/>
    <n v="326063.15761066566"/>
    <n v="10653.694389334354"/>
    <n v="336716.85200000001"/>
  </r>
  <r>
    <x v="0"/>
    <x v="1"/>
    <x v="0"/>
    <n v="0"/>
    <n v="23"/>
    <n v="9"/>
    <n v="20260408"/>
    <n v="20260509"/>
    <n v="322936.54619999998"/>
    <n v="32"/>
    <n v="10091.767068749999"/>
    <n v="0"/>
    <n v="232110.64258124999"/>
    <n v="68255.250971126283"/>
    <n v="300365.89355237631"/>
    <n v="0"/>
    <n v="249552.33220705498"/>
    <n v="73384.213992944991"/>
    <n v="322936.54619999998"/>
  </r>
  <r>
    <x v="0"/>
    <x v="0"/>
    <x v="0"/>
    <n v="25"/>
    <n v="1"/>
    <n v="0"/>
    <n v="20260307"/>
    <n v="20260401"/>
    <n v="563834.0906"/>
    <n v="26"/>
    <n v="21685.926561538461"/>
    <n v="873562.54621116666"/>
    <n v="21685.926561538461"/>
    <n v="0"/>
    <n v="895248.47277270514"/>
    <n v="550176.13411807059"/>
    <n v="13657.956481929466"/>
    <n v="0"/>
    <n v="563834.09060000011"/>
  </r>
  <r>
    <x v="0"/>
    <x v="1"/>
    <x v="1"/>
    <n v="0"/>
    <n v="13"/>
    <n v="18"/>
    <n v="20260418"/>
    <n v="20260518"/>
    <n v="639931.32039999997"/>
    <n v="31"/>
    <n v="20642.945819354838"/>
    <n v="0"/>
    <n v="268358.29565161292"/>
    <n v="279235.42786604352"/>
    <n v="547593.72351765644"/>
    <n v="0"/>
    <n v="313610.01980347384"/>
    <n v="326321.30059652613"/>
    <n v="639931.32039999997"/>
  </r>
  <r>
    <x v="0"/>
    <x v="1"/>
    <x v="1"/>
    <n v="13"/>
    <n v="16"/>
    <n v="0"/>
    <n v="20260319"/>
    <n v="20260416"/>
    <n v="22378.754799999999"/>
    <n v="29"/>
    <n v="771.68119999999999"/>
    <n v="16164.31430087264"/>
    <n v="12346.8992"/>
    <n v="0"/>
    <n v="28511.21350087264"/>
    <n v="12687.542262565939"/>
    <n v="9691.2125374340594"/>
    <n v="0"/>
    <n v="22378.754799999999"/>
  </r>
  <r>
    <x v="0"/>
    <x v="1"/>
    <x v="0"/>
    <n v="0"/>
    <n v="26"/>
    <n v="5"/>
    <n v="20260405"/>
    <n v="20260505"/>
    <n v="443525.53700000001"/>
    <n v="31"/>
    <n v="14307.275387096775"/>
    <n v="0"/>
    <n v="371989.16006451618"/>
    <n v="53759.259933072179"/>
    <n v="425748.41999758838"/>
    <n v="0"/>
    <n v="387521.56021325471"/>
    <n v="56003.97678674529"/>
    <n v="443525.53700000001"/>
  </r>
  <r>
    <x v="0"/>
    <x v="0"/>
    <x v="1"/>
    <n v="16"/>
    <n v="17"/>
    <n v="0"/>
    <n v="20260316"/>
    <n v="20260417"/>
    <n v="163706.7059"/>
    <n v="33"/>
    <n v="4960.8092696969697"/>
    <n v="127893.51588683442"/>
    <n v="84333.757584848485"/>
    <n v="0"/>
    <n v="212227.27347168291"/>
    <n v="98653.796231315035"/>
    <n v="65052.909668684944"/>
    <n v="0"/>
    <n v="163706.70589999997"/>
  </r>
  <r>
    <x v="0"/>
    <x v="0"/>
    <x v="0"/>
    <n v="14"/>
    <n v="16"/>
    <n v="0"/>
    <n v="20260318"/>
    <n v="20260416"/>
    <n v="435544.79369999998"/>
    <n v="30"/>
    <n v="14518.15979"/>
    <n v="327503.25581061153"/>
    <n v="232290.55664"/>
    <n v="0"/>
    <n v="559793.8124506115"/>
    <n v="254812.28054962811"/>
    <n v="180732.51315037187"/>
    <n v="0"/>
    <n v="435544.79369999998"/>
  </r>
  <r>
    <x v="0"/>
    <x v="0"/>
    <x v="0"/>
    <n v="29"/>
    <n v="5"/>
    <n v="0"/>
    <n v="20260303"/>
    <n v="20260405"/>
    <n v="156005.0526"/>
    <n v="34"/>
    <n v="4588.3838999999998"/>
    <n v="214404.43234522335"/>
    <n v="22941.9195"/>
    <n v="0"/>
    <n v="237346.35184522334"/>
    <n v="140925.59032675464"/>
    <n v="15079.462273245364"/>
    <n v="0"/>
    <n v="156005.0526"/>
  </r>
  <r>
    <x v="0"/>
    <x v="1"/>
    <x v="1"/>
    <n v="0"/>
    <n v="27"/>
    <n v="5"/>
    <n v="20260404"/>
    <n v="20260505"/>
    <n v="151997.90760000001"/>
    <n v="32"/>
    <n v="4749.9346125000002"/>
    <n v="0"/>
    <n v="128248.2345375"/>
    <n v="17847.770633448337"/>
    <n v="146096.00517094834"/>
    <n v="0"/>
    <n v="133429.13298884913"/>
    <n v="18568.774611150886"/>
    <n v="151997.90760000001"/>
  </r>
  <r>
    <x v="0"/>
    <x v="1"/>
    <x v="0"/>
    <n v="28"/>
    <n v="5"/>
    <n v="0"/>
    <n v="20260304"/>
    <n v="20260405"/>
    <n v="67047.763000000006"/>
    <n v="33"/>
    <n v="2031.7503939393941"/>
    <n v="91665.180523494462"/>
    <n v="10158.75196969697"/>
    <n v="0"/>
    <n v="101823.93249319143"/>
    <n v="60358.553717245486"/>
    <n v="6689.2092827545202"/>
    <n v="0"/>
    <n v="67047.763000000006"/>
  </r>
  <r>
    <x v="0"/>
    <x v="1"/>
    <x v="0"/>
    <n v="0"/>
    <n v="14"/>
    <n v="19"/>
    <n v="20260417"/>
    <n v="20260519"/>
    <n v="52793.552300000003"/>
    <n v="33"/>
    <n v="1599.8046151515152"/>
    <n v="0"/>
    <n v="22397.264612121213"/>
    <n v="22842.671111046595"/>
    <n v="45239.935723167808"/>
    <n v="0"/>
    <n v="26136.88860904871"/>
    <n v="26656.663690951293"/>
    <n v="52793.552300000003"/>
  </r>
  <r>
    <x v="0"/>
    <x v="0"/>
    <x v="0"/>
    <n v="30"/>
    <n v="8"/>
    <n v="0"/>
    <n v="20260302"/>
    <n v="20260408"/>
    <n v="24743.8318"/>
    <n v="38"/>
    <n v="651.15346842105259"/>
    <n v="31476.079026679497"/>
    <n v="5209.2277473684208"/>
    <n v="0"/>
    <n v="36685.306774047916"/>
    <n v="21230.26556535803"/>
    <n v="3513.5662346419699"/>
    <n v="0"/>
    <n v="24743.8318"/>
  </r>
  <r>
    <x v="0"/>
    <x v="1"/>
    <x v="0"/>
    <n v="24"/>
    <n v="4"/>
    <n v="0"/>
    <n v="20260308"/>
    <n v="20260404"/>
    <n v="15472.632900000001"/>
    <n v="28"/>
    <n v="552.59403214285715"/>
    <n v="21369.454998160851"/>
    <n v="2210.3761285714286"/>
    <n v="0"/>
    <n v="23579.831126732279"/>
    <n v="14022.226481714153"/>
    <n v="1450.4064182858481"/>
    <n v="0"/>
    <n v="15472.632900000001"/>
  </r>
  <r>
    <x v="0"/>
    <x v="1"/>
    <x v="0"/>
    <n v="0"/>
    <n v="13"/>
    <n v="15"/>
    <n v="20260418"/>
    <n v="20260515"/>
    <n v="840606.20739999996"/>
    <n v="28"/>
    <n v="30021.650264285712"/>
    <n v="0"/>
    <n v="390281.45343571424"/>
    <n v="338416.9920220612"/>
    <n v="728698.44545777538"/>
    <n v="0"/>
    <n v="450217.80194008345"/>
    <n v="390388.40545991651"/>
    <n v="840606.20739999996"/>
  </r>
  <r>
    <x v="0"/>
    <x v="1"/>
    <x v="0"/>
    <n v="14"/>
    <n v="17"/>
    <n v="0"/>
    <n v="20260318"/>
    <n v="20260417"/>
    <n v="97522.265499999994"/>
    <n v="31"/>
    <n v="3145.8795322580645"/>
    <n v="70965.315446667912"/>
    <n v="53479.952048387095"/>
    <n v="0"/>
    <n v="124445.26749505501"/>
    <n v="55612.386662724653"/>
    <n v="41909.878837275341"/>
    <n v="0"/>
    <n v="97522.265499999994"/>
  </r>
  <r>
    <x v="0"/>
    <x v="0"/>
    <x v="0"/>
    <n v="14"/>
    <n v="17"/>
    <n v="0"/>
    <n v="20260318"/>
    <n v="20260417"/>
    <n v="80312.453999999998"/>
    <n v="31"/>
    <n v="2590.7243225806451"/>
    <n v="58442.024528296111"/>
    <n v="44042.313483870967"/>
    <n v="0"/>
    <n v="102484.33801216708"/>
    <n v="45798.436108729315"/>
    <n v="34514.017891270683"/>
    <n v="0"/>
    <n v="80312.453999999998"/>
  </r>
  <r>
    <x v="0"/>
    <x v="0"/>
    <x v="1"/>
    <n v="23"/>
    <n v="8"/>
    <n v="0"/>
    <n v="20260309"/>
    <n v="20260408"/>
    <n v="103815.7055"/>
    <n v="31"/>
    <n v="3348.8937258064516"/>
    <n v="124109.55427982692"/>
    <n v="26791.149806451613"/>
    <n v="0"/>
    <n v="150900.70408627854"/>
    <n v="85384.100855380762"/>
    <n v="18431.604644619223"/>
    <n v="0"/>
    <n v="103815.70549999998"/>
  </r>
  <r>
    <x v="0"/>
    <x v="0"/>
    <x v="1"/>
    <n v="30"/>
    <n v="4"/>
    <n v="0"/>
    <n v="20260302"/>
    <n v="20260404"/>
    <n v="19471.365399999999"/>
    <n v="34"/>
    <n v="572.68721764705879"/>
    <n v="27683.10236285493"/>
    <n v="2290.7488705882351"/>
    <n v="0"/>
    <n v="29973.851233443165"/>
    <n v="17983.268059705799"/>
    <n v="1488.0973402942013"/>
    <n v="0"/>
    <n v="19471.365399999999"/>
  </r>
  <r>
    <x v="0"/>
    <x v="1"/>
    <x v="1"/>
    <n v="23"/>
    <n v="1"/>
    <n v="0"/>
    <n v="20260309"/>
    <n v="20260401"/>
    <n v="80.739599999999996"/>
    <n v="24"/>
    <n v="3.36415"/>
    <n v="124.67494976417484"/>
    <n v="3.36415"/>
    <n v="0"/>
    <n v="128.03909976417484"/>
    <n v="78.618215783457742"/>
    <n v="2.1213842165422578"/>
    <n v="0"/>
    <n v="80.739599999999996"/>
  </r>
  <r>
    <x v="0"/>
    <x v="0"/>
    <x v="1"/>
    <n v="29"/>
    <n v="7"/>
    <n v="0"/>
    <n v="20260303"/>
    <n v="20260407"/>
    <n v="5062.0995000000003"/>
    <n v="36"/>
    <n v="140.61387500000001"/>
    <n v="6570.5570210106425"/>
    <n v="984.29712500000005"/>
    <n v="0"/>
    <n v="7554.8541460106426"/>
    <n v="4402.5751878139044"/>
    <n v="659.52431218609513"/>
    <n v="0"/>
    <n v="5062.0994999999994"/>
  </r>
  <r>
    <x v="0"/>
    <x v="0"/>
    <x v="1"/>
    <n v="25"/>
    <n v="8"/>
    <n v="0"/>
    <n v="20260307"/>
    <n v="20260408"/>
    <n v="61053.618499999997"/>
    <n v="33"/>
    <n v="1850.1096515151514"/>
    <n v="74526.974596227403"/>
    <n v="14800.877212121211"/>
    <n v="0"/>
    <n v="89327.851808348612"/>
    <n v="50937.545041601472"/>
    <n v="10116.073458398523"/>
    <n v="0"/>
    <n v="61053.618499999997"/>
  </r>
  <r>
    <x v="0"/>
    <x v="0"/>
    <x v="0"/>
    <n v="22"/>
    <n v="3"/>
    <n v="0"/>
    <n v="20260310"/>
    <n v="20260403"/>
    <n v="63660.846400000002"/>
    <n v="25"/>
    <n v="2546.4338560000001"/>
    <n v="90267.433503017674"/>
    <n v="7639.3015680000008"/>
    <n v="0"/>
    <n v="97906.735071017669"/>
    <n v="58693.625264794478"/>
    <n v="4967.2211352055283"/>
    <n v="0"/>
    <n v="63660.846400000009"/>
  </r>
  <r>
    <x v="0"/>
    <x v="1"/>
    <x v="0"/>
    <n v="0"/>
    <n v="22"/>
    <n v="6"/>
    <n v="20260409"/>
    <n v="20260506"/>
    <n v="66982.525099999999"/>
    <n v="28"/>
    <n v="2392.2330392857143"/>
    <n v="0"/>
    <n v="52629.126864285718"/>
    <n v="10786.51309630299"/>
    <n v="63415.639960588705"/>
    <n v="0"/>
    <n v="55589.312248034541"/>
    <n v="11393.212851965462"/>
    <n v="66982.525099999999"/>
  </r>
  <r>
    <x v="0"/>
    <x v="1"/>
    <x v="0"/>
    <n v="0"/>
    <n v="28"/>
    <n v="10"/>
    <n v="20260403"/>
    <n v="20260510"/>
    <n v="54493.154499999997"/>
    <n v="38"/>
    <n v="1434.0303815789473"/>
    <n v="0"/>
    <n v="40152.850684210527"/>
    <n v="10776.672699646535"/>
    <n v="50929.523383857064"/>
    <n v="0"/>
    <n v="42962.4184671568"/>
    <n v="11530.736032843195"/>
    <n v="54493.154499999997"/>
  </r>
  <r>
    <x v="0"/>
    <x v="1"/>
    <x v="0"/>
    <n v="0"/>
    <n v="28"/>
    <n v="9"/>
    <n v="20260403"/>
    <n v="20260509"/>
    <n v="91191.734500000006"/>
    <n v="37"/>
    <n v="2464.6414729729731"/>
    <n v="0"/>
    <n v="69009.961243243248"/>
    <n v="16669.501103779792"/>
    <n v="85679.462347023044"/>
    <n v="0"/>
    <n v="73449.784711070679"/>
    <n v="17741.949788929327"/>
    <n v="91191.734500000006"/>
  </r>
  <r>
    <x v="0"/>
    <x v="1"/>
    <x v="1"/>
    <n v="0"/>
    <n v="25"/>
    <n v="6"/>
    <n v="20260406"/>
    <n v="20260506"/>
    <n v="9366.0074999999997"/>
    <n v="31"/>
    <n v="302.12927419354838"/>
    <n v="0"/>
    <n v="7553.2318548387093"/>
    <n v="1362.2926024959061"/>
    <n v="8915.5244573346154"/>
    <n v="0"/>
    <n v="7934.8810650683545"/>
    <n v="1431.1264349316446"/>
    <n v="9366.0074999999997"/>
  </r>
  <r>
    <x v="0"/>
    <x v="1"/>
    <x v="1"/>
    <n v="0"/>
    <n v="14"/>
    <n v="19"/>
    <n v="20260417"/>
    <n v="20260519"/>
    <n v="4525.2182000000003"/>
    <n v="33"/>
    <n v="137.12782424242425"/>
    <n v="0"/>
    <n v="1919.7895393939395"/>
    <n v="1957.9677166054666"/>
    <n v="3877.757255999406"/>
    <n v="0"/>
    <n v="2240.3327465623092"/>
    <n v="2284.885453437691"/>
    <n v="4525.2182000000003"/>
  </r>
  <r>
    <x v="0"/>
    <x v="0"/>
    <x v="1"/>
    <n v="24"/>
    <n v="3"/>
    <n v="0"/>
    <n v="20260308"/>
    <n v="20260403"/>
    <n v="786.44380000000001"/>
    <n v="27"/>
    <n v="29.127548148148147"/>
    <n v="1126.396220648473"/>
    <n v="87.382644444444438"/>
    <n v="0"/>
    <n v="1213.7788650929174"/>
    <n v="729.82595886987212"/>
    <n v="56.617841130127928"/>
    <n v="0"/>
    <n v="786.44380000000001"/>
  </r>
  <r>
    <x v="0"/>
    <x v="1"/>
    <x v="1"/>
    <n v="0"/>
    <n v="22"/>
    <n v="1"/>
    <n v="20260409"/>
    <n v="20260501"/>
    <n v="9033.5691999999999"/>
    <n v="23"/>
    <n v="392.76387826086955"/>
    <n v="0"/>
    <n v="8640.8053217391298"/>
    <n v="295.16025731622108"/>
    <n v="8935.9655790553516"/>
    <n v="0"/>
    <n v="8735.1850370388711"/>
    <n v="298.38416296112877"/>
    <n v="9033.5691999999999"/>
  </r>
  <r>
    <x v="0"/>
    <x v="1"/>
    <x v="1"/>
    <n v="0"/>
    <n v="24"/>
    <n v="3"/>
    <n v="20260407"/>
    <n v="20260503"/>
    <n v="2785.4018000000001"/>
    <n v="27"/>
    <n v="103.16302962962963"/>
    <n v="0"/>
    <n v="2475.9127111111111"/>
    <n v="232.57963414938664"/>
    <n v="2708.4923452604976"/>
    <n v="0"/>
    <n v="2546.2179113186621"/>
    <n v="239.183888681338"/>
    <n v="2785.4018000000001"/>
  </r>
  <r>
    <x v="0"/>
    <x v="1"/>
    <x v="0"/>
    <n v="0"/>
    <n v="27"/>
    <n v="11"/>
    <n v="20260404"/>
    <n v="20260511"/>
    <n v="15776.9213"/>
    <n v="38"/>
    <n v="415.18213947368423"/>
    <n v="0"/>
    <n v="11209.917765789474"/>
    <n v="3432.0822584055054"/>
    <n v="14642.00002419498"/>
    <n v="0"/>
    <n v="12078.813691987823"/>
    <n v="3698.1076080121757"/>
    <n v="15776.921299999998"/>
  </r>
  <r>
    <x v="0"/>
    <x v="1"/>
    <x v="0"/>
    <n v="0"/>
    <n v="28"/>
    <n v="13"/>
    <n v="20260403"/>
    <n v="20260513"/>
    <n v="10037.2718"/>
    <n v="41"/>
    <n v="244.81150731707319"/>
    <n v="0"/>
    <n v="6854.7222048780495"/>
    <n v="2391.6714581220126"/>
    <n v="9246.3936630000626"/>
    <n v="0"/>
    <n v="7441.0318651231537"/>
    <n v="2596.2399348768454"/>
    <n v="10037.271799999999"/>
  </r>
  <r>
    <x v="0"/>
    <x v="1"/>
    <x v="0"/>
    <n v="31"/>
    <n v="2"/>
    <n v="0"/>
    <n v="20260225"/>
    <n v="20260402"/>
    <n v="219.13810000000001"/>
    <n v="33"/>
    <n v="6.6405484848484848"/>
    <n v="331.69708882347845"/>
    <n v="13.28109696969697"/>
    <n v="0"/>
    <n v="344.97818579317544"/>
    <n v="210.70164089704667"/>
    <n v="8.4364591029533056"/>
    <n v="0"/>
    <n v="219.13809999999998"/>
  </r>
  <r>
    <x v="0"/>
    <x v="0"/>
    <x v="0"/>
    <n v="31"/>
    <n v="2"/>
    <n v="0"/>
    <n v="20260225"/>
    <n v="20260402"/>
    <n v="3834.9168"/>
    <n v="33"/>
    <n v="116.20959999999999"/>
    <n v="5804.6991300930777"/>
    <n v="232.41919999999999"/>
    <n v="0"/>
    <n v="6037.1183300930779"/>
    <n v="3687.2787637733986"/>
    <n v="147.6380362266012"/>
    <n v="0"/>
    <n v="3834.9168"/>
  </r>
  <r>
    <x v="0"/>
    <x v="0"/>
    <x v="0"/>
    <n v="26"/>
    <n v="14"/>
    <n v="0"/>
    <n v="20260306"/>
    <n v="20260414"/>
    <n v="10738.986800000001"/>
    <n v="40"/>
    <n v="268.47467"/>
    <n v="11247.413952038907"/>
    <n v="3758.6453799999999"/>
    <n v="0"/>
    <n v="15006.059332038907"/>
    <n v="8049.1371713555809"/>
    <n v="2689.8496286444197"/>
    <n v="0"/>
    <n v="10738.986800000001"/>
  </r>
  <r>
    <x v="0"/>
    <x v="1"/>
    <x v="0"/>
    <n v="0"/>
    <n v="22"/>
    <n v="0"/>
    <n v="20260403"/>
    <n v="20260424"/>
    <n v="1813.3291999999999"/>
    <n v="22"/>
    <n v="82.424054545454538"/>
    <n v="0"/>
    <n v="1813.3291999999999"/>
    <n v="0"/>
    <n v="1813.3291999999999"/>
    <n v="0"/>
    <n v="1813.3291999999999"/>
    <n v="0"/>
    <n v="1813.3291999999999"/>
  </r>
  <r>
    <x v="0"/>
    <x v="0"/>
    <x v="1"/>
    <n v="24"/>
    <n v="5"/>
    <n v="0"/>
    <n v="20260308"/>
    <n v="20260405"/>
    <n v="4497.2057999999997"/>
    <n v="29"/>
    <n v="155.07606206896551"/>
    <n v="5996.9719847029528"/>
    <n v="775.38031034482754"/>
    <n v="0"/>
    <n v="6772.35229504778"/>
    <n v="3982.3116130218023"/>
    <n v="514.89418697819769"/>
    <n v="0"/>
    <n v="4497.2057999999997"/>
  </r>
  <r>
    <x v="0"/>
    <x v="0"/>
    <x v="0"/>
    <n v="27"/>
    <n v="11"/>
    <n v="0"/>
    <n v="20260305"/>
    <n v="20260411"/>
    <n v="658.94349999999997"/>
    <n v="38"/>
    <n v="17.340618421052632"/>
    <n v="754.40465579405952"/>
    <n v="190.74680263157896"/>
    <n v="0"/>
    <n v="945.15145842563845"/>
    <n v="525.95807780192285"/>
    <n v="132.98542219807712"/>
    <n v="0"/>
    <n v="658.94349999999997"/>
  </r>
  <r>
    <x v="0"/>
    <x v="1"/>
    <x v="1"/>
    <n v="22"/>
    <n v="8"/>
    <n v="0"/>
    <n v="20260310"/>
    <n v="20260408"/>
    <n v="527.63210000000004"/>
    <n v="30"/>
    <n v="17.587736666666668"/>
    <n v="623.4600778206584"/>
    <n v="140.70189333333335"/>
    <n v="0"/>
    <n v="764.16197115399177"/>
    <n v="430.48144574625371"/>
    <n v="97.150654253746268"/>
    <n v="0"/>
    <n v="527.63210000000004"/>
  </r>
  <r>
    <x v="0"/>
    <x v="1"/>
    <x v="0"/>
    <n v="0"/>
    <n v="19"/>
    <n v="0"/>
    <n v="20260405"/>
    <n v="20260423"/>
    <n v="1265.7655999999999"/>
    <n v="19"/>
    <n v="66.619242105263154"/>
    <n v="0"/>
    <n v="1265.7655999999999"/>
    <n v="0"/>
    <n v="1265.7655999999999"/>
    <n v="0"/>
    <n v="1265.7655999999999"/>
    <n v="0"/>
    <n v="1265.7655999999999"/>
  </r>
  <r>
    <x v="0"/>
    <x v="1"/>
    <x v="0"/>
    <n v="27"/>
    <n v="9"/>
    <n v="0"/>
    <n v="20260305"/>
    <n v="20260409"/>
    <n v="7355.9839000000002"/>
    <n v="36"/>
    <n v="204.33288611111112"/>
    <n v="8889.5145992551152"/>
    <n v="1838.995975"/>
    <n v="0"/>
    <n v="10728.510574255115"/>
    <n v="6095.0796308904892"/>
    <n v="1260.9042691095108"/>
    <n v="0"/>
    <n v="7355.9839000000002"/>
  </r>
  <r>
    <x v="0"/>
    <x v="1"/>
    <x v="0"/>
    <n v="0"/>
    <n v="23"/>
    <n v="0"/>
    <n v="20260407"/>
    <n v="20260429"/>
    <n v="717.46879999999999"/>
    <n v="23"/>
    <n v="31.194295652173913"/>
    <n v="0"/>
    <n v="717.46879999999999"/>
    <n v="0"/>
    <n v="717.46879999999999"/>
    <n v="0"/>
    <n v="717.46879999999999"/>
    <n v="0"/>
    <n v="717.46879999999999"/>
  </r>
  <r>
    <x v="0"/>
    <x v="0"/>
    <x v="0"/>
    <n v="15"/>
    <n v="7"/>
    <n v="0"/>
    <n v="20260317"/>
    <n v="20260407"/>
    <n v="13123.608399999999"/>
    <n v="22"/>
    <n v="596.52765454545454"/>
    <n v="14417.762099618598"/>
    <n v="4175.6935818181819"/>
    <n v="0"/>
    <n v="18593.455681436779"/>
    <n v="10176.325855804289"/>
    <n v="2947.2825441957102"/>
    <n v="0"/>
    <n v="13123.608399999999"/>
  </r>
  <r>
    <x v="0"/>
    <x v="1"/>
    <x v="0"/>
    <n v="0"/>
    <n v="15"/>
    <n v="0"/>
    <n v="20260407"/>
    <n v="20260421"/>
    <n v="3376.7188999999998"/>
    <n v="15"/>
    <n v="225.11459333333332"/>
    <n v="0"/>
    <n v="3376.7188999999998"/>
    <n v="0"/>
    <n v="3376.7188999999998"/>
    <n v="0"/>
    <n v="3376.7188999999998"/>
    <n v="0"/>
    <n v="3376.7188999999998"/>
  </r>
  <r>
    <x v="0"/>
    <x v="1"/>
    <x v="1"/>
    <n v="0"/>
    <n v="14"/>
    <n v="0"/>
    <n v="20260417"/>
    <n v="20260430"/>
    <n v="4663452.0948000001"/>
    <n v="14"/>
    <n v="333103.72105714289"/>
    <n v="0"/>
    <n v="4663452.0948000001"/>
    <n v="0"/>
    <n v="4663452.0948000001"/>
    <n v="0"/>
    <n v="4663452.0948000001"/>
    <n v="0"/>
    <n v="4663452.0948000001"/>
  </r>
  <r>
    <x v="0"/>
    <x v="1"/>
    <x v="0"/>
    <n v="0"/>
    <n v="11"/>
    <n v="0"/>
    <n v="20260407"/>
    <n v="20260417"/>
    <n v="42.177399999999999"/>
    <n v="11"/>
    <n v="3.8343090909090907"/>
    <n v="0"/>
    <n v="42.177399999999999"/>
    <n v="0"/>
    <n v="42.177399999999999"/>
    <n v="0"/>
    <n v="42.177399999999999"/>
    <n v="0"/>
    <n v="42.177399999999999"/>
  </r>
  <r>
    <x v="0"/>
    <x v="0"/>
    <x v="0"/>
    <n v="27"/>
    <n v="14"/>
    <n v="0"/>
    <n v="20260305"/>
    <n v="20260414"/>
    <n v="3609.1019000000001"/>
    <n v="41"/>
    <n v="88.026875609756104"/>
    <n v="3829.6145605961256"/>
    <n v="1232.3762585365855"/>
    <n v="0"/>
    <n v="5061.9908191327113"/>
    <n v="2730.4413778615312"/>
    <n v="878.66052213846854"/>
    <n v="0"/>
    <n v="3609.1018999999997"/>
  </r>
  <r>
    <x v="0"/>
    <x v="1"/>
    <x v="0"/>
    <n v="0"/>
    <n v="25"/>
    <n v="0"/>
    <n v="20260404"/>
    <n v="20260428"/>
    <n v="14972.262699999999"/>
    <n v="25"/>
    <n v="598.89050799999995"/>
    <n v="0"/>
    <n v="14972.262699999999"/>
    <n v="0"/>
    <n v="14972.262699999999"/>
    <n v="0"/>
    <n v="14972.262699999999"/>
    <n v="0"/>
    <n v="14972.262699999999"/>
  </r>
  <r>
    <x v="0"/>
    <x v="1"/>
    <x v="0"/>
    <n v="0"/>
    <n v="27"/>
    <n v="0"/>
    <n v="20260402"/>
    <n v="20260428"/>
    <n v="26984.026399999999"/>
    <n v="27"/>
    <n v="999.40838518518513"/>
    <n v="0"/>
    <n v="26984.026399999999"/>
    <n v="0"/>
    <n v="26984.026399999999"/>
    <n v="0"/>
    <n v="26984.026399999999"/>
    <n v="0"/>
    <n v="26984.026399999999"/>
  </r>
  <r>
    <x v="0"/>
    <x v="0"/>
    <x v="0"/>
    <n v="26"/>
    <n v="13"/>
    <n v="0"/>
    <n v="20260306"/>
    <n v="20260413"/>
    <n v="6602.8329000000003"/>
    <n v="39"/>
    <n v="169.3034076923077"/>
    <n v="7092.7566828043518"/>
    <n v="2200.9443000000001"/>
    <n v="0"/>
    <n v="9293.700982804352"/>
    <n v="5039.1428843650947"/>
    <n v="1563.6900156349054"/>
    <n v="0"/>
    <n v="6602.8329000000003"/>
  </r>
  <r>
    <x v="0"/>
    <x v="0"/>
    <x v="0"/>
    <n v="23"/>
    <n v="6"/>
    <n v="0"/>
    <n v="20260309"/>
    <n v="20260406"/>
    <n v="7213.5685999999996"/>
    <n v="29"/>
    <n v="248.7437448275862"/>
    <n v="9218.4099670145606"/>
    <n v="1492.4624689655172"/>
    <n v="0"/>
    <n v="10710.872435980078"/>
    <n v="6208.4235506907635"/>
    <n v="1005.1450493092357"/>
    <n v="0"/>
    <n v="7213.5685999999987"/>
  </r>
  <r>
    <x v="0"/>
    <x v="0"/>
    <x v="0"/>
    <n v="30"/>
    <n v="14"/>
    <n v="0"/>
    <n v="20260302"/>
    <n v="20260414"/>
    <n v="28.7607"/>
    <n v="44"/>
    <n v="0.65365227272727278"/>
    <n v="31.596868618732987"/>
    <n v="9.1511318181818186"/>
    <n v="0"/>
    <n v="40.748000436914808"/>
    <n v="22.301660192865128"/>
    <n v="6.4590398071348698"/>
    <n v="0"/>
    <n v="28.7607"/>
  </r>
  <r>
    <x v="0"/>
    <x v="1"/>
    <x v="0"/>
    <n v="31"/>
    <n v="6"/>
    <n v="0"/>
    <n v="20260227"/>
    <n v="20260406"/>
    <n v="2473.9802"/>
    <n v="37"/>
    <n v="66.864329729729732"/>
    <n v="3339.890306966196"/>
    <n v="401.18597837837842"/>
    <n v="0"/>
    <n v="3741.0762853445744"/>
    <n v="2208.6752205442499"/>
    <n v="265.30497945575013"/>
    <n v="0"/>
    <n v="2473.9802"/>
  </r>
  <r>
    <x v="0"/>
    <x v="1"/>
    <x v="0"/>
    <n v="31"/>
    <n v="2"/>
    <n v="0"/>
    <n v="20260227"/>
    <n v="20260402"/>
    <n v="3631.3326000000002"/>
    <n v="33"/>
    <n v="110.04038181818183"/>
    <n v="5496.5451100004666"/>
    <n v="220.08076363636366"/>
    <n v="0"/>
    <n v="5716.62587363683"/>
    <n v="3491.532223118385"/>
    <n v="139.80037688161525"/>
    <n v="0"/>
    <n v="3631.3326000000002"/>
  </r>
  <r>
    <x v="0"/>
    <x v="1"/>
    <x v="1"/>
    <n v="0"/>
    <n v="15"/>
    <n v="6"/>
    <n v="20260416"/>
    <n v="20260506"/>
    <n v="27567.6306"/>
    <n v="21"/>
    <n v="1312.7443142857144"/>
    <n v="0"/>
    <n v="19691.164714285715"/>
    <n v="5919.1280722249758"/>
    <n v="25610.29278651069"/>
    <n v="0"/>
    <n v="21196.116711836425"/>
    <n v="6371.5138881635739"/>
    <n v="27567.630599999997"/>
  </r>
  <r>
    <x v="0"/>
    <x v="0"/>
    <x v="0"/>
    <n v="31"/>
    <n v="5"/>
    <n v="0"/>
    <n v="20260226"/>
    <n v="20260405"/>
    <n v="28558.931799999998"/>
    <n v="36"/>
    <n v="793.30366111111107"/>
    <n v="39625.720005501447"/>
    <n v="3966.5183055555553"/>
    <n v="0"/>
    <n v="43592.238311057001"/>
    <n v="25960.314932394012"/>
    <n v="2598.6168676059874"/>
    <n v="0"/>
    <n v="28558.931799999998"/>
  </r>
  <r>
    <x v="0"/>
    <x v="0"/>
    <x v="0"/>
    <n v="19"/>
    <n v="2"/>
    <n v="0"/>
    <n v="20260313"/>
    <n v="20260402"/>
    <n v="12499.6258"/>
    <n v="21"/>
    <n v="595.22027619047617"/>
    <n v="18222.47369961211"/>
    <n v="1190.4405523809523"/>
    <n v="0"/>
    <n v="19412.914251993061"/>
    <n v="11733.122571852298"/>
    <n v="766.50322814770152"/>
    <n v="0"/>
    <n v="12499.6258"/>
  </r>
  <r>
    <x v="0"/>
    <x v="1"/>
    <x v="0"/>
    <n v="19"/>
    <n v="1"/>
    <n v="0"/>
    <n v="20260313"/>
    <n v="20260401"/>
    <n v="1501.6502"/>
    <n v="20"/>
    <n v="75.082509999999999"/>
    <n v="2298.6264388245231"/>
    <n v="75.082509999999999"/>
    <n v="0"/>
    <n v="2373.7089488245233"/>
    <n v="1454.151678239851"/>
    <n v="47.498521760148989"/>
    <n v="0"/>
    <n v="1501.6502"/>
  </r>
  <r>
    <x v="0"/>
    <x v="0"/>
    <x v="1"/>
    <n v="14"/>
    <n v="4"/>
    <n v="0"/>
    <n v="20260318"/>
    <n v="20260404"/>
    <n v="3179.7366000000002"/>
    <n v="18"/>
    <n v="176.65203333333335"/>
    <n v="3984.9482922815632"/>
    <n v="706.6081333333334"/>
    <n v="0"/>
    <n v="4691.5564256148964"/>
    <n v="2700.8277817770154"/>
    <n v="478.90881822298473"/>
    <n v="0"/>
    <n v="3179.7366000000002"/>
  </r>
  <r>
    <x v="0"/>
    <x v="0"/>
    <x v="0"/>
    <n v="14"/>
    <n v="8"/>
    <n v="0"/>
    <n v="20260318"/>
    <n v="20260408"/>
    <n v="1474.5821000000001"/>
    <n v="22"/>
    <n v="67.0264590909091"/>
    <n v="1511.994901230488"/>
    <n v="536.2116727272728"/>
    <n v="0"/>
    <n v="2048.2065739577611"/>
    <n v="1088.5428476765178"/>
    <n v="386.039252323482"/>
    <n v="0"/>
    <n v="1474.5820999999999"/>
  </r>
  <r>
    <x v="0"/>
    <x v="0"/>
    <x v="0"/>
    <n v="15"/>
    <n v="1"/>
    <n v="0"/>
    <n v="20260317"/>
    <n v="20260401"/>
    <n v="12724.8341"/>
    <n v="16"/>
    <n v="795.30213125"/>
    <n v="19222.037466845413"/>
    <n v="795.30213125"/>
    <n v="0"/>
    <n v="20017.339598095412"/>
    <n v="12219.268031645164"/>
    <n v="505.56606835483632"/>
    <n v="0"/>
    <n v="12724.8341"/>
  </r>
  <r>
    <x v="0"/>
    <x v="1"/>
    <x v="0"/>
    <n v="14"/>
    <n v="7"/>
    <n v="0"/>
    <n v="20260318"/>
    <n v="20260407"/>
    <n v="2597.9515000000001"/>
    <n v="21"/>
    <n v="123.71197619047619"/>
    <n v="2790.7169759250742"/>
    <n v="865.98383333333334"/>
    <n v="0"/>
    <n v="3656.7008092584074"/>
    <n v="1982.701821085102"/>
    <n v="615.24967891489814"/>
    <n v="0"/>
    <n v="2597.9515000000001"/>
  </r>
  <r>
    <x v="0"/>
    <x v="1"/>
    <x v="0"/>
    <n v="19"/>
    <n v="6"/>
    <n v="0"/>
    <n v="20260313"/>
    <n v="20260406"/>
    <n v="5244.1346000000003"/>
    <n v="25"/>
    <n v="209.76538400000001"/>
    <n v="6421.8984902419834"/>
    <n v="1258.592304"/>
    <n v="0"/>
    <n v="7680.4907942419832"/>
    <n v="4384.7849014562207"/>
    <n v="859.34969854377914"/>
    <n v="0"/>
    <n v="5244.1345999999994"/>
  </r>
  <r>
    <x v="0"/>
    <x v="1"/>
    <x v="0"/>
    <n v="0"/>
    <n v="14"/>
    <n v="1"/>
    <n v="20260417"/>
    <n v="20260501"/>
    <n v="5363.4278999999997"/>
    <n v="15"/>
    <n v="357.56185999999997"/>
    <n v="0"/>
    <n v="5005.8660399999999"/>
    <n v="268.70610166948546"/>
    <n v="5274.5721416694851"/>
    <n v="0"/>
    <n v="5090.1951592419609"/>
    <n v="273.23274075803937"/>
    <n v="5363.4279000000006"/>
  </r>
  <r>
    <x v="0"/>
    <x v="0"/>
    <x v="0"/>
    <n v="12"/>
    <n v="1"/>
    <n v="0"/>
    <n v="20260320"/>
    <n v="20260401"/>
    <n v="2104.1034"/>
    <n v="13"/>
    <n v="161.85410769230768"/>
    <n v="3129.5434527096854"/>
    <n v="161.85410769230768"/>
    <n v="0"/>
    <n v="3291.3975604019929"/>
    <n v="2000.63435013604"/>
    <n v="103.46904986396019"/>
    <n v="0"/>
    <n v="2104.1034"/>
  </r>
  <r>
    <x v="0"/>
    <x v="1"/>
    <x v="0"/>
    <n v="13"/>
    <n v="1"/>
    <n v="0"/>
    <n v="20260319"/>
    <n v="20260401"/>
    <n v="2241.7930999999999"/>
    <n v="14"/>
    <n v="160.12807857142857"/>
    <n v="3354.1838137606578"/>
    <n v="160.12807857142857"/>
    <n v="0"/>
    <n v="3514.3118923320862"/>
    <n v="2139.6467815582773"/>
    <n v="102.14631844172271"/>
    <n v="0"/>
    <n v="2241.7930999999999"/>
  </r>
  <r>
    <x v="0"/>
    <x v="0"/>
    <x v="0"/>
    <n v="13"/>
    <n v="1"/>
    <n v="0"/>
    <n v="20260319"/>
    <n v="20260401"/>
    <n v="29143.312399999999"/>
    <n v="14"/>
    <n v="2081.6651714285713"/>
    <n v="43604.392720920703"/>
    <n v="2081.6651714285713"/>
    <n v="0"/>
    <n v="45686.057892349272"/>
    <n v="27815.410164572029"/>
    <n v="1327.9022354279734"/>
    <n v="0"/>
    <n v="29143.312400000003"/>
  </r>
  <r>
    <x v="0"/>
    <x v="1"/>
    <x v="0"/>
    <n v="1"/>
    <n v="30"/>
    <n v="2"/>
    <n v="20260331"/>
    <n v="20260502"/>
    <n v="33491.002200000003"/>
    <n v="33"/>
    <n v="1014.8788545454546"/>
    <n v="1635.2728185384105"/>
    <n v="30446.365636363636"/>
    <n v="1525.3536306791887"/>
    <n v="33606.992085581238"/>
    <n v="1629.6289005515414"/>
    <n v="30341.284215880267"/>
    <n v="1520.089083568193"/>
    <n v="33491.002200000003"/>
  </r>
  <r>
    <x v="0"/>
    <x v="1"/>
    <x v="0"/>
    <n v="0"/>
    <n v="19"/>
    <n v="0"/>
    <n v="20260409"/>
    <n v="20260427"/>
    <n v="1519.8081"/>
    <n v="19"/>
    <n v="79.989899999999992"/>
    <n v="0"/>
    <n v="1519.8080999999997"/>
    <n v="0"/>
    <n v="1519.8080999999997"/>
    <n v="0"/>
    <n v="1519.8081"/>
    <n v="0"/>
    <n v="1519.8081"/>
  </r>
  <r>
    <x v="0"/>
    <x v="1"/>
    <x v="0"/>
    <n v="15"/>
    <n v="2"/>
    <n v="0"/>
    <n v="20260317"/>
    <n v="20260402"/>
    <n v="9059.4925000000003"/>
    <n v="17"/>
    <n v="532.91132352941179"/>
    <n v="12880.188578507008"/>
    <n v="1065.8226470588236"/>
    <n v="0"/>
    <n v="13946.011225565831"/>
    <n v="8367.1216047537291"/>
    <n v="692.37089524627106"/>
    <n v="0"/>
    <n v="9059.4925000000003"/>
  </r>
  <r>
    <x v="0"/>
    <x v="0"/>
    <x v="0"/>
    <n v="7"/>
    <n v="2"/>
    <n v="0"/>
    <n v="20260325"/>
    <n v="20260402"/>
    <n v="788.8972"/>
    <n v="9"/>
    <n v="87.655244444444449"/>
    <n v="988.67137294507563"/>
    <n v="175.3104888888889"/>
    <n v="0"/>
    <n v="1163.9818618339646"/>
    <n v="670.07923698022603"/>
    <n v="118.81796301977388"/>
    <n v="0"/>
    <n v="788.89719999999988"/>
  </r>
  <r>
    <x v="0"/>
    <x v="1"/>
    <x v="0"/>
    <n v="5"/>
    <n v="30"/>
    <n v="6"/>
    <n v="20260327"/>
    <n v="20260506"/>
    <n v="666.70180000000005"/>
    <n v="41"/>
    <n v="16.261019512195123"/>
    <n v="131.00678514937192"/>
    <n v="487.83058536585366"/>
    <n v="73.320490540462956"/>
    <n v="692.1578610556885"/>
    <n v="126.18864046141675"/>
    <n v="469.88923720726319"/>
    <n v="70.623922331320145"/>
    <n v="666.70180000000016"/>
  </r>
  <r>
    <x v="0"/>
    <x v="1"/>
    <x v="0"/>
    <n v="2"/>
    <n v="30"/>
    <n v="7"/>
    <n v="20260330"/>
    <n v="20260507"/>
    <n v="840.28319999999997"/>
    <n v="39"/>
    <n v="21.545723076923075"/>
    <n v="69.433184356232033"/>
    <n v="646.37169230769223"/>
    <n v="113.34058612837481"/>
    <n v="829.14546279229899"/>
    <n v="70.365865768066868"/>
    <n v="655.05426776697982"/>
    <n v="114.86306646495341"/>
    <n v="840.28320000000008"/>
  </r>
  <r>
    <x v="0"/>
    <x v="1"/>
    <x v="0"/>
    <n v="0"/>
    <n v="9"/>
    <n v="7"/>
    <n v="20260422"/>
    <n v="20260507"/>
    <n v="3881.9540000000002"/>
    <n v="16"/>
    <n v="242.62212500000001"/>
    <n v="0"/>
    <n v="2183.5991250000002"/>
    <n v="1276.305917282722"/>
    <n v="3459.9050422827222"/>
    <n v="0"/>
    <n v="2449.9606937471531"/>
    <n v="1431.9933062528471"/>
    <n v="3881.9540000000002"/>
  </r>
  <r>
    <x v="0"/>
    <x v="1"/>
    <x v="0"/>
    <n v="0"/>
    <n v="10"/>
    <n v="2"/>
    <n v="20260421"/>
    <n v="20260502"/>
    <n v="2405.6306"/>
    <n v="12"/>
    <n v="200.46921666666665"/>
    <n v="0"/>
    <n v="2004.6921666666665"/>
    <n v="301.30339804830101"/>
    <n v="2305.9955647149673"/>
    <n v="0"/>
    <n v="2091.3088010686283"/>
    <n v="314.32179893137186"/>
    <n v="2405.6306000000004"/>
  </r>
  <r>
    <x v="0"/>
    <x v="1"/>
    <x v="0"/>
    <n v="0"/>
    <n v="15"/>
    <n v="7"/>
    <n v="20260416"/>
    <n v="20260507"/>
    <n v="928.85860000000002"/>
    <n v="22"/>
    <n v="42.220845454545454"/>
    <n v="0"/>
    <n v="633.31268181818177"/>
    <n v="222.10140516375284"/>
    <n v="855.41408698193459"/>
    <n v="0"/>
    <n v="687.68791623641471"/>
    <n v="241.17068376358534"/>
    <n v="928.85860000000002"/>
  </r>
  <r>
    <x v="0"/>
    <x v="1"/>
    <x v="0"/>
    <n v="18"/>
    <n v="4"/>
    <n v="0"/>
    <n v="20260314"/>
    <n v="20260404"/>
    <n v="926.40189999999996"/>
    <n v="22"/>
    <n v="42.109177272727273"/>
    <n v="1221.3082069258933"/>
    <n v="168.43670909090909"/>
    <n v="0"/>
    <n v="1389.7449160168023"/>
    <n v="814.12223951468047"/>
    <n v="112.27966048531951"/>
    <n v="0"/>
    <n v="926.40189999999996"/>
  </r>
  <r>
    <x v="0"/>
    <x v="1"/>
    <x v="1"/>
    <n v="0"/>
    <n v="7"/>
    <n v="6"/>
    <n v="20260424"/>
    <n v="20260506"/>
    <n v="768.06"/>
    <n v="13"/>
    <n v="59.081538461538457"/>
    <n v="0"/>
    <n v="413.5707692307692"/>
    <n v="266.39703486220429"/>
    <n v="679.96780409297344"/>
    <n v="0"/>
    <n v="467.15030197510936"/>
    <n v="300.90969802489059"/>
    <n v="768.06"/>
  </r>
  <r>
    <x v="0"/>
    <x v="1"/>
    <x v="0"/>
    <n v="1"/>
    <n v="30"/>
    <n v="7"/>
    <n v="20260331"/>
    <n v="20260507"/>
    <n v="2217.4335999999998"/>
    <n v="38"/>
    <n v="58.353515789473683"/>
    <n v="94.02493490655776"/>
    <n v="1750.6054736842104"/>
    <n v="306.96680072502051"/>
    <n v="2151.5972093157889"/>
    <n v="96.901989367199192"/>
    <n v="1804.1719801847662"/>
    <n v="316.3596304480343"/>
    <n v="2217.4335999999994"/>
  </r>
  <r>
    <x v="0"/>
    <x v="1"/>
    <x v="0"/>
    <n v="12"/>
    <n v="3"/>
    <n v="0"/>
    <n v="20260320"/>
    <n v="20260403"/>
    <n v="236.25960000000001"/>
    <n v="15"/>
    <n v="15.750640000000001"/>
    <n v="304.54779919267975"/>
    <n v="47.251919999999998"/>
    <n v="0"/>
    <n v="351.79971919267973"/>
    <n v="204.52643163917574"/>
    <n v="31.733168360824251"/>
    <n v="0"/>
    <n v="236.25959999999998"/>
  </r>
  <r>
    <x v="0"/>
    <x v="0"/>
    <x v="0"/>
    <n v="20"/>
    <n v="5"/>
    <n v="0"/>
    <n v="20260312"/>
    <n v="20260405"/>
    <n v="235.7782"/>
    <n v="25"/>
    <n v="9.4311279999999993"/>
    <n v="303.92725589822163"/>
    <n v="47.155639999999998"/>
    <n v="0"/>
    <n v="351.08289589822164"/>
    <n v="204.10969079905286"/>
    <n v="31.668509200947138"/>
    <n v="0"/>
    <n v="235.7782"/>
  </r>
  <r>
    <x v="0"/>
    <x v="1"/>
    <x v="0"/>
    <n v="2"/>
    <n v="15"/>
    <n v="0"/>
    <n v="20260330"/>
    <n v="20260415"/>
    <n v="37.174300000000002"/>
    <n v="17"/>
    <n v="2.1867235294117648"/>
    <n v="7.0469288689771989"/>
    <n v="32.800852941176473"/>
    <n v="0"/>
    <n v="39.84778181015367"/>
    <n v="6.5741337648879501"/>
    <n v="30.600166235112056"/>
    <n v="0"/>
    <n v="37.174300000000002"/>
  </r>
  <r>
    <x v="0"/>
    <x v="1"/>
    <x v="0"/>
    <n v="16"/>
    <n v="1"/>
    <n v="0"/>
    <n v="20260316"/>
    <n v="20260401"/>
    <n v="1802.0967000000001"/>
    <n v="17"/>
    <n v="106.00568823529412"/>
    <n v="2732.9089741931475"/>
    <n v="106.00568823529412"/>
    <n v="0"/>
    <n v="2838.9146624284417"/>
    <n v="1734.8060189949426"/>
    <n v="67.290681005057365"/>
    <n v="0"/>
    <n v="1802.0967000000001"/>
  </r>
  <r>
    <x v="0"/>
    <x v="0"/>
    <x v="0"/>
    <n v="13"/>
    <n v="3"/>
    <n v="0"/>
    <n v="20260319"/>
    <n v="20260403"/>
    <n v="445.3732"/>
    <n v="16"/>
    <n v="27.835825"/>
    <n v="583.0737150575759"/>
    <n v="83.507474999999999"/>
    <n v="0"/>
    <n v="666.5811900575759"/>
    <n v="389.57805918383394"/>
    <n v="55.795140816166068"/>
    <n v="0"/>
    <n v="445.3732"/>
  </r>
  <r>
    <x v="0"/>
    <x v="1"/>
    <x v="1"/>
    <n v="12"/>
    <n v="2"/>
    <n v="0"/>
    <n v="20260320"/>
    <n v="20260402"/>
    <n v="24.116"/>
    <n v="14"/>
    <n v="1.7225714285714286"/>
    <n v="33.306921974194005"/>
    <n v="3.4451428571428573"/>
    <n v="0"/>
    <n v="36.75206483133686"/>
    <n v="21.855363338518714"/>
    <n v="2.2606366614812861"/>
    <n v="0"/>
    <n v="24.116"/>
  </r>
  <r>
    <x v="0"/>
    <x v="1"/>
    <x v="0"/>
    <n v="7"/>
    <n v="7"/>
    <n v="0"/>
    <n v="20260325"/>
    <n v="20260407"/>
    <n v="5102.6239999999998"/>
    <n v="14"/>
    <n v="364.47314285714282"/>
    <n v="4110.9253055424742"/>
    <n v="2551.3119999999999"/>
    <n v="0"/>
    <n v="6662.2373055424741"/>
    <n v="3148.5678405387189"/>
    <n v="1954.0561594612809"/>
    <n v="0"/>
    <n v="5102.6239999999998"/>
  </r>
  <r>
    <x v="0"/>
    <x v="0"/>
    <x v="0"/>
    <n v="7"/>
    <n v="7"/>
    <n v="0"/>
    <n v="20260325"/>
    <n v="20260407"/>
    <n v="5102.6241"/>
    <n v="14"/>
    <n v="364.47314999999998"/>
    <n v="4110.9253861074012"/>
    <n v="2551.31205"/>
    <n v="0"/>
    <n v="6662.2374361074017"/>
    <n v="3148.5679022435952"/>
    <n v="1954.0561977564041"/>
    <n v="0"/>
    <n v="5102.6240999999991"/>
  </r>
  <r>
    <x v="0"/>
    <x v="1"/>
    <x v="0"/>
    <n v="19"/>
    <n v="3"/>
    <n v="0"/>
    <n v="20260313"/>
    <n v="20260403"/>
    <n v="643.21259999999995"/>
    <n v="22"/>
    <n v="29.23693636363636"/>
    <n v="895.07922571694326"/>
    <n v="87.710809090909081"/>
    <n v="0"/>
    <n v="982.79003480785229"/>
    <n v="585.80797076553949"/>
    <n v="57.404629234460472"/>
    <n v="0"/>
    <n v="643.21259999999995"/>
  </r>
  <r>
    <x v="0"/>
    <x v="0"/>
    <x v="0"/>
    <n v="16"/>
    <n v="9"/>
    <n v="0"/>
    <n v="20260316"/>
    <n v="20260409"/>
    <n v="11643.4385"/>
    <n v="25"/>
    <n v="465.73754000000002"/>
    <n v="12007.07550579216"/>
    <n v="4191.6378599999998"/>
    <n v="0"/>
    <n v="16198.713365792159"/>
    <n v="8630.5400965844328"/>
    <n v="3012.8984034155678"/>
    <n v="0"/>
    <n v="11643.4385"/>
  </r>
  <r>
    <x v="0"/>
    <x v="1"/>
    <x v="0"/>
    <n v="1"/>
    <n v="30"/>
    <n v="6"/>
    <n v="20260331"/>
    <n v="20260506"/>
    <n v="9929.4305999999997"/>
    <n v="37"/>
    <n v="268.36298918918919"/>
    <n v="432.41289318157061"/>
    <n v="8050.8896756756758"/>
    <n v="1210.0413504515941"/>
    <n v="9693.3439193088416"/>
    <n v="442.94454515730865"/>
    <n v="8246.9734869964359"/>
    <n v="1239.5125678462548"/>
    <n v="9929.4305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E17C4-AF0F-459A-8A28-3C9CEB4DC6D6}" name="피벗 테이블3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8" indent="0" compact="0" compactData="0" multipleFieldFilters="0">
  <location ref="A8:G13" firstHeaderRow="0" firstDataRow="1" firstDataCol="3"/>
  <pivotFields count="19">
    <pivotField axis="axisRow" compact="0" outline="0" showAll="0" defaultSubtotal="0">
      <items count="1">
        <item x="0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2"/>
    <field x="1"/>
  </rowFields>
  <rowItems count="5">
    <i>
      <x/>
      <x/>
      <x/>
    </i>
    <i r="2">
      <x v="1"/>
    </i>
    <i r="1">
      <x v="1"/>
      <x/>
    </i>
    <i r="2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3월보정공급량" fld="15" baseField="0" baseItem="0"/>
    <dataField name="합계 : 4월보정공급량" fld="16" baseField="0" baseItem="0"/>
    <dataField name="합계 : 5월보정공급량" fld="17" baseField="0" baseItem="0"/>
    <dataField name="합계 : 보정공급량합계" fld="18" baseField="0" baseItem="0"/>
  </dataFields>
  <formats count="2">
    <format dxfId="3">
      <pivotArea outline="0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6847-F5FB-4C78-B1C1-F86858B02938}">
  <dimension ref="A2:G16"/>
  <sheetViews>
    <sheetView tabSelected="1" workbookViewId="0">
      <selection activeCell="E17" sqref="E17"/>
    </sheetView>
  </sheetViews>
  <sheetFormatPr defaultRowHeight="16.5" x14ac:dyDescent="0.3"/>
  <cols>
    <col min="1" max="1" width="21.5" bestFit="1" customWidth="1"/>
    <col min="2" max="3" width="16.875" bestFit="1" customWidth="1"/>
    <col min="4" max="6" width="20.625" bestFit="1" customWidth="1"/>
    <col min="7" max="7" width="21.5" bestFit="1" customWidth="1"/>
  </cols>
  <sheetData>
    <row r="2" spans="1:7" x14ac:dyDescent="0.3">
      <c r="A2" s="1" t="s">
        <v>18</v>
      </c>
      <c r="B2" s="4" t="s">
        <v>26</v>
      </c>
      <c r="C2" s="4" t="s">
        <v>30</v>
      </c>
      <c r="D2" s="4" t="s">
        <v>35</v>
      </c>
    </row>
    <row r="3" spans="1:7" x14ac:dyDescent="0.3">
      <c r="A3" s="1" t="s">
        <v>19</v>
      </c>
      <c r="B3" s="2">
        <v>4660800</v>
      </c>
      <c r="C3" s="2">
        <v>2799265</v>
      </c>
      <c r="D3" s="2">
        <v>2173756</v>
      </c>
    </row>
    <row r="4" spans="1:7" x14ac:dyDescent="0.3">
      <c r="A4" s="1" t="s">
        <v>20</v>
      </c>
      <c r="B4" s="2">
        <v>31</v>
      </c>
      <c r="C4" s="2">
        <v>30</v>
      </c>
      <c r="D4" s="2">
        <v>31</v>
      </c>
    </row>
    <row r="5" spans="1:7" x14ac:dyDescent="0.3">
      <c r="A5" s="1" t="s">
        <v>10</v>
      </c>
      <c r="B5" s="2">
        <f>B3/B4</f>
        <v>150348.38709677418</v>
      </c>
      <c r="C5" s="2">
        <f>C3/C4</f>
        <v>93308.833333333328</v>
      </c>
      <c r="D5" s="2">
        <f>D3/D4</f>
        <v>70121.161290322576</v>
      </c>
    </row>
    <row r="6" spans="1:7" x14ac:dyDescent="0.3">
      <c r="A6" s="1" t="s">
        <v>21</v>
      </c>
      <c r="B6" s="2">
        <f>B5/C5</f>
        <v>1.6112985419041161</v>
      </c>
      <c r="C6" s="2">
        <v>1</v>
      </c>
      <c r="D6" s="2">
        <f>D5/C5</f>
        <v>0.75149542423088822</v>
      </c>
    </row>
    <row r="7" spans="1:7" ht="17.25" thickBot="1" x14ac:dyDescent="0.35"/>
    <row r="8" spans="1:7" ht="17.25" thickBot="1" x14ac:dyDescent="0.35">
      <c r="A8" s="3" t="s">
        <v>22</v>
      </c>
      <c r="B8" s="3" t="s">
        <v>25</v>
      </c>
      <c r="C8" s="3" t="s">
        <v>23</v>
      </c>
      <c r="D8" t="s">
        <v>29</v>
      </c>
      <c r="E8" s="10" t="s">
        <v>34</v>
      </c>
      <c r="F8" t="s">
        <v>38</v>
      </c>
      <c r="G8" t="s">
        <v>17</v>
      </c>
    </row>
    <row r="9" spans="1:7" x14ac:dyDescent="0.3">
      <c r="A9" t="s">
        <v>13</v>
      </c>
      <c r="B9" t="s">
        <v>14</v>
      </c>
      <c r="C9" t="s">
        <v>33</v>
      </c>
      <c r="D9" s="6">
        <v>15569139.996057777</v>
      </c>
      <c r="E9" s="9">
        <v>65739250.231905557</v>
      </c>
      <c r="F9" s="6">
        <v>18563937.995136719</v>
      </c>
      <c r="G9" s="6">
        <v>99872328.223100021</v>
      </c>
    </row>
    <row r="10" spans="1:7" x14ac:dyDescent="0.3">
      <c r="C10" t="s">
        <v>24</v>
      </c>
      <c r="D10" s="6">
        <v>40963973.523574315</v>
      </c>
      <c r="E10" s="7">
        <v>9689739.0345824398</v>
      </c>
      <c r="F10" s="6">
        <v>7.9132432455846295</v>
      </c>
      <c r="G10" s="6">
        <v>50653720.471399993</v>
      </c>
    </row>
    <row r="11" spans="1:7" x14ac:dyDescent="0.3">
      <c r="B11" t="s">
        <v>15</v>
      </c>
      <c r="C11" t="s">
        <v>33</v>
      </c>
      <c r="D11" s="6">
        <v>14504849.36750203</v>
      </c>
      <c r="E11" s="7">
        <v>126100981.52563184</v>
      </c>
      <c r="F11" s="6">
        <v>16610103.662766116</v>
      </c>
      <c r="G11" s="6">
        <v>157215934.55590007</v>
      </c>
    </row>
    <row r="12" spans="1:7" x14ac:dyDescent="0.3">
      <c r="C12" t="s">
        <v>24</v>
      </c>
      <c r="D12" s="6">
        <v>116515996.06188504</v>
      </c>
      <c r="E12" s="7">
        <v>9000665.2334297244</v>
      </c>
      <c r="F12" s="6">
        <v>3181.9760852654963</v>
      </c>
      <c r="G12" s="6">
        <v>125519843.27139993</v>
      </c>
    </row>
    <row r="13" spans="1:7" ht="17.25" thickBot="1" x14ac:dyDescent="0.35">
      <c r="A13" t="s">
        <v>16</v>
      </c>
      <c r="D13" s="6">
        <v>187553958.94901916</v>
      </c>
      <c r="E13" s="8">
        <v>210530636.02554959</v>
      </c>
      <c r="F13" s="6">
        <v>35177231.547231346</v>
      </c>
      <c r="G13" s="6">
        <v>433261826.52179998</v>
      </c>
    </row>
    <row r="15" spans="1:7" x14ac:dyDescent="0.3">
      <c r="E15">
        <f>SUM(E11:E12)</f>
        <v>135101646.75906157</v>
      </c>
    </row>
    <row r="16" spans="1:7" x14ac:dyDescent="0.3">
      <c r="E16">
        <f>SUM(E9:E10)</f>
        <v>75428989.266488001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7CE4-068E-4220-B194-7E4D930DC5D0}">
  <dimension ref="A2:S909"/>
  <sheetViews>
    <sheetView workbookViewId="0">
      <selection activeCell="F2" sqref="F2:I6"/>
    </sheetView>
  </sheetViews>
  <sheetFormatPr defaultRowHeight="16.5" x14ac:dyDescent="0.3"/>
  <cols>
    <col min="1" max="1" width="10.125" customWidth="1"/>
    <col min="2" max="2" width="16.875" bestFit="1" customWidth="1"/>
    <col min="3" max="4" width="12.75" bestFit="1" customWidth="1"/>
    <col min="7" max="7" width="15.25" customWidth="1"/>
    <col min="8" max="8" width="14.25" customWidth="1"/>
    <col min="10" max="10" width="7.125" bestFit="1" customWidth="1"/>
    <col min="11" max="14" width="12.75" bestFit="1" customWidth="1"/>
    <col min="15" max="15" width="13" bestFit="1" customWidth="1"/>
    <col min="16" max="18" width="16.125" bestFit="1" customWidth="1"/>
    <col min="19" max="19" width="15.125" bestFit="1" customWidth="1"/>
  </cols>
  <sheetData>
    <row r="2" spans="1:19" x14ac:dyDescent="0.3">
      <c r="B2" s="5" t="s">
        <v>26</v>
      </c>
      <c r="C2" s="5" t="s">
        <v>30</v>
      </c>
      <c r="D2" s="5" t="s">
        <v>35</v>
      </c>
    </row>
    <row r="3" spans="1:19" x14ac:dyDescent="0.3">
      <c r="A3" t="s">
        <v>19</v>
      </c>
      <c r="B3">
        <v>4660800</v>
      </c>
      <c r="C3">
        <v>2799265</v>
      </c>
      <c r="D3">
        <v>2173756</v>
      </c>
    </row>
    <row r="4" spans="1:19" x14ac:dyDescent="0.3">
      <c r="A4" t="s">
        <v>20</v>
      </c>
      <c r="B4">
        <v>31</v>
      </c>
      <c r="C4">
        <v>30</v>
      </c>
      <c r="D4">
        <v>31</v>
      </c>
    </row>
    <row r="5" spans="1:19" x14ac:dyDescent="0.3">
      <c r="A5" t="s">
        <v>10</v>
      </c>
      <c r="B5">
        <f>B3/B4</f>
        <v>150348.38709677418</v>
      </c>
      <c r="C5">
        <f>C3/C4</f>
        <v>93308.833333333328</v>
      </c>
      <c r="D5">
        <f>D3/D4</f>
        <v>70121.161290322576</v>
      </c>
    </row>
    <row r="6" spans="1:19" x14ac:dyDescent="0.3">
      <c r="A6" t="s">
        <v>21</v>
      </c>
      <c r="B6">
        <f>B5/C5</f>
        <v>1.6112985419041161</v>
      </c>
      <c r="C6">
        <v>1</v>
      </c>
      <c r="D6">
        <f>D5/C5</f>
        <v>0.75149542423088822</v>
      </c>
    </row>
    <row r="9" spans="1:19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27</v>
      </c>
      <c r="M9" t="s">
        <v>31</v>
      </c>
      <c r="N9" t="s">
        <v>36</v>
      </c>
      <c r="O9" t="s">
        <v>11</v>
      </c>
      <c r="P9" t="s">
        <v>28</v>
      </c>
      <c r="Q9" t="s">
        <v>32</v>
      </c>
      <c r="R9" t="s">
        <v>37</v>
      </c>
      <c r="S9" t="s">
        <v>12</v>
      </c>
    </row>
    <row r="10" spans="1:19" x14ac:dyDescent="0.3">
      <c r="A10" t="s">
        <v>13</v>
      </c>
      <c r="B10" t="s">
        <v>24</v>
      </c>
      <c r="C10" t="s">
        <v>15</v>
      </c>
      <c r="D10">
        <v>28</v>
      </c>
      <c r="E10">
        <v>3</v>
      </c>
      <c r="F10">
        <v>0</v>
      </c>
      <c r="G10">
        <v>20260304</v>
      </c>
      <c r="H10">
        <v>20260403</v>
      </c>
      <c r="I10">
        <v>5962309.5562000005</v>
      </c>
      <c r="J10">
        <f>IF(D10&lt;0,0,D10)+E10+F10</f>
        <v>31</v>
      </c>
      <c r="K10">
        <f>I10/J10</f>
        <v>192332.56632903227</v>
      </c>
      <c r="L10">
        <f t="shared" ref="L10" si="0">IF(D10&lt;0,0,D10)*$K10*$B$6</f>
        <v>8677345.1432261001</v>
      </c>
      <c r="M10">
        <f>IF(E10&lt;0,0,E10)*$K10*$C$6</f>
        <v>576997.69898709678</v>
      </c>
      <c r="N10">
        <f>IF(F10&lt;0,0,F10)*$K10*$D$6</f>
        <v>0</v>
      </c>
      <c r="O10">
        <f>L10+M10+N10</f>
        <v>9254342.8422131967</v>
      </c>
      <c r="P10">
        <f>L10/$O10*$I10</f>
        <v>5590566.3699757224</v>
      </c>
      <c r="Q10">
        <f>M10/$O10*$I10</f>
        <v>371743.18622427841</v>
      </c>
      <c r="R10">
        <f>N10/$O10*$I10</f>
        <v>0</v>
      </c>
      <c r="S10">
        <f>P10+Q10+R10</f>
        <v>5962309.5562000005</v>
      </c>
    </row>
    <row r="11" spans="1:19" x14ac:dyDescent="0.3">
      <c r="A11" t="s">
        <v>13</v>
      </c>
      <c r="B11" t="s">
        <v>33</v>
      </c>
      <c r="C11" t="s">
        <v>15</v>
      </c>
      <c r="D11">
        <v>0</v>
      </c>
      <c r="E11">
        <v>15</v>
      </c>
      <c r="F11">
        <v>15</v>
      </c>
      <c r="G11">
        <v>20260416</v>
      </c>
      <c r="H11">
        <v>20260515</v>
      </c>
      <c r="I11">
        <v>12041038.684</v>
      </c>
      <c r="J11">
        <f t="shared" ref="J11:J74" si="1">IF(D11&lt;0,0,D11)+E11+F11</f>
        <v>30</v>
      </c>
      <c r="K11">
        <f t="shared" ref="K11:K74" si="2">I11/J11</f>
        <v>401367.95613333333</v>
      </c>
      <c r="L11">
        <f t="shared" ref="L11:L74" si="3">IF(D11&lt;0,0,D11)*$K11*$B$6</f>
        <v>0</v>
      </c>
      <c r="M11">
        <f t="shared" ref="M11:M74" si="4">IF(E11&lt;0,0,E11)*$K11*$C$6</f>
        <v>6020519.3420000002</v>
      </c>
      <c r="N11">
        <f t="shared" ref="N11:N74" si="5">IF(F11&lt;0,0,F11)*$K11*$D$6</f>
        <v>4524392.7370065581</v>
      </c>
      <c r="O11">
        <f t="shared" ref="O11:O74" si="6">L11+M11+N11</f>
        <v>10544912.079006558</v>
      </c>
      <c r="P11">
        <f t="shared" ref="P11:P74" si="7">L11/$O11*$I11</f>
        <v>0</v>
      </c>
      <c r="Q11">
        <f t="shared" ref="Q11:Q74" si="8">M11/$O11*$I11</f>
        <v>6874718.8930210471</v>
      </c>
      <c r="R11">
        <f t="shared" ref="R11:R74" si="9">N11/$O11*$I11</f>
        <v>5166319.7909789532</v>
      </c>
      <c r="S11">
        <f t="shared" ref="S11:S74" si="10">P11+Q11+R11</f>
        <v>12041038.684</v>
      </c>
    </row>
    <row r="12" spans="1:19" x14ac:dyDescent="0.3">
      <c r="A12" t="s">
        <v>13</v>
      </c>
      <c r="B12" t="s">
        <v>33</v>
      </c>
      <c r="C12" t="s">
        <v>14</v>
      </c>
      <c r="D12">
        <v>0</v>
      </c>
      <c r="E12">
        <v>29</v>
      </c>
      <c r="F12">
        <v>2</v>
      </c>
      <c r="G12">
        <v>20260402</v>
      </c>
      <c r="H12">
        <v>20260502</v>
      </c>
      <c r="I12">
        <v>694543.4865</v>
      </c>
      <c r="J12">
        <f t="shared" si="1"/>
        <v>31</v>
      </c>
      <c r="K12">
        <f t="shared" si="2"/>
        <v>22404.628596774193</v>
      </c>
      <c r="L12">
        <f t="shared" si="3"/>
        <v>0</v>
      </c>
      <c r="M12">
        <f t="shared" si="4"/>
        <v>649734.22930645163</v>
      </c>
      <c r="N12">
        <f t="shared" si="5"/>
        <v>33673.951744136626</v>
      </c>
      <c r="O12">
        <f t="shared" si="6"/>
        <v>683408.18105058826</v>
      </c>
      <c r="P12">
        <f t="shared" si="7"/>
        <v>0</v>
      </c>
      <c r="Q12">
        <f t="shared" si="8"/>
        <v>660320.85865165968</v>
      </c>
      <c r="R12">
        <f t="shared" si="9"/>
        <v>34222.627848340235</v>
      </c>
      <c r="S12">
        <f t="shared" si="10"/>
        <v>694543.48649999988</v>
      </c>
    </row>
    <row r="13" spans="1:19" x14ac:dyDescent="0.3">
      <c r="A13" t="s">
        <v>13</v>
      </c>
      <c r="B13" t="s">
        <v>24</v>
      </c>
      <c r="C13" t="s">
        <v>15</v>
      </c>
      <c r="D13">
        <v>26</v>
      </c>
      <c r="E13">
        <v>3</v>
      </c>
      <c r="F13">
        <v>0</v>
      </c>
      <c r="G13">
        <v>20260306</v>
      </c>
      <c r="H13">
        <v>20260403</v>
      </c>
      <c r="I13">
        <v>3003673.4917000001</v>
      </c>
      <c r="J13">
        <f t="shared" si="1"/>
        <v>29</v>
      </c>
      <c r="K13">
        <f t="shared" si="2"/>
        <v>103574.94798965518</v>
      </c>
      <c r="L13">
        <f t="shared" si="3"/>
        <v>4339144.2295116773</v>
      </c>
      <c r="M13">
        <f t="shared" si="4"/>
        <v>310724.84396896552</v>
      </c>
      <c r="N13">
        <f t="shared" si="5"/>
        <v>0</v>
      </c>
      <c r="O13">
        <f t="shared" si="6"/>
        <v>4649869.0734806424</v>
      </c>
      <c r="P13">
        <f t="shared" si="7"/>
        <v>2802954.7268717317</v>
      </c>
      <c r="Q13">
        <f t="shared" si="8"/>
        <v>200718.76482826861</v>
      </c>
      <c r="R13">
        <f t="shared" si="9"/>
        <v>0</v>
      </c>
      <c r="S13">
        <f t="shared" si="10"/>
        <v>3003673.4917000001</v>
      </c>
    </row>
    <row r="14" spans="1:19" x14ac:dyDescent="0.3">
      <c r="A14" t="s">
        <v>13</v>
      </c>
      <c r="B14" t="s">
        <v>33</v>
      </c>
      <c r="C14" t="s">
        <v>15</v>
      </c>
      <c r="D14">
        <v>0</v>
      </c>
      <c r="E14">
        <v>27</v>
      </c>
      <c r="F14">
        <v>4</v>
      </c>
      <c r="G14">
        <v>20260404</v>
      </c>
      <c r="H14">
        <v>20260504</v>
      </c>
      <c r="I14">
        <v>8841062.9045000002</v>
      </c>
      <c r="J14">
        <f t="shared" si="1"/>
        <v>31</v>
      </c>
      <c r="K14">
        <f t="shared" si="2"/>
        <v>285195.57756451616</v>
      </c>
      <c r="L14">
        <f t="shared" si="3"/>
        <v>0</v>
      </c>
      <c r="M14">
        <f t="shared" si="4"/>
        <v>7700280.5942419367</v>
      </c>
      <c r="N14">
        <f t="shared" si="5"/>
        <v>857292.68620247708</v>
      </c>
      <c r="O14">
        <f t="shared" si="6"/>
        <v>8557573.2804444134</v>
      </c>
      <c r="P14">
        <f t="shared" si="7"/>
        <v>0</v>
      </c>
      <c r="Q14">
        <f t="shared" si="8"/>
        <v>7955370.3935630377</v>
      </c>
      <c r="R14">
        <f t="shared" si="9"/>
        <v>885692.51093696349</v>
      </c>
      <c r="S14">
        <f t="shared" si="10"/>
        <v>8841062.904500002</v>
      </c>
    </row>
    <row r="15" spans="1:19" x14ac:dyDescent="0.3">
      <c r="A15" t="s">
        <v>13</v>
      </c>
      <c r="B15" t="s">
        <v>33</v>
      </c>
      <c r="C15" t="s">
        <v>14</v>
      </c>
      <c r="D15">
        <v>30</v>
      </c>
      <c r="E15">
        <v>2</v>
      </c>
      <c r="F15">
        <v>0</v>
      </c>
      <c r="G15">
        <v>20260302</v>
      </c>
      <c r="H15">
        <v>20260402</v>
      </c>
      <c r="I15">
        <v>88834.863899999997</v>
      </c>
      <c r="J15">
        <f t="shared" si="1"/>
        <v>32</v>
      </c>
      <c r="K15">
        <f t="shared" si="2"/>
        <v>2776.0894968749999</v>
      </c>
      <c r="L15">
        <f t="shared" si="3"/>
        <v>134193.26875530055</v>
      </c>
      <c r="M15">
        <f t="shared" si="4"/>
        <v>5552.1789937499998</v>
      </c>
      <c r="N15">
        <f t="shared" si="5"/>
        <v>0</v>
      </c>
      <c r="O15">
        <f t="shared" si="6"/>
        <v>139745.44774905057</v>
      </c>
      <c r="P15">
        <f t="shared" si="7"/>
        <v>85305.3960482533</v>
      </c>
      <c r="Q15">
        <f t="shared" si="8"/>
        <v>3529.467851746685</v>
      </c>
      <c r="R15">
        <f t="shared" si="9"/>
        <v>0</v>
      </c>
      <c r="S15">
        <f t="shared" si="10"/>
        <v>88834.863899999982</v>
      </c>
    </row>
    <row r="16" spans="1:19" x14ac:dyDescent="0.3">
      <c r="A16" t="s">
        <v>13</v>
      </c>
      <c r="B16" t="s">
        <v>33</v>
      </c>
      <c r="C16" t="s">
        <v>15</v>
      </c>
      <c r="D16">
        <v>0</v>
      </c>
      <c r="E16">
        <v>15</v>
      </c>
      <c r="F16">
        <v>0</v>
      </c>
      <c r="G16">
        <v>20260401</v>
      </c>
      <c r="H16">
        <v>20260415</v>
      </c>
      <c r="I16">
        <v>14865.2377</v>
      </c>
      <c r="J16">
        <f t="shared" si="1"/>
        <v>15</v>
      </c>
      <c r="K16">
        <f t="shared" si="2"/>
        <v>991.01584666666668</v>
      </c>
      <c r="L16">
        <f t="shared" si="3"/>
        <v>0</v>
      </c>
      <c r="M16">
        <f t="shared" si="4"/>
        <v>14865.2377</v>
      </c>
      <c r="N16">
        <f t="shared" si="5"/>
        <v>0</v>
      </c>
      <c r="O16">
        <f t="shared" si="6"/>
        <v>14865.2377</v>
      </c>
      <c r="P16">
        <f t="shared" si="7"/>
        <v>0</v>
      </c>
      <c r="Q16">
        <f t="shared" si="8"/>
        <v>14865.2377</v>
      </c>
      <c r="R16">
        <f t="shared" si="9"/>
        <v>0</v>
      </c>
      <c r="S16">
        <f t="shared" si="10"/>
        <v>14865.2377</v>
      </c>
    </row>
    <row r="17" spans="1:19" x14ac:dyDescent="0.3">
      <c r="A17" t="s">
        <v>13</v>
      </c>
      <c r="B17" t="s">
        <v>33</v>
      </c>
      <c r="C17" t="s">
        <v>15</v>
      </c>
      <c r="D17">
        <v>27</v>
      </c>
      <c r="E17">
        <v>6</v>
      </c>
      <c r="F17">
        <v>0</v>
      </c>
      <c r="G17">
        <v>20260305</v>
      </c>
      <c r="H17">
        <v>20260406</v>
      </c>
      <c r="I17">
        <v>261731.24230000001</v>
      </c>
      <c r="J17">
        <f t="shared" si="1"/>
        <v>33</v>
      </c>
      <c r="K17">
        <f t="shared" si="2"/>
        <v>7931.2497666666668</v>
      </c>
      <c r="L17">
        <f t="shared" si="3"/>
        <v>345049.50198169873</v>
      </c>
      <c r="M17">
        <f t="shared" si="4"/>
        <v>47587.498599999999</v>
      </c>
      <c r="N17">
        <f t="shared" si="5"/>
        <v>0</v>
      </c>
      <c r="O17">
        <f t="shared" si="6"/>
        <v>392637.00058169873</v>
      </c>
      <c r="P17">
        <f t="shared" si="7"/>
        <v>230009.48630635955</v>
      </c>
      <c r="Q17">
        <f t="shared" si="8"/>
        <v>31721.75599364045</v>
      </c>
      <c r="R17">
        <f t="shared" si="9"/>
        <v>0</v>
      </c>
      <c r="S17">
        <f t="shared" si="10"/>
        <v>261731.24230000001</v>
      </c>
    </row>
    <row r="18" spans="1:19" x14ac:dyDescent="0.3">
      <c r="A18" t="s">
        <v>13</v>
      </c>
      <c r="B18" t="s">
        <v>24</v>
      </c>
      <c r="C18" t="s">
        <v>15</v>
      </c>
      <c r="D18">
        <v>27</v>
      </c>
      <c r="E18">
        <v>6</v>
      </c>
      <c r="F18">
        <v>0</v>
      </c>
      <c r="G18">
        <v>20260305</v>
      </c>
      <c r="H18">
        <v>20260406</v>
      </c>
      <c r="I18">
        <v>1177790.5881000001</v>
      </c>
      <c r="J18">
        <f t="shared" si="1"/>
        <v>33</v>
      </c>
      <c r="K18">
        <f t="shared" si="2"/>
        <v>35690.623881818181</v>
      </c>
      <c r="L18">
        <f t="shared" si="3"/>
        <v>1552722.7559513901</v>
      </c>
      <c r="M18">
        <f t="shared" si="4"/>
        <v>214143.7432909091</v>
      </c>
      <c r="N18">
        <f t="shared" si="5"/>
        <v>0</v>
      </c>
      <c r="O18">
        <f t="shared" si="6"/>
        <v>1766866.4992422992</v>
      </c>
      <c r="P18">
        <f t="shared" si="7"/>
        <v>1035042.6864013174</v>
      </c>
      <c r="Q18">
        <f t="shared" si="8"/>
        <v>142747.90169868263</v>
      </c>
      <c r="R18">
        <f t="shared" si="9"/>
        <v>0</v>
      </c>
      <c r="S18">
        <f t="shared" si="10"/>
        <v>1177790.5881000001</v>
      </c>
    </row>
    <row r="19" spans="1:19" x14ac:dyDescent="0.3">
      <c r="A19" t="s">
        <v>13</v>
      </c>
      <c r="B19" t="s">
        <v>33</v>
      </c>
      <c r="C19" t="s">
        <v>15</v>
      </c>
      <c r="D19">
        <v>0</v>
      </c>
      <c r="E19">
        <v>24</v>
      </c>
      <c r="F19">
        <v>6</v>
      </c>
      <c r="G19">
        <v>20260407</v>
      </c>
      <c r="H19">
        <v>20260506</v>
      </c>
      <c r="I19">
        <v>1331845.9397</v>
      </c>
      <c r="J19">
        <f t="shared" si="1"/>
        <v>30</v>
      </c>
      <c r="K19">
        <f t="shared" si="2"/>
        <v>44394.864656666665</v>
      </c>
      <c r="L19">
        <f t="shared" si="3"/>
        <v>0</v>
      </c>
      <c r="M19">
        <f t="shared" si="4"/>
        <v>1065476.7517599999</v>
      </c>
      <c r="N19">
        <f t="shared" si="5"/>
        <v>200175.22589300747</v>
      </c>
      <c r="O19">
        <f t="shared" si="6"/>
        <v>1265651.9776530075</v>
      </c>
      <c r="P19">
        <f t="shared" si="7"/>
        <v>0</v>
      </c>
      <c r="Q19">
        <f t="shared" si="8"/>
        <v>1121201.4919834062</v>
      </c>
      <c r="R19">
        <f t="shared" si="9"/>
        <v>210644.44771659366</v>
      </c>
      <c r="S19">
        <f t="shared" si="10"/>
        <v>1331845.9397</v>
      </c>
    </row>
    <row r="20" spans="1:19" x14ac:dyDescent="0.3">
      <c r="A20" t="s">
        <v>13</v>
      </c>
      <c r="B20" t="s">
        <v>24</v>
      </c>
      <c r="C20" t="s">
        <v>14</v>
      </c>
      <c r="D20">
        <v>28</v>
      </c>
      <c r="E20">
        <v>3</v>
      </c>
      <c r="F20">
        <v>0</v>
      </c>
      <c r="G20">
        <v>20260304</v>
      </c>
      <c r="H20">
        <v>20260403</v>
      </c>
      <c r="I20">
        <v>1315422.6143</v>
      </c>
      <c r="J20">
        <f t="shared" si="1"/>
        <v>31</v>
      </c>
      <c r="K20">
        <f t="shared" si="2"/>
        <v>42432.987558064517</v>
      </c>
      <c r="L20">
        <f t="shared" si="3"/>
        <v>1914421.9074664561</v>
      </c>
      <c r="M20">
        <f t="shared" si="4"/>
        <v>127298.96267419355</v>
      </c>
      <c r="N20">
        <f t="shared" si="5"/>
        <v>0</v>
      </c>
      <c r="O20">
        <f t="shared" si="6"/>
        <v>2041720.8701406496</v>
      </c>
      <c r="P20">
        <f t="shared" si="7"/>
        <v>1233407.5177569401</v>
      </c>
      <c r="Q20">
        <f t="shared" si="8"/>
        <v>82015.096543059975</v>
      </c>
      <c r="R20">
        <f t="shared" si="9"/>
        <v>0</v>
      </c>
      <c r="S20">
        <f t="shared" si="10"/>
        <v>1315422.6143</v>
      </c>
    </row>
    <row r="21" spans="1:19" x14ac:dyDescent="0.3">
      <c r="A21" t="s">
        <v>13</v>
      </c>
      <c r="B21" t="s">
        <v>33</v>
      </c>
      <c r="C21" t="s">
        <v>14</v>
      </c>
      <c r="D21">
        <v>25</v>
      </c>
      <c r="E21">
        <v>2</v>
      </c>
      <c r="F21">
        <v>0</v>
      </c>
      <c r="G21">
        <v>20260307</v>
      </c>
      <c r="H21">
        <v>20260402</v>
      </c>
      <c r="I21">
        <v>8016.8687</v>
      </c>
      <c r="J21">
        <f t="shared" si="1"/>
        <v>27</v>
      </c>
      <c r="K21">
        <f t="shared" si="2"/>
        <v>296.92106296296294</v>
      </c>
      <c r="L21">
        <f t="shared" si="3"/>
        <v>11960.711895321061</v>
      </c>
      <c r="M21">
        <f t="shared" si="4"/>
        <v>593.84212592592587</v>
      </c>
      <c r="N21">
        <f t="shared" si="5"/>
        <v>0</v>
      </c>
      <c r="O21">
        <f t="shared" si="6"/>
        <v>12554.554021246988</v>
      </c>
      <c r="P21">
        <f t="shared" si="7"/>
        <v>7637.6633260759199</v>
      </c>
      <c r="Q21">
        <f t="shared" si="8"/>
        <v>379.20537392407897</v>
      </c>
      <c r="R21">
        <f t="shared" si="9"/>
        <v>0</v>
      </c>
      <c r="S21">
        <f t="shared" si="10"/>
        <v>8016.8686999999991</v>
      </c>
    </row>
    <row r="22" spans="1:19" x14ac:dyDescent="0.3">
      <c r="A22" t="s">
        <v>13</v>
      </c>
      <c r="B22" t="s">
        <v>33</v>
      </c>
      <c r="C22" t="s">
        <v>15</v>
      </c>
      <c r="D22">
        <v>0</v>
      </c>
      <c r="E22">
        <v>26</v>
      </c>
      <c r="F22">
        <v>3</v>
      </c>
      <c r="G22">
        <v>20260405</v>
      </c>
      <c r="H22">
        <v>20260503</v>
      </c>
      <c r="I22">
        <v>395866.57150000002</v>
      </c>
      <c r="J22">
        <f t="shared" si="1"/>
        <v>29</v>
      </c>
      <c r="K22">
        <f t="shared" si="2"/>
        <v>13650.571431034483</v>
      </c>
      <c r="L22">
        <f t="shared" si="3"/>
        <v>0</v>
      </c>
      <c r="M22">
        <f t="shared" si="4"/>
        <v>354914.85720689653</v>
      </c>
      <c r="N22">
        <f t="shared" si="5"/>
        <v>30775.025905677903</v>
      </c>
      <c r="O22">
        <f t="shared" si="6"/>
        <v>385689.88311257446</v>
      </c>
      <c r="P22">
        <f t="shared" si="7"/>
        <v>0</v>
      </c>
      <c r="Q22">
        <f t="shared" si="8"/>
        <v>364279.52572429186</v>
      </c>
      <c r="R22">
        <f t="shared" si="9"/>
        <v>31587.045775708095</v>
      </c>
      <c r="S22">
        <f t="shared" si="10"/>
        <v>395866.57149999996</v>
      </c>
    </row>
    <row r="23" spans="1:19" x14ac:dyDescent="0.3">
      <c r="A23" t="s">
        <v>13</v>
      </c>
      <c r="B23" t="s">
        <v>24</v>
      </c>
      <c r="C23" t="s">
        <v>15</v>
      </c>
      <c r="D23">
        <v>27</v>
      </c>
      <c r="E23">
        <v>5</v>
      </c>
      <c r="F23">
        <v>0</v>
      </c>
      <c r="G23">
        <v>20260305</v>
      </c>
      <c r="H23">
        <v>20260405</v>
      </c>
      <c r="I23">
        <v>458130.2671</v>
      </c>
      <c r="J23">
        <f t="shared" si="1"/>
        <v>32</v>
      </c>
      <c r="K23">
        <f t="shared" si="2"/>
        <v>14316.570846875</v>
      </c>
      <c r="L23">
        <f t="shared" si="3"/>
        <v>622843.28272718994</v>
      </c>
      <c r="M23">
        <f t="shared" si="4"/>
        <v>71582.854234375001</v>
      </c>
      <c r="N23">
        <f t="shared" si="5"/>
        <v>0</v>
      </c>
      <c r="O23">
        <f t="shared" si="6"/>
        <v>694426.13696156489</v>
      </c>
      <c r="P23">
        <f t="shared" si="7"/>
        <v>410905.27025056595</v>
      </c>
      <c r="Q23">
        <f t="shared" si="8"/>
        <v>47224.996849434086</v>
      </c>
      <c r="R23">
        <f t="shared" si="9"/>
        <v>0</v>
      </c>
      <c r="S23">
        <f t="shared" si="10"/>
        <v>458130.26710000006</v>
      </c>
    </row>
    <row r="24" spans="1:19" x14ac:dyDescent="0.3">
      <c r="A24" t="s">
        <v>13</v>
      </c>
      <c r="B24" t="s">
        <v>24</v>
      </c>
      <c r="C24" t="s">
        <v>15</v>
      </c>
      <c r="D24">
        <v>26</v>
      </c>
      <c r="E24">
        <v>4</v>
      </c>
      <c r="F24">
        <v>0</v>
      </c>
      <c r="G24">
        <v>20260306</v>
      </c>
      <c r="H24">
        <v>20260404</v>
      </c>
      <c r="I24">
        <v>407554.39059999998</v>
      </c>
      <c r="J24">
        <f t="shared" si="1"/>
        <v>30</v>
      </c>
      <c r="K24">
        <f t="shared" si="2"/>
        <v>13585.146353333334</v>
      </c>
      <c r="L24">
        <f t="shared" si="3"/>
        <v>569132.88927768054</v>
      </c>
      <c r="M24">
        <f t="shared" si="4"/>
        <v>54340.585413333334</v>
      </c>
      <c r="N24">
        <f t="shared" si="5"/>
        <v>0</v>
      </c>
      <c r="O24">
        <f t="shared" si="6"/>
        <v>623473.47469101392</v>
      </c>
      <c r="P24">
        <f t="shared" si="7"/>
        <v>372032.84065121668</v>
      </c>
      <c r="Q24">
        <f t="shared" si="8"/>
        <v>35521.549948783271</v>
      </c>
      <c r="R24">
        <f t="shared" si="9"/>
        <v>0</v>
      </c>
      <c r="S24">
        <f t="shared" si="10"/>
        <v>407554.39059999993</v>
      </c>
    </row>
    <row r="25" spans="1:19" x14ac:dyDescent="0.3">
      <c r="A25" t="s">
        <v>13</v>
      </c>
      <c r="B25" t="s">
        <v>33</v>
      </c>
      <c r="C25" t="s">
        <v>15</v>
      </c>
      <c r="D25">
        <v>0</v>
      </c>
      <c r="E25">
        <v>27</v>
      </c>
      <c r="F25">
        <v>8</v>
      </c>
      <c r="G25">
        <v>20260404</v>
      </c>
      <c r="H25">
        <v>20260508</v>
      </c>
      <c r="I25">
        <v>250400.02960000001</v>
      </c>
      <c r="J25">
        <f t="shared" si="1"/>
        <v>35</v>
      </c>
      <c r="K25">
        <f t="shared" si="2"/>
        <v>7154.2865600000005</v>
      </c>
      <c r="L25">
        <f t="shared" si="3"/>
        <v>0</v>
      </c>
      <c r="M25">
        <f t="shared" si="4"/>
        <v>193165.73712000001</v>
      </c>
      <c r="N25">
        <f t="shared" si="5"/>
        <v>43011.308907812338</v>
      </c>
      <c r="O25">
        <f t="shared" si="6"/>
        <v>236177.04602781235</v>
      </c>
      <c r="P25">
        <f t="shared" si="7"/>
        <v>0</v>
      </c>
      <c r="Q25">
        <f t="shared" si="8"/>
        <v>204798.50648507939</v>
      </c>
      <c r="R25">
        <f t="shared" si="9"/>
        <v>45601.523114920608</v>
      </c>
      <c r="S25">
        <f t="shared" si="10"/>
        <v>250400.02960000001</v>
      </c>
    </row>
    <row r="26" spans="1:19" x14ac:dyDescent="0.3">
      <c r="A26" t="s">
        <v>13</v>
      </c>
      <c r="B26" t="s">
        <v>33</v>
      </c>
      <c r="C26" t="s">
        <v>14</v>
      </c>
      <c r="D26">
        <v>0</v>
      </c>
      <c r="E26">
        <v>29</v>
      </c>
      <c r="F26">
        <v>4</v>
      </c>
      <c r="G26">
        <v>20260402</v>
      </c>
      <c r="H26">
        <v>20260504</v>
      </c>
      <c r="I26">
        <v>1633122.0608999999</v>
      </c>
      <c r="J26">
        <f t="shared" si="1"/>
        <v>33</v>
      </c>
      <c r="K26">
        <f t="shared" si="2"/>
        <v>49488.547299999998</v>
      </c>
      <c r="L26">
        <f t="shared" si="3"/>
        <v>0</v>
      </c>
      <c r="M26">
        <f t="shared" si="4"/>
        <v>1435167.8717</v>
      </c>
      <c r="N26">
        <f t="shared" si="5"/>
        <v>148761.6673911355</v>
      </c>
      <c r="O26">
        <f t="shared" si="6"/>
        <v>1583929.5390911356</v>
      </c>
      <c r="P26">
        <f t="shared" si="7"/>
        <v>0</v>
      </c>
      <c r="Q26">
        <f t="shared" si="8"/>
        <v>1479740.2627600809</v>
      </c>
      <c r="R26">
        <f t="shared" si="9"/>
        <v>153381.798139919</v>
      </c>
      <c r="S26">
        <f t="shared" si="10"/>
        <v>1633122.0608999999</v>
      </c>
    </row>
    <row r="27" spans="1:19" x14ac:dyDescent="0.3">
      <c r="A27" t="s">
        <v>13</v>
      </c>
      <c r="B27" t="s">
        <v>33</v>
      </c>
      <c r="C27" t="s">
        <v>14</v>
      </c>
      <c r="D27">
        <v>25</v>
      </c>
      <c r="E27">
        <v>1</v>
      </c>
      <c r="F27">
        <v>0</v>
      </c>
      <c r="G27">
        <v>20260307</v>
      </c>
      <c r="H27">
        <v>20260401</v>
      </c>
      <c r="I27">
        <v>9612.7756000000008</v>
      </c>
      <c r="J27">
        <f t="shared" si="1"/>
        <v>26</v>
      </c>
      <c r="K27">
        <f t="shared" si="2"/>
        <v>369.72213846153852</v>
      </c>
      <c r="L27">
        <f t="shared" si="3"/>
        <v>14893.318565318717</v>
      </c>
      <c r="M27">
        <f t="shared" si="4"/>
        <v>369.72213846153852</v>
      </c>
      <c r="N27">
        <f t="shared" si="5"/>
        <v>0</v>
      </c>
      <c r="O27">
        <f t="shared" si="6"/>
        <v>15263.040703780256</v>
      </c>
      <c r="P27">
        <f t="shared" si="7"/>
        <v>9379.9218705001731</v>
      </c>
      <c r="Q27">
        <f t="shared" si="8"/>
        <v>232.85372949982718</v>
      </c>
      <c r="R27">
        <f t="shared" si="9"/>
        <v>0</v>
      </c>
      <c r="S27">
        <f t="shared" si="10"/>
        <v>9612.7756000000008</v>
      </c>
    </row>
    <row r="28" spans="1:19" x14ac:dyDescent="0.3">
      <c r="A28" t="s">
        <v>13</v>
      </c>
      <c r="B28" t="s">
        <v>33</v>
      </c>
      <c r="C28" t="s">
        <v>15</v>
      </c>
      <c r="D28">
        <v>0</v>
      </c>
      <c r="E28">
        <v>27</v>
      </c>
      <c r="F28">
        <v>1</v>
      </c>
      <c r="G28">
        <v>20260404</v>
      </c>
      <c r="H28">
        <v>20260501</v>
      </c>
      <c r="I28">
        <v>3512542.9780999999</v>
      </c>
      <c r="J28">
        <f t="shared" si="1"/>
        <v>28</v>
      </c>
      <c r="K28">
        <f t="shared" si="2"/>
        <v>125447.96350357143</v>
      </c>
      <c r="L28">
        <f t="shared" si="3"/>
        <v>0</v>
      </c>
      <c r="M28">
        <f t="shared" si="4"/>
        <v>3387095.0145964287</v>
      </c>
      <c r="N28">
        <f t="shared" si="5"/>
        <v>94273.570552017394</v>
      </c>
      <c r="O28">
        <f t="shared" si="6"/>
        <v>3481368.5851484463</v>
      </c>
      <c r="P28">
        <f t="shared" si="7"/>
        <v>0</v>
      </c>
      <c r="Q28">
        <f t="shared" si="8"/>
        <v>3417425.2219176898</v>
      </c>
      <c r="R28">
        <f t="shared" si="9"/>
        <v>95117.756182310055</v>
      </c>
      <c r="S28">
        <f t="shared" si="10"/>
        <v>3512542.9780999999</v>
      </c>
    </row>
    <row r="29" spans="1:19" x14ac:dyDescent="0.3">
      <c r="A29" t="s">
        <v>13</v>
      </c>
      <c r="B29" t="s">
        <v>33</v>
      </c>
      <c r="C29" t="s">
        <v>15</v>
      </c>
      <c r="D29">
        <v>30</v>
      </c>
      <c r="E29">
        <v>3</v>
      </c>
      <c r="F29">
        <v>0</v>
      </c>
      <c r="G29">
        <v>20260302</v>
      </c>
      <c r="H29">
        <v>20260403</v>
      </c>
      <c r="I29">
        <v>292309.36090000003</v>
      </c>
      <c r="J29">
        <f t="shared" si="1"/>
        <v>33</v>
      </c>
      <c r="K29">
        <f t="shared" si="2"/>
        <v>8857.8594212121225</v>
      </c>
      <c r="L29">
        <f t="shared" si="3"/>
        <v>428179.67909372196</v>
      </c>
      <c r="M29">
        <f t="shared" si="4"/>
        <v>26573.578263636366</v>
      </c>
      <c r="N29">
        <f t="shared" si="5"/>
        <v>0</v>
      </c>
      <c r="O29">
        <f t="shared" si="6"/>
        <v>454753.25735735835</v>
      </c>
      <c r="P29">
        <f t="shared" si="7"/>
        <v>275228.2173273096</v>
      </c>
      <c r="Q29">
        <f t="shared" si="8"/>
        <v>17081.143572690431</v>
      </c>
      <c r="R29">
        <f t="shared" si="9"/>
        <v>0</v>
      </c>
      <c r="S29">
        <f t="shared" si="10"/>
        <v>292309.36090000003</v>
      </c>
    </row>
    <row r="30" spans="1:19" x14ac:dyDescent="0.3">
      <c r="A30" t="s">
        <v>13</v>
      </c>
      <c r="B30" t="s">
        <v>33</v>
      </c>
      <c r="C30" t="s">
        <v>14</v>
      </c>
      <c r="D30">
        <v>0</v>
      </c>
      <c r="E30">
        <v>28</v>
      </c>
      <c r="F30">
        <v>5</v>
      </c>
      <c r="G30">
        <v>20260403</v>
      </c>
      <c r="H30">
        <v>20260505</v>
      </c>
      <c r="I30">
        <v>419679.14030000003</v>
      </c>
      <c r="J30">
        <f t="shared" si="1"/>
        <v>33</v>
      </c>
      <c r="K30">
        <f t="shared" si="2"/>
        <v>12717.549706060607</v>
      </c>
      <c r="L30">
        <f t="shared" si="3"/>
        <v>0</v>
      </c>
      <c r="M30">
        <f t="shared" si="4"/>
        <v>356091.39176969696</v>
      </c>
      <c r="N30">
        <f t="shared" si="5"/>
        <v>47785.902057667117</v>
      </c>
      <c r="O30">
        <f t="shared" si="6"/>
        <v>403877.2938273641</v>
      </c>
      <c r="P30">
        <f t="shared" si="7"/>
        <v>0</v>
      </c>
      <c r="Q30">
        <f t="shared" si="8"/>
        <v>370023.59738999413</v>
      </c>
      <c r="R30">
        <f t="shared" si="9"/>
        <v>49655.542910005897</v>
      </c>
      <c r="S30">
        <f t="shared" si="10"/>
        <v>419679.14030000003</v>
      </c>
    </row>
    <row r="31" spans="1:19" x14ac:dyDescent="0.3">
      <c r="A31" t="s">
        <v>13</v>
      </c>
      <c r="B31" t="s">
        <v>24</v>
      </c>
      <c r="C31" t="s">
        <v>14</v>
      </c>
      <c r="D31">
        <v>26</v>
      </c>
      <c r="E31">
        <v>7</v>
      </c>
      <c r="F31">
        <v>0</v>
      </c>
      <c r="G31">
        <v>20260306</v>
      </c>
      <c r="H31">
        <v>20260407</v>
      </c>
      <c r="I31">
        <v>349907.06819999998</v>
      </c>
      <c r="J31">
        <f t="shared" si="1"/>
        <v>33</v>
      </c>
      <c r="K31">
        <f t="shared" si="2"/>
        <v>10603.24449090909</v>
      </c>
      <c r="L31">
        <f t="shared" si="3"/>
        <v>444209.80207902141</v>
      </c>
      <c r="M31">
        <f t="shared" si="4"/>
        <v>74222.711436363636</v>
      </c>
      <c r="N31">
        <f t="shared" si="5"/>
        <v>0</v>
      </c>
      <c r="O31">
        <f t="shared" si="6"/>
        <v>518432.51351538504</v>
      </c>
      <c r="P31">
        <f t="shared" si="7"/>
        <v>299811.73143871507</v>
      </c>
      <c r="Q31">
        <f t="shared" si="8"/>
        <v>50095.336761284918</v>
      </c>
      <c r="R31">
        <f t="shared" si="9"/>
        <v>0</v>
      </c>
      <c r="S31">
        <f t="shared" si="10"/>
        <v>349907.06819999998</v>
      </c>
    </row>
    <row r="32" spans="1:19" x14ac:dyDescent="0.3">
      <c r="A32" t="s">
        <v>13</v>
      </c>
      <c r="B32" t="s">
        <v>33</v>
      </c>
      <c r="C32" t="s">
        <v>15</v>
      </c>
      <c r="D32">
        <v>0</v>
      </c>
      <c r="E32">
        <v>28</v>
      </c>
      <c r="F32">
        <v>5</v>
      </c>
      <c r="G32">
        <v>20260403</v>
      </c>
      <c r="H32">
        <v>20260505</v>
      </c>
      <c r="I32">
        <v>2187667.1734000002</v>
      </c>
      <c r="J32">
        <f t="shared" si="1"/>
        <v>33</v>
      </c>
      <c r="K32">
        <f t="shared" si="2"/>
        <v>66292.944648484859</v>
      </c>
      <c r="L32">
        <f t="shared" si="3"/>
        <v>0</v>
      </c>
      <c r="M32">
        <f t="shared" si="4"/>
        <v>1856202.450157576</v>
      </c>
      <c r="N32">
        <f t="shared" si="5"/>
        <v>249094.22281063962</v>
      </c>
      <c r="O32">
        <f t="shared" si="6"/>
        <v>2105296.6729682158</v>
      </c>
      <c r="P32">
        <f t="shared" si="7"/>
        <v>0</v>
      </c>
      <c r="Q32">
        <f t="shared" si="8"/>
        <v>1928827.0482417115</v>
      </c>
      <c r="R32">
        <f t="shared" si="9"/>
        <v>258840.12515828875</v>
      </c>
      <c r="S32">
        <f t="shared" si="10"/>
        <v>2187667.1734000002</v>
      </c>
    </row>
    <row r="33" spans="1:19" x14ac:dyDescent="0.3">
      <c r="A33" t="s">
        <v>13</v>
      </c>
      <c r="B33" t="s">
        <v>33</v>
      </c>
      <c r="C33" t="s">
        <v>15</v>
      </c>
      <c r="D33">
        <v>0</v>
      </c>
      <c r="E33">
        <v>23</v>
      </c>
      <c r="F33">
        <v>8</v>
      </c>
      <c r="G33">
        <v>20260408</v>
      </c>
      <c r="H33">
        <v>20260508</v>
      </c>
      <c r="I33">
        <v>465555.6102</v>
      </c>
      <c r="J33">
        <f t="shared" si="1"/>
        <v>31</v>
      </c>
      <c r="K33">
        <f t="shared" si="2"/>
        <v>15017.92290967742</v>
      </c>
      <c r="L33">
        <f t="shared" si="3"/>
        <v>0</v>
      </c>
      <c r="M33">
        <f t="shared" si="4"/>
        <v>345412.22692258068</v>
      </c>
      <c r="N33">
        <f t="shared" si="5"/>
        <v>90287.202784598456</v>
      </c>
      <c r="O33">
        <f t="shared" si="6"/>
        <v>435699.42970717914</v>
      </c>
      <c r="P33">
        <f t="shared" si="7"/>
        <v>0</v>
      </c>
      <c r="Q33">
        <f t="shared" si="8"/>
        <v>369081.50231814093</v>
      </c>
      <c r="R33">
        <f t="shared" si="9"/>
        <v>96474.107881859076</v>
      </c>
      <c r="S33">
        <f t="shared" si="10"/>
        <v>465555.6102</v>
      </c>
    </row>
    <row r="34" spans="1:19" x14ac:dyDescent="0.3">
      <c r="A34" t="s">
        <v>13</v>
      </c>
      <c r="B34" t="s">
        <v>33</v>
      </c>
      <c r="C34" t="s">
        <v>15</v>
      </c>
      <c r="D34">
        <v>0</v>
      </c>
      <c r="E34">
        <v>28</v>
      </c>
      <c r="F34">
        <v>8</v>
      </c>
      <c r="G34">
        <v>20260403</v>
      </c>
      <c r="H34">
        <v>20260508</v>
      </c>
      <c r="I34">
        <v>507170.92119999998</v>
      </c>
      <c r="J34">
        <f t="shared" si="1"/>
        <v>36</v>
      </c>
      <c r="K34">
        <f t="shared" si="2"/>
        <v>14088.081144444444</v>
      </c>
      <c r="L34">
        <f t="shared" si="3"/>
        <v>0</v>
      </c>
      <c r="M34">
        <f t="shared" si="4"/>
        <v>394466.27204444446</v>
      </c>
      <c r="N34">
        <f t="shared" si="5"/>
        <v>84697.028129947634</v>
      </c>
      <c r="O34">
        <f t="shared" si="6"/>
        <v>479163.30017439206</v>
      </c>
      <c r="P34">
        <f t="shared" si="7"/>
        <v>0</v>
      </c>
      <c r="Q34">
        <f t="shared" si="8"/>
        <v>417523.25877690956</v>
      </c>
      <c r="R34">
        <f t="shared" si="9"/>
        <v>89647.662423090442</v>
      </c>
      <c r="S34">
        <f t="shared" si="10"/>
        <v>507170.92119999998</v>
      </c>
    </row>
    <row r="35" spans="1:19" x14ac:dyDescent="0.3">
      <c r="A35" t="s">
        <v>13</v>
      </c>
      <c r="B35" t="s">
        <v>33</v>
      </c>
      <c r="C35" t="s">
        <v>14</v>
      </c>
      <c r="D35">
        <v>25</v>
      </c>
      <c r="E35">
        <v>3</v>
      </c>
      <c r="F35">
        <v>0</v>
      </c>
      <c r="G35">
        <v>20260307</v>
      </c>
      <c r="H35">
        <v>20260403</v>
      </c>
      <c r="I35">
        <v>38061.2808</v>
      </c>
      <c r="J35">
        <f t="shared" si="1"/>
        <v>28</v>
      </c>
      <c r="K35">
        <f t="shared" si="2"/>
        <v>1359.3314571428571</v>
      </c>
      <c r="L35">
        <f t="shared" si="3"/>
        <v>54757.219871467074</v>
      </c>
      <c r="M35">
        <f t="shared" si="4"/>
        <v>4077.994371428571</v>
      </c>
      <c r="N35">
        <f t="shared" si="5"/>
        <v>0</v>
      </c>
      <c r="O35">
        <f t="shared" si="6"/>
        <v>58835.214242895643</v>
      </c>
      <c r="P35">
        <f t="shared" si="7"/>
        <v>35423.172128703634</v>
      </c>
      <c r="Q35">
        <f t="shared" si="8"/>
        <v>2638.1086712963643</v>
      </c>
      <c r="R35">
        <f t="shared" si="9"/>
        <v>0</v>
      </c>
      <c r="S35">
        <f t="shared" si="10"/>
        <v>38061.2808</v>
      </c>
    </row>
    <row r="36" spans="1:19" x14ac:dyDescent="0.3">
      <c r="A36" t="s">
        <v>13</v>
      </c>
      <c r="B36" t="s">
        <v>33</v>
      </c>
      <c r="C36" t="s">
        <v>15</v>
      </c>
      <c r="D36">
        <v>0</v>
      </c>
      <c r="E36">
        <v>24</v>
      </c>
      <c r="F36">
        <v>2</v>
      </c>
      <c r="G36">
        <v>20260407</v>
      </c>
      <c r="H36">
        <v>20260502</v>
      </c>
      <c r="I36">
        <v>505339.40950000001</v>
      </c>
      <c r="J36">
        <f t="shared" si="1"/>
        <v>26</v>
      </c>
      <c r="K36">
        <f t="shared" si="2"/>
        <v>19436.131134615385</v>
      </c>
      <c r="L36">
        <f t="shared" si="3"/>
        <v>0</v>
      </c>
      <c r="M36">
        <f t="shared" si="4"/>
        <v>466467.14723076927</v>
      </c>
      <c r="N36">
        <f t="shared" si="5"/>
        <v>29212.327224829929</v>
      </c>
      <c r="O36">
        <f t="shared" si="6"/>
        <v>495679.47445559921</v>
      </c>
      <c r="P36">
        <f t="shared" si="7"/>
        <v>0</v>
      </c>
      <c r="Q36">
        <f t="shared" si="8"/>
        <v>475557.7845777063</v>
      </c>
      <c r="R36">
        <f t="shared" si="9"/>
        <v>29781.624922293726</v>
      </c>
      <c r="S36">
        <f t="shared" si="10"/>
        <v>505339.40950000001</v>
      </c>
    </row>
    <row r="37" spans="1:19" x14ac:dyDescent="0.3">
      <c r="A37" t="s">
        <v>13</v>
      </c>
      <c r="B37" t="s">
        <v>33</v>
      </c>
      <c r="C37" t="s">
        <v>15</v>
      </c>
      <c r="D37">
        <v>15</v>
      </c>
      <c r="E37">
        <v>16</v>
      </c>
      <c r="F37">
        <v>0</v>
      </c>
      <c r="G37">
        <v>20260317</v>
      </c>
      <c r="H37">
        <v>20260416</v>
      </c>
      <c r="I37">
        <v>863051.03899999999</v>
      </c>
      <c r="J37">
        <f t="shared" si="1"/>
        <v>31</v>
      </c>
      <c r="K37">
        <f t="shared" si="2"/>
        <v>27840.356096774194</v>
      </c>
      <c r="L37">
        <f t="shared" si="3"/>
        <v>672886.8777723544</v>
      </c>
      <c r="M37">
        <f t="shared" si="4"/>
        <v>445445.69754838711</v>
      </c>
      <c r="N37">
        <f t="shared" si="5"/>
        <v>0</v>
      </c>
      <c r="O37">
        <f t="shared" si="6"/>
        <v>1118332.5753207416</v>
      </c>
      <c r="P37">
        <f t="shared" si="7"/>
        <v>519287.13497801806</v>
      </c>
      <c r="Q37">
        <f t="shared" si="8"/>
        <v>343763.90402198187</v>
      </c>
      <c r="R37">
        <f t="shared" si="9"/>
        <v>0</v>
      </c>
      <c r="S37">
        <f t="shared" si="10"/>
        <v>863051.03899999987</v>
      </c>
    </row>
    <row r="38" spans="1:19" x14ac:dyDescent="0.3">
      <c r="A38" t="s">
        <v>13</v>
      </c>
      <c r="B38" t="s">
        <v>33</v>
      </c>
      <c r="C38" t="s">
        <v>15</v>
      </c>
      <c r="D38">
        <v>0</v>
      </c>
      <c r="E38">
        <v>22</v>
      </c>
      <c r="F38">
        <v>4</v>
      </c>
      <c r="G38">
        <v>20260409</v>
      </c>
      <c r="H38">
        <v>20260504</v>
      </c>
      <c r="I38">
        <v>150271.02830000001</v>
      </c>
      <c r="J38">
        <f t="shared" si="1"/>
        <v>26</v>
      </c>
      <c r="K38">
        <f t="shared" si="2"/>
        <v>5779.6549346153852</v>
      </c>
      <c r="L38">
        <f t="shared" si="3"/>
        <v>0</v>
      </c>
      <c r="M38">
        <f t="shared" si="4"/>
        <v>127152.40856153847</v>
      </c>
      <c r="N38">
        <f t="shared" si="5"/>
        <v>17373.536947987741</v>
      </c>
      <c r="O38">
        <f t="shared" si="6"/>
        <v>144525.94550952621</v>
      </c>
      <c r="P38">
        <f t="shared" si="7"/>
        <v>0</v>
      </c>
      <c r="Q38">
        <f t="shared" si="8"/>
        <v>132206.8720464083</v>
      </c>
      <c r="R38">
        <f t="shared" si="9"/>
        <v>18064.156253591704</v>
      </c>
      <c r="S38">
        <f t="shared" si="10"/>
        <v>150271.02830000001</v>
      </c>
    </row>
    <row r="39" spans="1:19" x14ac:dyDescent="0.3">
      <c r="A39" t="s">
        <v>13</v>
      </c>
      <c r="B39" t="s">
        <v>33</v>
      </c>
      <c r="C39" t="s">
        <v>14</v>
      </c>
      <c r="D39">
        <v>27</v>
      </c>
      <c r="E39">
        <v>4</v>
      </c>
      <c r="F39">
        <v>0</v>
      </c>
      <c r="G39">
        <v>20260305</v>
      </c>
      <c r="H39">
        <v>20260404</v>
      </c>
      <c r="I39">
        <v>67209.095499999996</v>
      </c>
      <c r="J39">
        <f t="shared" si="1"/>
        <v>31</v>
      </c>
      <c r="K39">
        <f t="shared" si="2"/>
        <v>2168.0353387096775</v>
      </c>
      <c r="L39">
        <f t="shared" si="3"/>
        <v>94320.50886160649</v>
      </c>
      <c r="M39">
        <f t="shared" si="4"/>
        <v>8672.14135483871</v>
      </c>
      <c r="N39">
        <f t="shared" si="5"/>
        <v>0</v>
      </c>
      <c r="O39">
        <f t="shared" si="6"/>
        <v>102992.6502164452</v>
      </c>
      <c r="P39">
        <f t="shared" si="7"/>
        <v>61549.985114142684</v>
      </c>
      <c r="Q39">
        <f t="shared" si="8"/>
        <v>5659.1103858573115</v>
      </c>
      <c r="R39">
        <f t="shared" si="9"/>
        <v>0</v>
      </c>
      <c r="S39">
        <f t="shared" si="10"/>
        <v>67209.095499999996</v>
      </c>
    </row>
    <row r="40" spans="1:19" x14ac:dyDescent="0.3">
      <c r="A40" t="s">
        <v>13</v>
      </c>
      <c r="B40" t="s">
        <v>33</v>
      </c>
      <c r="C40" t="s">
        <v>14</v>
      </c>
      <c r="D40">
        <v>26</v>
      </c>
      <c r="E40">
        <v>4</v>
      </c>
      <c r="F40">
        <v>0</v>
      </c>
      <c r="G40">
        <v>20260306</v>
      </c>
      <c r="H40">
        <v>20260404</v>
      </c>
      <c r="I40">
        <v>33291.972900000001</v>
      </c>
      <c r="J40">
        <f t="shared" si="1"/>
        <v>30</v>
      </c>
      <c r="K40">
        <f t="shared" si="2"/>
        <v>1109.73243</v>
      </c>
      <c r="L40">
        <f t="shared" si="3"/>
        <v>46490.866405430505</v>
      </c>
      <c r="M40">
        <f t="shared" si="4"/>
        <v>4438.9297200000001</v>
      </c>
      <c r="N40">
        <f t="shared" si="5"/>
        <v>0</v>
      </c>
      <c r="O40">
        <f t="shared" si="6"/>
        <v>50929.796125430505</v>
      </c>
      <c r="P40">
        <f t="shared" si="7"/>
        <v>30390.317303749656</v>
      </c>
      <c r="Q40">
        <f t="shared" si="8"/>
        <v>2901.6555962503453</v>
      </c>
      <c r="R40">
        <f t="shared" si="9"/>
        <v>0</v>
      </c>
      <c r="S40">
        <f t="shared" si="10"/>
        <v>33291.972900000001</v>
      </c>
    </row>
    <row r="41" spans="1:19" x14ac:dyDescent="0.3">
      <c r="A41" t="s">
        <v>13</v>
      </c>
      <c r="B41" t="s">
        <v>33</v>
      </c>
      <c r="C41" t="s">
        <v>14</v>
      </c>
      <c r="D41">
        <v>0</v>
      </c>
      <c r="E41">
        <v>24</v>
      </c>
      <c r="F41">
        <v>7</v>
      </c>
      <c r="G41">
        <v>20260407</v>
      </c>
      <c r="H41">
        <v>20260507</v>
      </c>
      <c r="I41">
        <v>429902.2598</v>
      </c>
      <c r="J41">
        <f t="shared" si="1"/>
        <v>31</v>
      </c>
      <c r="K41">
        <f t="shared" si="2"/>
        <v>13867.814832258064</v>
      </c>
      <c r="L41">
        <f t="shared" si="3"/>
        <v>0</v>
      </c>
      <c r="M41">
        <f t="shared" si="4"/>
        <v>332827.5559741935</v>
      </c>
      <c r="N41">
        <f t="shared" si="5"/>
        <v>72951.195733662244</v>
      </c>
      <c r="O41">
        <f t="shared" si="6"/>
        <v>405778.75170785573</v>
      </c>
      <c r="P41">
        <f t="shared" si="7"/>
        <v>0</v>
      </c>
      <c r="Q41">
        <f t="shared" si="8"/>
        <v>352614.12243692583</v>
      </c>
      <c r="R41">
        <f t="shared" si="9"/>
        <v>77288.137363074158</v>
      </c>
      <c r="S41">
        <f t="shared" si="10"/>
        <v>429902.2598</v>
      </c>
    </row>
    <row r="42" spans="1:19" x14ac:dyDescent="0.3">
      <c r="A42" t="s">
        <v>13</v>
      </c>
      <c r="B42" t="s">
        <v>33</v>
      </c>
      <c r="C42" t="s">
        <v>15</v>
      </c>
      <c r="D42">
        <v>25</v>
      </c>
      <c r="E42">
        <v>8</v>
      </c>
      <c r="F42">
        <v>0</v>
      </c>
      <c r="G42">
        <v>20260307</v>
      </c>
      <c r="H42">
        <v>20260408</v>
      </c>
      <c r="I42">
        <v>40013.896699999998</v>
      </c>
      <c r="J42">
        <f t="shared" si="1"/>
        <v>33</v>
      </c>
      <c r="K42">
        <f t="shared" si="2"/>
        <v>1212.5423242424242</v>
      </c>
      <c r="L42">
        <f t="shared" si="3"/>
        <v>48844.191976221155</v>
      </c>
      <c r="M42">
        <f t="shared" si="4"/>
        <v>9700.3385939393938</v>
      </c>
      <c r="N42">
        <f t="shared" si="5"/>
        <v>0</v>
      </c>
      <c r="O42">
        <f t="shared" si="6"/>
        <v>58544.530570160547</v>
      </c>
      <c r="P42">
        <f t="shared" si="7"/>
        <v>33383.92900408087</v>
      </c>
      <c r="Q42">
        <f t="shared" si="8"/>
        <v>6629.9676959191256</v>
      </c>
      <c r="R42">
        <f t="shared" si="9"/>
        <v>0</v>
      </c>
      <c r="S42">
        <f t="shared" si="10"/>
        <v>40013.896699999998</v>
      </c>
    </row>
    <row r="43" spans="1:19" x14ac:dyDescent="0.3">
      <c r="A43" t="s">
        <v>13</v>
      </c>
      <c r="B43" t="s">
        <v>33</v>
      </c>
      <c r="C43" t="s">
        <v>15</v>
      </c>
      <c r="D43">
        <v>24</v>
      </c>
      <c r="E43">
        <v>5</v>
      </c>
      <c r="F43">
        <v>0</v>
      </c>
      <c r="G43">
        <v>20260308</v>
      </c>
      <c r="H43">
        <v>20260405</v>
      </c>
      <c r="I43">
        <v>23713.464</v>
      </c>
      <c r="J43">
        <f t="shared" si="1"/>
        <v>29</v>
      </c>
      <c r="K43">
        <f t="shared" si="2"/>
        <v>817.7056551724138</v>
      </c>
      <c r="L43">
        <f t="shared" si="3"/>
        <v>31621.630317265452</v>
      </c>
      <c r="M43">
        <f t="shared" si="4"/>
        <v>4088.5282758620688</v>
      </c>
      <c r="N43">
        <f t="shared" si="5"/>
        <v>0</v>
      </c>
      <c r="O43">
        <f t="shared" si="6"/>
        <v>35710.158593127519</v>
      </c>
      <c r="P43">
        <f t="shared" si="7"/>
        <v>20998.461549652551</v>
      </c>
      <c r="Q43">
        <f t="shared" si="8"/>
        <v>2715.0024503474492</v>
      </c>
      <c r="R43">
        <f t="shared" si="9"/>
        <v>0</v>
      </c>
      <c r="S43">
        <f t="shared" si="10"/>
        <v>23713.464</v>
      </c>
    </row>
    <row r="44" spans="1:19" x14ac:dyDescent="0.3">
      <c r="A44" t="s">
        <v>13</v>
      </c>
      <c r="B44" t="s">
        <v>33</v>
      </c>
      <c r="C44" t="s">
        <v>14</v>
      </c>
      <c r="D44">
        <v>0</v>
      </c>
      <c r="E44">
        <v>22</v>
      </c>
      <c r="F44">
        <v>4</v>
      </c>
      <c r="G44">
        <v>20260409</v>
      </c>
      <c r="H44">
        <v>20260504</v>
      </c>
      <c r="I44">
        <v>22287.3884</v>
      </c>
      <c r="J44">
        <f t="shared" si="1"/>
        <v>26</v>
      </c>
      <c r="K44">
        <f t="shared" si="2"/>
        <v>857.2072461538462</v>
      </c>
      <c r="L44">
        <f t="shared" si="3"/>
        <v>0</v>
      </c>
      <c r="M44">
        <f t="shared" si="4"/>
        <v>18858.559415384618</v>
      </c>
      <c r="N44">
        <f t="shared" si="5"/>
        <v>2576.7492924087042</v>
      </c>
      <c r="O44">
        <f t="shared" si="6"/>
        <v>21435.308707793323</v>
      </c>
      <c r="P44">
        <f t="shared" si="7"/>
        <v>0</v>
      </c>
      <c r="Q44">
        <f t="shared" si="8"/>
        <v>19608.21017718027</v>
      </c>
      <c r="R44">
        <f t="shared" si="9"/>
        <v>2679.178222819728</v>
      </c>
      <c r="S44">
        <f t="shared" si="10"/>
        <v>22287.388399999996</v>
      </c>
    </row>
    <row r="45" spans="1:19" x14ac:dyDescent="0.3">
      <c r="A45" t="s">
        <v>13</v>
      </c>
      <c r="B45" t="s">
        <v>24</v>
      </c>
      <c r="C45" t="s">
        <v>15</v>
      </c>
      <c r="D45">
        <v>14</v>
      </c>
      <c r="E45">
        <v>15</v>
      </c>
      <c r="F45">
        <v>0</v>
      </c>
      <c r="G45">
        <v>20260318</v>
      </c>
      <c r="H45">
        <v>20260415</v>
      </c>
      <c r="I45">
        <v>224680.3</v>
      </c>
      <c r="J45">
        <f t="shared" si="1"/>
        <v>29</v>
      </c>
      <c r="K45">
        <f t="shared" si="2"/>
        <v>7747.5965517241375</v>
      </c>
      <c r="L45">
        <f t="shared" si="3"/>
        <v>174771.67437876246</v>
      </c>
      <c r="M45">
        <f t="shared" si="4"/>
        <v>116213.94827586206</v>
      </c>
      <c r="N45">
        <f t="shared" si="5"/>
        <v>0</v>
      </c>
      <c r="O45">
        <f t="shared" si="6"/>
        <v>290985.62265462452</v>
      </c>
      <c r="P45">
        <f t="shared" si="7"/>
        <v>134947.39661942056</v>
      </c>
      <c r="Q45">
        <f t="shared" si="8"/>
        <v>89732.903380579432</v>
      </c>
      <c r="R45">
        <f t="shared" si="9"/>
        <v>0</v>
      </c>
      <c r="S45">
        <f t="shared" si="10"/>
        <v>224680.3</v>
      </c>
    </row>
    <row r="46" spans="1:19" x14ac:dyDescent="0.3">
      <c r="A46" t="s">
        <v>13</v>
      </c>
      <c r="B46" t="s">
        <v>24</v>
      </c>
      <c r="C46" t="s">
        <v>14</v>
      </c>
      <c r="D46">
        <v>23</v>
      </c>
      <c r="E46">
        <v>6</v>
      </c>
      <c r="F46">
        <v>0</v>
      </c>
      <c r="G46">
        <v>20260309</v>
      </c>
      <c r="H46">
        <v>20260406</v>
      </c>
      <c r="I46">
        <v>2237.5421000000001</v>
      </c>
      <c r="J46">
        <f t="shared" si="1"/>
        <v>29</v>
      </c>
      <c r="K46">
        <f t="shared" si="2"/>
        <v>77.156624137931033</v>
      </c>
      <c r="L46">
        <f t="shared" si="3"/>
        <v>2859.4141873489207</v>
      </c>
      <c r="M46">
        <f t="shared" si="4"/>
        <v>462.9397448275862</v>
      </c>
      <c r="N46">
        <f t="shared" si="5"/>
        <v>0</v>
      </c>
      <c r="O46">
        <f t="shared" si="6"/>
        <v>3322.353932176507</v>
      </c>
      <c r="P46">
        <f t="shared" si="7"/>
        <v>1925.7609984192941</v>
      </c>
      <c r="Q46">
        <f t="shared" si="8"/>
        <v>311.78110158070598</v>
      </c>
      <c r="R46">
        <f t="shared" si="9"/>
        <v>0</v>
      </c>
      <c r="S46">
        <f t="shared" si="10"/>
        <v>2237.5421000000001</v>
      </c>
    </row>
    <row r="47" spans="1:19" x14ac:dyDescent="0.3">
      <c r="A47" t="s">
        <v>13</v>
      </c>
      <c r="B47" t="s">
        <v>24</v>
      </c>
      <c r="C47" t="s">
        <v>14</v>
      </c>
      <c r="D47">
        <v>15</v>
      </c>
      <c r="E47">
        <v>17</v>
      </c>
      <c r="F47">
        <v>0</v>
      </c>
      <c r="G47">
        <v>20260317</v>
      </c>
      <c r="H47">
        <v>20260417</v>
      </c>
      <c r="I47">
        <v>508421.75459999999</v>
      </c>
      <c r="J47">
        <f t="shared" si="1"/>
        <v>32</v>
      </c>
      <c r="K47">
        <f t="shared" si="2"/>
        <v>15888.17983125</v>
      </c>
      <c r="L47">
        <f t="shared" si="3"/>
        <v>384009.01493405266</v>
      </c>
      <c r="M47">
        <f t="shared" si="4"/>
        <v>270099.05713124998</v>
      </c>
      <c r="N47">
        <f t="shared" si="5"/>
        <v>0</v>
      </c>
      <c r="O47">
        <f t="shared" si="6"/>
        <v>654108.07206530264</v>
      </c>
      <c r="P47">
        <f t="shared" si="7"/>
        <v>298480.55006955651</v>
      </c>
      <c r="Q47">
        <f t="shared" si="8"/>
        <v>209941.20453044344</v>
      </c>
      <c r="R47">
        <f t="shared" si="9"/>
        <v>0</v>
      </c>
      <c r="S47">
        <f t="shared" si="10"/>
        <v>508421.75459999999</v>
      </c>
    </row>
    <row r="48" spans="1:19" x14ac:dyDescent="0.3">
      <c r="A48" t="s">
        <v>13</v>
      </c>
      <c r="B48" t="s">
        <v>24</v>
      </c>
      <c r="C48" t="s">
        <v>14</v>
      </c>
      <c r="D48">
        <v>31</v>
      </c>
      <c r="E48">
        <v>3</v>
      </c>
      <c r="F48">
        <v>0</v>
      </c>
      <c r="G48">
        <v>20260216</v>
      </c>
      <c r="H48">
        <v>20260403</v>
      </c>
      <c r="I48">
        <v>23632.614099999999</v>
      </c>
      <c r="J48">
        <f t="shared" si="1"/>
        <v>34</v>
      </c>
      <c r="K48">
        <f t="shared" si="2"/>
        <v>695.07688529411757</v>
      </c>
      <c r="L48">
        <f t="shared" si="3"/>
        <v>34719.267525355652</v>
      </c>
      <c r="M48">
        <f t="shared" si="4"/>
        <v>2085.2306558823529</v>
      </c>
      <c r="N48">
        <f t="shared" si="5"/>
        <v>0</v>
      </c>
      <c r="O48">
        <f t="shared" si="6"/>
        <v>36804.498181238007</v>
      </c>
      <c r="P48">
        <f t="shared" si="7"/>
        <v>22293.662237179087</v>
      </c>
      <c r="Q48">
        <f t="shared" si="8"/>
        <v>1338.9518628209132</v>
      </c>
      <c r="R48">
        <f t="shared" si="9"/>
        <v>0</v>
      </c>
      <c r="S48">
        <f t="shared" si="10"/>
        <v>23632.614099999999</v>
      </c>
    </row>
    <row r="49" spans="1:19" x14ac:dyDescent="0.3">
      <c r="A49" t="s">
        <v>13</v>
      </c>
      <c r="B49" t="s">
        <v>33</v>
      </c>
      <c r="C49" t="s">
        <v>14</v>
      </c>
      <c r="D49">
        <v>0</v>
      </c>
      <c r="E49">
        <v>23</v>
      </c>
      <c r="F49">
        <v>5</v>
      </c>
      <c r="G49">
        <v>20260408</v>
      </c>
      <c r="H49">
        <v>20260505</v>
      </c>
      <c r="I49">
        <v>61157.957699999999</v>
      </c>
      <c r="J49">
        <f t="shared" si="1"/>
        <v>28</v>
      </c>
      <c r="K49">
        <f t="shared" si="2"/>
        <v>2184.212775</v>
      </c>
      <c r="L49">
        <f t="shared" si="3"/>
        <v>0</v>
      </c>
      <c r="M49">
        <f t="shared" si="4"/>
        <v>50236.893824999999</v>
      </c>
      <c r="N49">
        <f t="shared" si="5"/>
        <v>8207.1295297957531</v>
      </c>
      <c r="O49">
        <f t="shared" si="6"/>
        <v>58444.023354795754</v>
      </c>
      <c r="P49">
        <f t="shared" si="7"/>
        <v>0</v>
      </c>
      <c r="Q49">
        <f t="shared" si="8"/>
        <v>52569.718016797517</v>
      </c>
      <c r="R49">
        <f t="shared" si="9"/>
        <v>8588.2396832024824</v>
      </c>
      <c r="S49">
        <f t="shared" si="10"/>
        <v>61157.957699999999</v>
      </c>
    </row>
    <row r="50" spans="1:19" x14ac:dyDescent="0.3">
      <c r="A50" t="s">
        <v>13</v>
      </c>
      <c r="B50" t="s">
        <v>33</v>
      </c>
      <c r="C50" t="s">
        <v>14</v>
      </c>
      <c r="D50">
        <v>0</v>
      </c>
      <c r="E50">
        <v>26</v>
      </c>
      <c r="F50">
        <v>5</v>
      </c>
      <c r="G50">
        <v>20260405</v>
      </c>
      <c r="H50">
        <v>20260505</v>
      </c>
      <c r="I50">
        <v>132753.93419999999</v>
      </c>
      <c r="J50">
        <f t="shared" si="1"/>
        <v>31</v>
      </c>
      <c r="K50">
        <f t="shared" si="2"/>
        <v>4282.3849741935483</v>
      </c>
      <c r="L50">
        <f t="shared" si="3"/>
        <v>0</v>
      </c>
      <c r="M50">
        <f t="shared" si="4"/>
        <v>111342.00932903225</v>
      </c>
      <c r="N50">
        <f t="shared" si="5"/>
        <v>16090.963564507809</v>
      </c>
      <c r="O50">
        <f t="shared" si="6"/>
        <v>127432.97289354006</v>
      </c>
      <c r="P50">
        <f t="shared" si="7"/>
        <v>0</v>
      </c>
      <c r="Q50">
        <f t="shared" si="8"/>
        <v>115991.09276459034</v>
      </c>
      <c r="R50">
        <f t="shared" si="9"/>
        <v>16762.841435409639</v>
      </c>
      <c r="S50">
        <f t="shared" si="10"/>
        <v>132753.93419999999</v>
      </c>
    </row>
    <row r="51" spans="1:19" x14ac:dyDescent="0.3">
      <c r="A51" t="s">
        <v>13</v>
      </c>
      <c r="B51" t="s">
        <v>33</v>
      </c>
      <c r="C51" t="s">
        <v>15</v>
      </c>
      <c r="D51">
        <v>0</v>
      </c>
      <c r="E51">
        <v>26</v>
      </c>
      <c r="F51">
        <v>1</v>
      </c>
      <c r="G51">
        <v>20260405</v>
      </c>
      <c r="H51">
        <v>20260501</v>
      </c>
      <c r="I51">
        <v>708775.94559999998</v>
      </c>
      <c r="J51">
        <f t="shared" si="1"/>
        <v>27</v>
      </c>
      <c r="K51">
        <f t="shared" si="2"/>
        <v>26250.960948148146</v>
      </c>
      <c r="L51">
        <f t="shared" si="3"/>
        <v>0</v>
      </c>
      <c r="M51">
        <f t="shared" si="4"/>
        <v>682524.98465185182</v>
      </c>
      <c r="N51">
        <f t="shared" si="5"/>
        <v>19727.477034197069</v>
      </c>
      <c r="O51">
        <f t="shared" si="6"/>
        <v>702252.46168604889</v>
      </c>
      <c r="P51">
        <f t="shared" si="7"/>
        <v>0</v>
      </c>
      <c r="Q51">
        <f t="shared" si="8"/>
        <v>688865.21270538704</v>
      </c>
      <c r="R51">
        <f t="shared" si="9"/>
        <v>19910.732894612916</v>
      </c>
      <c r="S51">
        <f t="shared" si="10"/>
        <v>708775.94559999998</v>
      </c>
    </row>
    <row r="52" spans="1:19" x14ac:dyDescent="0.3">
      <c r="A52" t="s">
        <v>13</v>
      </c>
      <c r="B52" t="s">
        <v>24</v>
      </c>
      <c r="C52" t="s">
        <v>15</v>
      </c>
      <c r="D52">
        <v>28</v>
      </c>
      <c r="E52">
        <v>5</v>
      </c>
      <c r="F52">
        <v>0</v>
      </c>
      <c r="G52">
        <v>20260304</v>
      </c>
      <c r="H52">
        <v>20260405</v>
      </c>
      <c r="I52">
        <v>375467.47389999998</v>
      </c>
      <c r="J52">
        <f t="shared" si="1"/>
        <v>33</v>
      </c>
      <c r="K52">
        <f t="shared" si="2"/>
        <v>11377.802239393939</v>
      </c>
      <c r="L52">
        <f t="shared" si="3"/>
        <v>513325.0124354476</v>
      </c>
      <c r="M52">
        <f t="shared" si="4"/>
        <v>56889.011196969695</v>
      </c>
      <c r="N52">
        <f t="shared" si="5"/>
        <v>0</v>
      </c>
      <c r="O52">
        <f t="shared" si="6"/>
        <v>570214.02363241732</v>
      </c>
      <c r="P52">
        <f t="shared" si="7"/>
        <v>338007.90180683008</v>
      </c>
      <c r="Q52">
        <f t="shared" si="8"/>
        <v>37459.572093169903</v>
      </c>
      <c r="R52">
        <f t="shared" si="9"/>
        <v>0</v>
      </c>
      <c r="S52">
        <f t="shared" si="10"/>
        <v>375467.47389999998</v>
      </c>
    </row>
    <row r="53" spans="1:19" x14ac:dyDescent="0.3">
      <c r="A53" t="s">
        <v>13</v>
      </c>
      <c r="B53" t="s">
        <v>24</v>
      </c>
      <c r="C53" t="s">
        <v>15</v>
      </c>
      <c r="D53">
        <v>29</v>
      </c>
      <c r="E53">
        <v>6</v>
      </c>
      <c r="F53">
        <v>0</v>
      </c>
      <c r="G53">
        <v>20260303</v>
      </c>
      <c r="H53">
        <v>20260406</v>
      </c>
      <c r="I53">
        <v>245426.74179999999</v>
      </c>
      <c r="J53">
        <f t="shared" si="1"/>
        <v>35</v>
      </c>
      <c r="K53">
        <f t="shared" si="2"/>
        <v>7012.1926228571429</v>
      </c>
      <c r="L53">
        <f t="shared" si="3"/>
        <v>327663.33671405492</v>
      </c>
      <c r="M53">
        <f t="shared" si="4"/>
        <v>42073.155737142857</v>
      </c>
      <c r="N53">
        <f t="shared" si="5"/>
        <v>0</v>
      </c>
      <c r="O53">
        <f t="shared" si="6"/>
        <v>369736.49245119776</v>
      </c>
      <c r="P53">
        <f t="shared" si="7"/>
        <v>217499.07509511319</v>
      </c>
      <c r="Q53">
        <f t="shared" si="8"/>
        <v>27927.666704886808</v>
      </c>
      <c r="R53">
        <f t="shared" si="9"/>
        <v>0</v>
      </c>
      <c r="S53">
        <f t="shared" si="10"/>
        <v>245426.74179999999</v>
      </c>
    </row>
    <row r="54" spans="1:19" x14ac:dyDescent="0.3">
      <c r="A54" t="s">
        <v>13</v>
      </c>
      <c r="B54" t="s">
        <v>33</v>
      </c>
      <c r="C54" t="s">
        <v>15</v>
      </c>
      <c r="D54">
        <v>0</v>
      </c>
      <c r="E54">
        <v>23</v>
      </c>
      <c r="F54">
        <v>4</v>
      </c>
      <c r="G54">
        <v>20260408</v>
      </c>
      <c r="H54">
        <v>20260504</v>
      </c>
      <c r="I54">
        <v>1036972.1360000001</v>
      </c>
      <c r="J54">
        <f t="shared" si="1"/>
        <v>27</v>
      </c>
      <c r="K54">
        <f t="shared" si="2"/>
        <v>38406.37540740741</v>
      </c>
      <c r="L54">
        <f t="shared" si="3"/>
        <v>0</v>
      </c>
      <c r="M54">
        <f t="shared" si="4"/>
        <v>883346.63437037042</v>
      </c>
      <c r="N54">
        <f t="shared" si="5"/>
        <v>115448.86151984154</v>
      </c>
      <c r="O54">
        <f t="shared" si="6"/>
        <v>998795.49589021201</v>
      </c>
      <c r="P54">
        <f t="shared" si="7"/>
        <v>0</v>
      </c>
      <c r="Q54">
        <f t="shared" si="8"/>
        <v>917110.5096494566</v>
      </c>
      <c r="R54">
        <f t="shared" si="9"/>
        <v>119861.62635054339</v>
      </c>
      <c r="S54">
        <f t="shared" si="10"/>
        <v>1036972.1359999999</v>
      </c>
    </row>
    <row r="55" spans="1:19" x14ac:dyDescent="0.3">
      <c r="A55" t="s">
        <v>13</v>
      </c>
      <c r="B55" t="s">
        <v>33</v>
      </c>
      <c r="C55" t="s">
        <v>15</v>
      </c>
      <c r="D55">
        <v>0</v>
      </c>
      <c r="E55">
        <v>15</v>
      </c>
      <c r="F55">
        <v>19</v>
      </c>
      <c r="G55">
        <v>20260416</v>
      </c>
      <c r="H55">
        <v>20260519</v>
      </c>
      <c r="I55">
        <v>4431.1135000000004</v>
      </c>
      <c r="J55">
        <f t="shared" si="1"/>
        <v>34</v>
      </c>
      <c r="K55">
        <f t="shared" si="2"/>
        <v>130.32686764705883</v>
      </c>
      <c r="L55">
        <f t="shared" si="3"/>
        <v>0</v>
      </c>
      <c r="M55">
        <f t="shared" si="4"/>
        <v>1954.9030147058825</v>
      </c>
      <c r="N55">
        <f t="shared" si="5"/>
        <v>1860.8608491310767</v>
      </c>
      <c r="O55">
        <f t="shared" si="6"/>
        <v>3815.763863836959</v>
      </c>
      <c r="P55">
        <f t="shared" si="7"/>
        <v>0</v>
      </c>
      <c r="Q55">
        <f t="shared" si="8"/>
        <v>2270.16069357694</v>
      </c>
      <c r="R55">
        <f t="shared" si="9"/>
        <v>2160.9528064230608</v>
      </c>
      <c r="S55">
        <f t="shared" si="10"/>
        <v>4431.1135000000013</v>
      </c>
    </row>
    <row r="56" spans="1:19" x14ac:dyDescent="0.3">
      <c r="A56" t="s">
        <v>13</v>
      </c>
      <c r="B56" t="s">
        <v>24</v>
      </c>
      <c r="C56" t="s">
        <v>15</v>
      </c>
      <c r="D56">
        <v>13</v>
      </c>
      <c r="E56">
        <v>2</v>
      </c>
      <c r="F56">
        <v>0</v>
      </c>
      <c r="G56">
        <v>20260319</v>
      </c>
      <c r="H56">
        <v>20260402</v>
      </c>
      <c r="I56">
        <v>986.95029999999997</v>
      </c>
      <c r="J56">
        <f t="shared" si="1"/>
        <v>15</v>
      </c>
      <c r="K56">
        <f t="shared" si="2"/>
        <v>65.796686666666659</v>
      </c>
      <c r="L56">
        <f t="shared" si="3"/>
        <v>1378.2353687455859</v>
      </c>
      <c r="M56">
        <f t="shared" si="4"/>
        <v>131.59337333333332</v>
      </c>
      <c r="N56">
        <f t="shared" si="5"/>
        <v>0</v>
      </c>
      <c r="O56">
        <f t="shared" si="6"/>
        <v>1509.8287420789193</v>
      </c>
      <c r="P56">
        <f t="shared" si="7"/>
        <v>900.92986889433962</v>
      </c>
      <c r="Q56">
        <f t="shared" si="8"/>
        <v>86.020431105660222</v>
      </c>
      <c r="R56">
        <f t="shared" si="9"/>
        <v>0</v>
      </c>
      <c r="S56">
        <f t="shared" si="10"/>
        <v>986.95029999999986</v>
      </c>
    </row>
    <row r="57" spans="1:19" x14ac:dyDescent="0.3">
      <c r="A57" t="s">
        <v>13</v>
      </c>
      <c r="B57" t="s">
        <v>33</v>
      </c>
      <c r="C57" t="s">
        <v>15</v>
      </c>
      <c r="D57">
        <v>23</v>
      </c>
      <c r="E57">
        <v>8</v>
      </c>
      <c r="F57">
        <v>0</v>
      </c>
      <c r="G57">
        <v>20260309</v>
      </c>
      <c r="H57">
        <v>20260408</v>
      </c>
      <c r="I57">
        <v>33925.618199999997</v>
      </c>
      <c r="J57">
        <f t="shared" si="1"/>
        <v>31</v>
      </c>
      <c r="K57">
        <f t="shared" si="2"/>
        <v>1094.3747806451613</v>
      </c>
      <c r="L57">
        <f t="shared" si="3"/>
        <v>40557.383232054264</v>
      </c>
      <c r="M57">
        <f t="shared" si="4"/>
        <v>8754.9982451612905</v>
      </c>
      <c r="N57">
        <f t="shared" si="5"/>
        <v>0</v>
      </c>
      <c r="O57">
        <f t="shared" si="6"/>
        <v>49312.381477215553</v>
      </c>
      <c r="P57">
        <f t="shared" si="7"/>
        <v>27902.410256894524</v>
      </c>
      <c r="Q57">
        <f t="shared" si="8"/>
        <v>6023.2079431054726</v>
      </c>
      <c r="R57">
        <f t="shared" si="9"/>
        <v>0</v>
      </c>
      <c r="S57">
        <f t="shared" si="10"/>
        <v>33925.618199999997</v>
      </c>
    </row>
    <row r="58" spans="1:19" x14ac:dyDescent="0.3">
      <c r="A58" t="s">
        <v>13</v>
      </c>
      <c r="B58" t="s">
        <v>24</v>
      </c>
      <c r="C58" t="s">
        <v>15</v>
      </c>
      <c r="D58">
        <v>23</v>
      </c>
      <c r="E58">
        <v>8</v>
      </c>
      <c r="F58">
        <v>0</v>
      </c>
      <c r="G58">
        <v>20260309</v>
      </c>
      <c r="H58">
        <v>20260408</v>
      </c>
      <c r="I58">
        <v>97536.151700000002</v>
      </c>
      <c r="J58">
        <f t="shared" si="1"/>
        <v>31</v>
      </c>
      <c r="K58">
        <f t="shared" si="2"/>
        <v>3146.3274741935484</v>
      </c>
      <c r="L58">
        <f t="shared" si="3"/>
        <v>116602.47604498127</v>
      </c>
      <c r="M58">
        <f t="shared" si="4"/>
        <v>25170.619793548387</v>
      </c>
      <c r="N58">
        <f t="shared" si="5"/>
        <v>0</v>
      </c>
      <c r="O58">
        <f t="shared" si="6"/>
        <v>141773.09583852967</v>
      </c>
      <c r="P58">
        <f t="shared" si="7"/>
        <v>80219.428974535258</v>
      </c>
      <c r="Q58">
        <f t="shared" si="8"/>
        <v>17316.722725464748</v>
      </c>
      <c r="R58">
        <f t="shared" si="9"/>
        <v>0</v>
      </c>
      <c r="S58">
        <f t="shared" si="10"/>
        <v>97536.151700000002</v>
      </c>
    </row>
    <row r="59" spans="1:19" x14ac:dyDescent="0.3">
      <c r="A59" t="s">
        <v>13</v>
      </c>
      <c r="B59" t="s">
        <v>33</v>
      </c>
      <c r="C59" t="s">
        <v>14</v>
      </c>
      <c r="D59">
        <v>24</v>
      </c>
      <c r="E59">
        <v>7</v>
      </c>
      <c r="F59">
        <v>0</v>
      </c>
      <c r="G59">
        <v>20260308</v>
      </c>
      <c r="H59">
        <v>20260407</v>
      </c>
      <c r="I59">
        <v>2168.4014000000002</v>
      </c>
      <c r="J59">
        <f t="shared" si="1"/>
        <v>31</v>
      </c>
      <c r="K59">
        <f t="shared" si="2"/>
        <v>69.948432258064528</v>
      </c>
      <c r="L59">
        <f t="shared" si="3"/>
        <v>2704.9873657415569</v>
      </c>
      <c r="M59">
        <f t="shared" si="4"/>
        <v>489.63902580645168</v>
      </c>
      <c r="N59">
        <f t="shared" si="5"/>
        <v>0</v>
      </c>
      <c r="O59">
        <f t="shared" si="6"/>
        <v>3194.6263915480085</v>
      </c>
      <c r="P59">
        <f t="shared" si="7"/>
        <v>1836.05144137499</v>
      </c>
      <c r="Q59">
        <f t="shared" si="8"/>
        <v>332.34995862501017</v>
      </c>
      <c r="R59">
        <f t="shared" si="9"/>
        <v>0</v>
      </c>
      <c r="S59">
        <f t="shared" si="10"/>
        <v>2168.4014000000002</v>
      </c>
    </row>
    <row r="60" spans="1:19" x14ac:dyDescent="0.3">
      <c r="A60" t="s">
        <v>13</v>
      </c>
      <c r="B60" t="s">
        <v>24</v>
      </c>
      <c r="C60" t="s">
        <v>14</v>
      </c>
      <c r="D60">
        <v>26</v>
      </c>
      <c r="E60">
        <v>5</v>
      </c>
      <c r="F60">
        <v>0</v>
      </c>
      <c r="G60">
        <v>20260306</v>
      </c>
      <c r="H60">
        <v>20260405</v>
      </c>
      <c r="I60">
        <v>59072.117200000001</v>
      </c>
      <c r="J60">
        <f t="shared" si="1"/>
        <v>31</v>
      </c>
      <c r="K60">
        <f t="shared" si="2"/>
        <v>1905.5521677419356</v>
      </c>
      <c r="L60">
        <f t="shared" si="3"/>
        <v>79830.749164525027</v>
      </c>
      <c r="M60">
        <f t="shared" si="4"/>
        <v>9527.760838709677</v>
      </c>
      <c r="N60">
        <f t="shared" si="5"/>
        <v>0</v>
      </c>
      <c r="O60">
        <f t="shared" si="6"/>
        <v>89358.510003234696</v>
      </c>
      <c r="P60">
        <f t="shared" si="7"/>
        <v>52773.612391700779</v>
      </c>
      <c r="Q60">
        <f t="shared" si="8"/>
        <v>6298.504808299228</v>
      </c>
      <c r="R60">
        <f t="shared" si="9"/>
        <v>0</v>
      </c>
      <c r="S60">
        <f t="shared" si="10"/>
        <v>59072.117200000008</v>
      </c>
    </row>
    <row r="61" spans="1:19" x14ac:dyDescent="0.3">
      <c r="A61" t="s">
        <v>13</v>
      </c>
      <c r="B61" t="s">
        <v>33</v>
      </c>
      <c r="C61" t="s">
        <v>14</v>
      </c>
      <c r="D61">
        <v>25</v>
      </c>
      <c r="E61">
        <v>5</v>
      </c>
      <c r="F61">
        <v>0</v>
      </c>
      <c r="G61">
        <v>20260307</v>
      </c>
      <c r="H61">
        <v>20260405</v>
      </c>
      <c r="I61">
        <v>1608.0721000000001</v>
      </c>
      <c r="J61">
        <f t="shared" si="1"/>
        <v>30</v>
      </c>
      <c r="K61">
        <f t="shared" si="2"/>
        <v>53.602403333333335</v>
      </c>
      <c r="L61">
        <f t="shared" si="3"/>
        <v>2159.2368583389084</v>
      </c>
      <c r="M61">
        <f t="shared" si="4"/>
        <v>268.01201666666668</v>
      </c>
      <c r="N61">
        <f t="shared" si="5"/>
        <v>0</v>
      </c>
      <c r="O61">
        <f t="shared" si="6"/>
        <v>2427.248875005575</v>
      </c>
      <c r="P61">
        <f t="shared" si="7"/>
        <v>1430.5119614808661</v>
      </c>
      <c r="Q61">
        <f t="shared" si="8"/>
        <v>177.56013851913386</v>
      </c>
      <c r="R61">
        <f t="shared" si="9"/>
        <v>0</v>
      </c>
      <c r="S61">
        <f t="shared" si="10"/>
        <v>1608.0721000000001</v>
      </c>
    </row>
    <row r="62" spans="1:19" x14ac:dyDescent="0.3">
      <c r="A62" t="s">
        <v>13</v>
      </c>
      <c r="B62" t="s">
        <v>24</v>
      </c>
      <c r="C62" t="s">
        <v>14</v>
      </c>
      <c r="D62">
        <v>25</v>
      </c>
      <c r="E62">
        <v>5</v>
      </c>
      <c r="F62">
        <v>0</v>
      </c>
      <c r="G62">
        <v>20260307</v>
      </c>
      <c r="H62">
        <v>20260405</v>
      </c>
      <c r="I62">
        <v>8040.3608999999997</v>
      </c>
      <c r="J62">
        <f t="shared" si="1"/>
        <v>30</v>
      </c>
      <c r="K62">
        <f t="shared" si="2"/>
        <v>268.01202999999998</v>
      </c>
      <c r="L62">
        <f t="shared" si="3"/>
        <v>10796.184828794056</v>
      </c>
      <c r="M62">
        <f t="shared" si="4"/>
        <v>1340.0601499999998</v>
      </c>
      <c r="N62">
        <f t="shared" si="5"/>
        <v>0</v>
      </c>
      <c r="O62">
        <f t="shared" si="6"/>
        <v>12136.244978794055</v>
      </c>
      <c r="P62">
        <f t="shared" si="7"/>
        <v>7152.5601632371227</v>
      </c>
      <c r="Q62">
        <f t="shared" si="8"/>
        <v>887.80073676287736</v>
      </c>
      <c r="R62">
        <f t="shared" si="9"/>
        <v>0</v>
      </c>
      <c r="S62">
        <f t="shared" si="10"/>
        <v>8040.3608999999997</v>
      </c>
    </row>
    <row r="63" spans="1:19" x14ac:dyDescent="0.3">
      <c r="A63" t="s">
        <v>13</v>
      </c>
      <c r="B63" t="s">
        <v>33</v>
      </c>
      <c r="C63" t="s">
        <v>14</v>
      </c>
      <c r="D63">
        <v>0</v>
      </c>
      <c r="E63">
        <v>26</v>
      </c>
      <c r="F63">
        <v>6</v>
      </c>
      <c r="G63">
        <v>20260405</v>
      </c>
      <c r="H63">
        <v>20260506</v>
      </c>
      <c r="I63">
        <v>54922.648000000001</v>
      </c>
      <c r="J63">
        <f t="shared" si="1"/>
        <v>32</v>
      </c>
      <c r="K63">
        <f t="shared" si="2"/>
        <v>1716.33275</v>
      </c>
      <c r="L63">
        <f t="shared" si="3"/>
        <v>0</v>
      </c>
      <c r="M63">
        <f t="shared" si="4"/>
        <v>44624.6515</v>
      </c>
      <c r="N63">
        <f t="shared" si="5"/>
        <v>7738.897248495703</v>
      </c>
      <c r="O63">
        <f t="shared" si="6"/>
        <v>52363.548748495705</v>
      </c>
      <c r="P63">
        <f t="shared" si="7"/>
        <v>0</v>
      </c>
      <c r="Q63">
        <f t="shared" si="8"/>
        <v>46805.537153888588</v>
      </c>
      <c r="R63">
        <f t="shared" si="9"/>
        <v>8117.11084611141</v>
      </c>
      <c r="S63">
        <f t="shared" si="10"/>
        <v>54922.648000000001</v>
      </c>
    </row>
    <row r="64" spans="1:19" x14ac:dyDescent="0.3">
      <c r="A64" t="s">
        <v>13</v>
      </c>
      <c r="B64" t="s">
        <v>33</v>
      </c>
      <c r="C64" t="s">
        <v>15</v>
      </c>
      <c r="D64">
        <v>0</v>
      </c>
      <c r="E64">
        <v>20</v>
      </c>
      <c r="F64">
        <v>0</v>
      </c>
      <c r="G64">
        <v>20260402</v>
      </c>
      <c r="H64">
        <v>20260421</v>
      </c>
      <c r="I64">
        <v>46494.383000000002</v>
      </c>
      <c r="J64">
        <f t="shared" si="1"/>
        <v>20</v>
      </c>
      <c r="K64">
        <f t="shared" si="2"/>
        <v>2324.7191499999999</v>
      </c>
      <c r="L64">
        <f t="shared" si="3"/>
        <v>0</v>
      </c>
      <c r="M64">
        <f t="shared" si="4"/>
        <v>46494.383000000002</v>
      </c>
      <c r="N64">
        <f t="shared" si="5"/>
        <v>0</v>
      </c>
      <c r="O64">
        <f t="shared" si="6"/>
        <v>46494.383000000002</v>
      </c>
      <c r="P64">
        <f t="shared" si="7"/>
        <v>0</v>
      </c>
      <c r="Q64">
        <f t="shared" si="8"/>
        <v>46494.383000000002</v>
      </c>
      <c r="R64">
        <f t="shared" si="9"/>
        <v>0</v>
      </c>
      <c r="S64">
        <f t="shared" si="10"/>
        <v>46494.383000000002</v>
      </c>
    </row>
    <row r="65" spans="1:19" x14ac:dyDescent="0.3">
      <c r="A65" t="s">
        <v>13</v>
      </c>
      <c r="B65" t="s">
        <v>33</v>
      </c>
      <c r="C65" t="s">
        <v>14</v>
      </c>
      <c r="D65">
        <v>24</v>
      </c>
      <c r="E65">
        <v>1</v>
      </c>
      <c r="F65">
        <v>0</v>
      </c>
      <c r="G65">
        <v>20260308</v>
      </c>
      <c r="H65">
        <v>20260401</v>
      </c>
      <c r="I65">
        <v>55.622</v>
      </c>
      <c r="J65">
        <f t="shared" si="1"/>
        <v>25</v>
      </c>
      <c r="K65">
        <f t="shared" si="2"/>
        <v>2.2248800000000002</v>
      </c>
      <c r="L65">
        <f t="shared" si="3"/>
        <v>86.038701597879125</v>
      </c>
      <c r="M65">
        <f t="shared" si="4"/>
        <v>2.2248800000000002</v>
      </c>
      <c r="N65">
        <f t="shared" si="5"/>
        <v>0</v>
      </c>
      <c r="O65">
        <f t="shared" si="6"/>
        <v>88.263581597879124</v>
      </c>
      <c r="P65">
        <f t="shared" si="7"/>
        <v>54.219923706248359</v>
      </c>
      <c r="Q65">
        <f t="shared" si="8"/>
        <v>1.4020762937516422</v>
      </c>
      <c r="R65">
        <f t="shared" si="9"/>
        <v>0</v>
      </c>
      <c r="S65">
        <f t="shared" si="10"/>
        <v>55.622</v>
      </c>
    </row>
    <row r="66" spans="1:19" x14ac:dyDescent="0.3">
      <c r="A66" t="s">
        <v>13</v>
      </c>
      <c r="B66" t="s">
        <v>33</v>
      </c>
      <c r="C66" t="s">
        <v>14</v>
      </c>
      <c r="D66">
        <v>13</v>
      </c>
      <c r="E66">
        <v>15</v>
      </c>
      <c r="F66">
        <v>0</v>
      </c>
      <c r="G66">
        <v>20260319</v>
      </c>
      <c r="H66">
        <v>20260415</v>
      </c>
      <c r="I66">
        <v>4944.9463999999998</v>
      </c>
      <c r="J66">
        <f t="shared" si="1"/>
        <v>28</v>
      </c>
      <c r="K66">
        <f t="shared" si="2"/>
        <v>176.60522857142857</v>
      </c>
      <c r="L66">
        <f t="shared" si="3"/>
        <v>3699.3287147672181</v>
      </c>
      <c r="M66">
        <f t="shared" si="4"/>
        <v>2649.0784285714285</v>
      </c>
      <c r="N66">
        <f t="shared" si="5"/>
        <v>0</v>
      </c>
      <c r="O66">
        <f t="shared" si="6"/>
        <v>6348.4071433386471</v>
      </c>
      <c r="P66">
        <f t="shared" si="7"/>
        <v>2881.5074076809201</v>
      </c>
      <c r="Q66">
        <f t="shared" si="8"/>
        <v>2063.4389923190793</v>
      </c>
      <c r="R66">
        <f t="shared" si="9"/>
        <v>0</v>
      </c>
      <c r="S66">
        <f t="shared" si="10"/>
        <v>4944.9463999999989</v>
      </c>
    </row>
    <row r="67" spans="1:19" x14ac:dyDescent="0.3">
      <c r="A67" t="s">
        <v>13</v>
      </c>
      <c r="B67" t="s">
        <v>33</v>
      </c>
      <c r="C67" t="s">
        <v>15</v>
      </c>
      <c r="D67">
        <v>24</v>
      </c>
      <c r="E67">
        <v>8</v>
      </c>
      <c r="F67">
        <v>0</v>
      </c>
      <c r="G67">
        <v>20260308</v>
      </c>
      <c r="H67">
        <v>20260408</v>
      </c>
      <c r="I67">
        <v>49405.657599999999</v>
      </c>
      <c r="J67">
        <f t="shared" si="1"/>
        <v>32</v>
      </c>
      <c r="K67">
        <f t="shared" si="2"/>
        <v>1543.9268</v>
      </c>
      <c r="L67">
        <f t="shared" si="3"/>
        <v>59705.448039520503</v>
      </c>
      <c r="M67">
        <f t="shared" si="4"/>
        <v>12351.4144</v>
      </c>
      <c r="N67">
        <f t="shared" si="5"/>
        <v>0</v>
      </c>
      <c r="O67">
        <f t="shared" si="6"/>
        <v>72056.862439520497</v>
      </c>
      <c r="P67">
        <f t="shared" si="7"/>
        <v>40936.932622773944</v>
      </c>
      <c r="Q67">
        <f t="shared" si="8"/>
        <v>8468.7249772260584</v>
      </c>
      <c r="R67">
        <f t="shared" si="9"/>
        <v>0</v>
      </c>
      <c r="S67">
        <f t="shared" si="10"/>
        <v>49405.657600000006</v>
      </c>
    </row>
    <row r="68" spans="1:19" x14ac:dyDescent="0.3">
      <c r="A68" t="s">
        <v>13</v>
      </c>
      <c r="B68" t="s">
        <v>33</v>
      </c>
      <c r="C68" t="s">
        <v>15</v>
      </c>
      <c r="D68">
        <v>0</v>
      </c>
      <c r="E68">
        <v>29</v>
      </c>
      <c r="F68">
        <v>9</v>
      </c>
      <c r="G68">
        <v>20260402</v>
      </c>
      <c r="H68">
        <v>20260509</v>
      </c>
      <c r="I68">
        <v>134202.0839</v>
      </c>
      <c r="J68">
        <f t="shared" si="1"/>
        <v>38</v>
      </c>
      <c r="K68">
        <f t="shared" si="2"/>
        <v>3531.6337868421051</v>
      </c>
      <c r="L68">
        <f t="shared" si="3"/>
        <v>0</v>
      </c>
      <c r="M68">
        <f t="shared" si="4"/>
        <v>102417.37981842105</v>
      </c>
      <c r="N68">
        <f t="shared" si="5"/>
        <v>23886.059677839414</v>
      </c>
      <c r="O68">
        <f t="shared" si="6"/>
        <v>126303.43949626046</v>
      </c>
      <c r="P68">
        <f t="shared" si="7"/>
        <v>0</v>
      </c>
      <c r="Q68">
        <f t="shared" si="8"/>
        <v>108822.26053405975</v>
      </c>
      <c r="R68">
        <f t="shared" si="9"/>
        <v>25379.82336594025</v>
      </c>
      <c r="S68">
        <f t="shared" si="10"/>
        <v>134202.0839</v>
      </c>
    </row>
    <row r="69" spans="1:19" x14ac:dyDescent="0.3">
      <c r="A69" t="s">
        <v>13</v>
      </c>
      <c r="B69" t="s">
        <v>33</v>
      </c>
      <c r="C69" t="s">
        <v>14</v>
      </c>
      <c r="D69">
        <v>0</v>
      </c>
      <c r="E69">
        <v>22</v>
      </c>
      <c r="F69">
        <v>8</v>
      </c>
      <c r="G69">
        <v>20260409</v>
      </c>
      <c r="H69">
        <v>20260508</v>
      </c>
      <c r="I69">
        <v>58508.503700000001</v>
      </c>
      <c r="J69">
        <f t="shared" si="1"/>
        <v>30</v>
      </c>
      <c r="K69">
        <f t="shared" si="2"/>
        <v>1950.2834566666668</v>
      </c>
      <c r="L69">
        <f t="shared" si="3"/>
        <v>0</v>
      </c>
      <c r="M69">
        <f t="shared" si="4"/>
        <v>42906.236046666672</v>
      </c>
      <c r="N69">
        <f t="shared" si="5"/>
        <v>11725.0327491056</v>
      </c>
      <c r="O69">
        <f t="shared" si="6"/>
        <v>54631.268795772274</v>
      </c>
      <c r="P69">
        <f t="shared" si="7"/>
        <v>0</v>
      </c>
      <c r="Q69">
        <f t="shared" si="8"/>
        <v>45951.333839124381</v>
      </c>
      <c r="R69">
        <f t="shared" si="9"/>
        <v>12557.169860875618</v>
      </c>
      <c r="S69">
        <f t="shared" si="10"/>
        <v>58508.503700000001</v>
      </c>
    </row>
    <row r="70" spans="1:19" x14ac:dyDescent="0.3">
      <c r="A70" t="s">
        <v>13</v>
      </c>
      <c r="B70" t="s">
        <v>33</v>
      </c>
      <c r="C70" t="s">
        <v>15</v>
      </c>
      <c r="D70">
        <v>0</v>
      </c>
      <c r="E70">
        <v>28</v>
      </c>
      <c r="F70">
        <v>11</v>
      </c>
      <c r="G70">
        <v>20260403</v>
      </c>
      <c r="H70">
        <v>20260511</v>
      </c>
      <c r="I70">
        <v>6622.0014000000001</v>
      </c>
      <c r="J70">
        <f t="shared" si="1"/>
        <v>39</v>
      </c>
      <c r="K70">
        <f t="shared" si="2"/>
        <v>169.7949076923077</v>
      </c>
      <c r="L70">
        <f t="shared" si="3"/>
        <v>0</v>
      </c>
      <c r="M70">
        <f t="shared" si="4"/>
        <v>4754.2574153846153</v>
      </c>
      <c r="N70">
        <f t="shared" si="5"/>
        <v>1403.6010580732282</v>
      </c>
      <c r="O70">
        <f t="shared" si="6"/>
        <v>6157.8584734578435</v>
      </c>
      <c r="P70">
        <f t="shared" si="7"/>
        <v>0</v>
      </c>
      <c r="Q70">
        <f t="shared" si="8"/>
        <v>5112.6052013596727</v>
      </c>
      <c r="R70">
        <f t="shared" si="9"/>
        <v>1509.3961986403274</v>
      </c>
      <c r="S70">
        <f t="shared" si="10"/>
        <v>6622.0014000000001</v>
      </c>
    </row>
    <row r="71" spans="1:19" x14ac:dyDescent="0.3">
      <c r="A71" t="s">
        <v>13</v>
      </c>
      <c r="B71" t="s">
        <v>33</v>
      </c>
      <c r="C71" t="s">
        <v>14</v>
      </c>
      <c r="D71">
        <v>0</v>
      </c>
      <c r="E71">
        <v>26</v>
      </c>
      <c r="F71">
        <v>7</v>
      </c>
      <c r="G71">
        <v>20260405</v>
      </c>
      <c r="H71">
        <v>20260507</v>
      </c>
      <c r="I71">
        <v>84836.564899999998</v>
      </c>
      <c r="J71">
        <f t="shared" si="1"/>
        <v>33</v>
      </c>
      <c r="K71">
        <f t="shared" si="2"/>
        <v>2570.8049969696967</v>
      </c>
      <c r="L71">
        <f t="shared" si="3"/>
        <v>0</v>
      </c>
      <c r="M71">
        <f t="shared" si="4"/>
        <v>66840.929921212111</v>
      </c>
      <c r="N71">
        <f t="shared" si="5"/>
        <v>13523.637342688407</v>
      </c>
      <c r="O71">
        <f t="shared" si="6"/>
        <v>80364.567263900521</v>
      </c>
      <c r="P71">
        <f t="shared" si="7"/>
        <v>0</v>
      </c>
      <c r="Q71">
        <f t="shared" si="8"/>
        <v>70560.386029533896</v>
      </c>
      <c r="R71">
        <f t="shared" si="9"/>
        <v>14276.178870466105</v>
      </c>
      <c r="S71">
        <f t="shared" si="10"/>
        <v>84836.564899999998</v>
      </c>
    </row>
    <row r="72" spans="1:19" x14ac:dyDescent="0.3">
      <c r="A72" t="s">
        <v>13</v>
      </c>
      <c r="B72" t="s">
        <v>33</v>
      </c>
      <c r="C72" t="s">
        <v>14</v>
      </c>
      <c r="D72">
        <v>0</v>
      </c>
      <c r="E72">
        <v>26</v>
      </c>
      <c r="F72">
        <v>1</v>
      </c>
      <c r="G72">
        <v>20260405</v>
      </c>
      <c r="H72">
        <v>20260501</v>
      </c>
      <c r="I72">
        <v>106810.601</v>
      </c>
      <c r="J72">
        <f t="shared" si="1"/>
        <v>27</v>
      </c>
      <c r="K72">
        <f t="shared" si="2"/>
        <v>3955.9481851851851</v>
      </c>
      <c r="L72">
        <f t="shared" si="3"/>
        <v>0</v>
      </c>
      <c r="M72">
        <f t="shared" si="4"/>
        <v>102854.65281481482</v>
      </c>
      <c r="N72">
        <f t="shared" si="5"/>
        <v>2972.8769596611533</v>
      </c>
      <c r="O72">
        <f t="shared" si="6"/>
        <v>105827.52977447597</v>
      </c>
      <c r="P72">
        <f t="shared" si="7"/>
        <v>0</v>
      </c>
      <c r="Q72">
        <f t="shared" si="8"/>
        <v>103810.10788221538</v>
      </c>
      <c r="R72">
        <f t="shared" si="9"/>
        <v>3000.4931177846051</v>
      </c>
      <c r="S72">
        <f t="shared" si="10"/>
        <v>106810.60099999998</v>
      </c>
    </row>
    <row r="73" spans="1:19" x14ac:dyDescent="0.3">
      <c r="A73" t="s">
        <v>13</v>
      </c>
      <c r="B73" t="s">
        <v>33</v>
      </c>
      <c r="C73" t="s">
        <v>15</v>
      </c>
      <c r="D73">
        <v>22</v>
      </c>
      <c r="E73">
        <v>7</v>
      </c>
      <c r="F73">
        <v>0</v>
      </c>
      <c r="G73">
        <v>20260310</v>
      </c>
      <c r="H73">
        <v>20260407</v>
      </c>
      <c r="I73">
        <v>54637.054199999999</v>
      </c>
      <c r="J73">
        <f t="shared" si="1"/>
        <v>29</v>
      </c>
      <c r="K73">
        <f t="shared" si="2"/>
        <v>1884.0363517241378</v>
      </c>
      <c r="L73">
        <f t="shared" si="3"/>
        <v>66786.39058140399</v>
      </c>
      <c r="M73">
        <f t="shared" si="4"/>
        <v>13188.254462068964</v>
      </c>
      <c r="N73">
        <f t="shared" si="5"/>
        <v>0</v>
      </c>
      <c r="O73">
        <f t="shared" si="6"/>
        <v>79974.645043472949</v>
      </c>
      <c r="P73">
        <f t="shared" si="7"/>
        <v>45627.10644148523</v>
      </c>
      <c r="Q73">
        <f t="shared" si="8"/>
        <v>9009.9477585147761</v>
      </c>
      <c r="R73">
        <f t="shared" si="9"/>
        <v>0</v>
      </c>
      <c r="S73">
        <f t="shared" si="10"/>
        <v>54637.054200000006</v>
      </c>
    </row>
    <row r="74" spans="1:19" x14ac:dyDescent="0.3">
      <c r="A74" t="s">
        <v>13</v>
      </c>
      <c r="B74" t="s">
        <v>33</v>
      </c>
      <c r="C74" t="s">
        <v>14</v>
      </c>
      <c r="D74">
        <v>0</v>
      </c>
      <c r="E74">
        <v>29</v>
      </c>
      <c r="F74">
        <v>14</v>
      </c>
      <c r="G74">
        <v>20260402</v>
      </c>
      <c r="H74">
        <v>20260514</v>
      </c>
      <c r="I74">
        <v>84.332999999999998</v>
      </c>
      <c r="J74">
        <f t="shared" si="1"/>
        <v>43</v>
      </c>
      <c r="K74">
        <f t="shared" si="2"/>
        <v>1.9612325581395349</v>
      </c>
      <c r="L74">
        <f t="shared" si="3"/>
        <v>0</v>
      </c>
      <c r="M74">
        <f t="shared" si="4"/>
        <v>56.875744186046511</v>
      </c>
      <c r="N74">
        <f t="shared" si="5"/>
        <v>20.634002106122999</v>
      </c>
      <c r="O74">
        <f t="shared" si="6"/>
        <v>77.50974629216951</v>
      </c>
      <c r="P74">
        <f t="shared" si="7"/>
        <v>0</v>
      </c>
      <c r="Q74">
        <f t="shared" si="8"/>
        <v>61.882567856197859</v>
      </c>
      <c r="R74">
        <f t="shared" si="9"/>
        <v>22.450432143802139</v>
      </c>
      <c r="S74">
        <f t="shared" si="10"/>
        <v>84.332999999999998</v>
      </c>
    </row>
    <row r="75" spans="1:19" x14ac:dyDescent="0.3">
      <c r="A75" t="s">
        <v>13</v>
      </c>
      <c r="B75" t="s">
        <v>33</v>
      </c>
      <c r="C75" t="s">
        <v>15</v>
      </c>
      <c r="D75">
        <v>24</v>
      </c>
      <c r="E75">
        <v>2</v>
      </c>
      <c r="F75">
        <v>0</v>
      </c>
      <c r="G75">
        <v>20260308</v>
      </c>
      <c r="H75">
        <v>20260402</v>
      </c>
      <c r="I75">
        <v>6317.1377000000002</v>
      </c>
      <c r="J75">
        <f t="shared" ref="J75:J138" si="11">IF(D75&lt;0,0,D75)+E75+F75</f>
        <v>26</v>
      </c>
      <c r="K75">
        <f t="shared" ref="K75:K138" si="12">I75/J75</f>
        <v>242.96683461538461</v>
      </c>
      <c r="L75">
        <f t="shared" ref="L75:L138" si="13">IF(D75&lt;0,0,D75)*$K75*$B$6</f>
        <v>9395.8105523238664</v>
      </c>
      <c r="M75">
        <f t="shared" ref="M75:M138" si="14">IF(E75&lt;0,0,E75)*$K75*$C$6</f>
        <v>485.93366923076923</v>
      </c>
      <c r="N75">
        <f t="shared" ref="N75:N138" si="15">IF(F75&lt;0,0,F75)*$K75*$D$6</f>
        <v>0</v>
      </c>
      <c r="O75">
        <f t="shared" ref="O75:O138" si="16">L75+M75+N75</f>
        <v>9881.7442215546362</v>
      </c>
      <c r="P75">
        <f t="shared" ref="P75:P138" si="17">L75/$O75*$I75</f>
        <v>6006.4931586343982</v>
      </c>
      <c r="Q75">
        <f t="shared" ref="Q75:Q138" si="18">M75/$O75*$I75</f>
        <v>310.64454136560147</v>
      </c>
      <c r="R75">
        <f t="shared" ref="R75:R138" si="19">N75/$O75*$I75</f>
        <v>0</v>
      </c>
      <c r="S75">
        <f t="shared" ref="S75:S138" si="20">P75+Q75+R75</f>
        <v>6317.1376999999993</v>
      </c>
    </row>
    <row r="76" spans="1:19" x14ac:dyDescent="0.3">
      <c r="A76" t="s">
        <v>13</v>
      </c>
      <c r="B76" t="s">
        <v>33</v>
      </c>
      <c r="C76" t="s">
        <v>15</v>
      </c>
      <c r="D76">
        <v>0</v>
      </c>
      <c r="E76">
        <v>24</v>
      </c>
      <c r="F76">
        <v>13</v>
      </c>
      <c r="G76">
        <v>20260407</v>
      </c>
      <c r="H76">
        <v>20260513</v>
      </c>
      <c r="I76">
        <v>8482.02</v>
      </c>
      <c r="J76">
        <f t="shared" si="11"/>
        <v>37</v>
      </c>
      <c r="K76">
        <f t="shared" si="12"/>
        <v>229.24378378378378</v>
      </c>
      <c r="L76">
        <f t="shared" si="13"/>
        <v>0</v>
      </c>
      <c r="M76">
        <f t="shared" si="14"/>
        <v>5501.8508108108108</v>
      </c>
      <c r="N76">
        <f t="shared" si="15"/>
        <v>2239.5835091095519</v>
      </c>
      <c r="O76">
        <f t="shared" si="16"/>
        <v>7741.4343199203631</v>
      </c>
      <c r="P76">
        <f t="shared" si="17"/>
        <v>0</v>
      </c>
      <c r="Q76">
        <f t="shared" si="18"/>
        <v>6028.1863393492667</v>
      </c>
      <c r="R76">
        <f t="shared" si="19"/>
        <v>2453.8336606507328</v>
      </c>
      <c r="S76">
        <f t="shared" si="20"/>
        <v>8482.02</v>
      </c>
    </row>
    <row r="77" spans="1:19" x14ac:dyDescent="0.3">
      <c r="A77" t="s">
        <v>13</v>
      </c>
      <c r="B77" t="s">
        <v>33</v>
      </c>
      <c r="C77" t="s">
        <v>14</v>
      </c>
      <c r="D77">
        <v>0</v>
      </c>
      <c r="E77">
        <v>15</v>
      </c>
      <c r="F77">
        <v>13</v>
      </c>
      <c r="G77">
        <v>20260416</v>
      </c>
      <c r="H77">
        <v>20260513</v>
      </c>
      <c r="I77">
        <v>3967.9234000000001</v>
      </c>
      <c r="J77">
        <f t="shared" si="11"/>
        <v>28</v>
      </c>
      <c r="K77">
        <f t="shared" si="12"/>
        <v>141.71155000000002</v>
      </c>
      <c r="L77">
        <f t="shared" si="13"/>
        <v>0</v>
      </c>
      <c r="M77">
        <f t="shared" si="14"/>
        <v>2125.6732500000003</v>
      </c>
      <c r="N77">
        <f t="shared" si="15"/>
        <v>1384.4425580136676</v>
      </c>
      <c r="O77">
        <f t="shared" si="16"/>
        <v>3510.1158080136679</v>
      </c>
      <c r="P77">
        <f t="shared" si="17"/>
        <v>0</v>
      </c>
      <c r="Q77">
        <f t="shared" si="18"/>
        <v>2402.9146303870916</v>
      </c>
      <c r="R77">
        <f t="shared" si="19"/>
        <v>1565.0087696129081</v>
      </c>
      <c r="S77">
        <f t="shared" si="20"/>
        <v>3967.9233999999997</v>
      </c>
    </row>
    <row r="78" spans="1:19" x14ac:dyDescent="0.3">
      <c r="A78" t="s">
        <v>13</v>
      </c>
      <c r="B78" t="s">
        <v>33</v>
      </c>
      <c r="C78" t="s">
        <v>15</v>
      </c>
      <c r="D78">
        <v>0</v>
      </c>
      <c r="E78">
        <v>23</v>
      </c>
      <c r="F78">
        <v>3</v>
      </c>
      <c r="G78">
        <v>20260408</v>
      </c>
      <c r="H78">
        <v>20260503</v>
      </c>
      <c r="I78">
        <v>37862.347399999999</v>
      </c>
      <c r="J78">
        <f t="shared" si="11"/>
        <v>26</v>
      </c>
      <c r="K78">
        <f t="shared" si="12"/>
        <v>1456.2441307692307</v>
      </c>
      <c r="L78">
        <f t="shared" si="13"/>
        <v>0</v>
      </c>
      <c r="M78">
        <f t="shared" si="14"/>
        <v>33493.615007692308</v>
      </c>
      <c r="N78">
        <f t="shared" si="15"/>
        <v>3283.0824025084921</v>
      </c>
      <c r="O78">
        <f t="shared" si="16"/>
        <v>36776.697410200803</v>
      </c>
      <c r="P78">
        <f t="shared" si="17"/>
        <v>0</v>
      </c>
      <c r="Q78">
        <f t="shared" si="18"/>
        <v>34482.34823693963</v>
      </c>
      <c r="R78">
        <f t="shared" si="19"/>
        <v>3379.999163060369</v>
      </c>
      <c r="S78">
        <f t="shared" si="20"/>
        <v>37862.347399999999</v>
      </c>
    </row>
    <row r="79" spans="1:19" x14ac:dyDescent="0.3">
      <c r="A79" t="s">
        <v>13</v>
      </c>
      <c r="B79" t="s">
        <v>24</v>
      </c>
      <c r="C79" t="s">
        <v>15</v>
      </c>
      <c r="D79">
        <v>28</v>
      </c>
      <c r="E79">
        <v>8</v>
      </c>
      <c r="F79">
        <v>0</v>
      </c>
      <c r="G79">
        <v>20260304</v>
      </c>
      <c r="H79">
        <v>20260408</v>
      </c>
      <c r="I79">
        <v>91529.797699999996</v>
      </c>
      <c r="J79">
        <f t="shared" si="11"/>
        <v>36</v>
      </c>
      <c r="K79">
        <f t="shared" si="12"/>
        <v>2542.4943805555554</v>
      </c>
      <c r="L79">
        <f t="shared" si="13"/>
        <v>114708.0896692801</v>
      </c>
      <c r="M79">
        <f t="shared" si="14"/>
        <v>20339.955044444443</v>
      </c>
      <c r="N79">
        <f t="shared" si="15"/>
        <v>0</v>
      </c>
      <c r="O79">
        <f t="shared" si="16"/>
        <v>135048.04471372455</v>
      </c>
      <c r="P79">
        <f t="shared" si="17"/>
        <v>77744.244755552994</v>
      </c>
      <c r="Q79">
        <f t="shared" si="18"/>
        <v>13785.55294444699</v>
      </c>
      <c r="R79">
        <f t="shared" si="19"/>
        <v>0</v>
      </c>
      <c r="S79">
        <f t="shared" si="20"/>
        <v>91529.797699999981</v>
      </c>
    </row>
    <row r="80" spans="1:19" x14ac:dyDescent="0.3">
      <c r="A80" t="s">
        <v>13</v>
      </c>
      <c r="B80" t="s">
        <v>33</v>
      </c>
      <c r="C80" t="s">
        <v>15</v>
      </c>
      <c r="D80">
        <v>26</v>
      </c>
      <c r="E80">
        <v>8</v>
      </c>
      <c r="F80">
        <v>0</v>
      </c>
      <c r="G80">
        <v>20260306</v>
      </c>
      <c r="H80">
        <v>20260408</v>
      </c>
      <c r="I80">
        <v>8339.3119000000006</v>
      </c>
      <c r="J80">
        <f t="shared" si="11"/>
        <v>34</v>
      </c>
      <c r="K80">
        <f t="shared" si="12"/>
        <v>245.27387941176471</v>
      </c>
      <c r="L80">
        <f t="shared" si="13"/>
        <v>10275.445550846905</v>
      </c>
      <c r="M80">
        <f t="shared" si="14"/>
        <v>1962.1910352941177</v>
      </c>
      <c r="N80">
        <f t="shared" si="15"/>
        <v>0</v>
      </c>
      <c r="O80">
        <f t="shared" si="16"/>
        <v>12237.636586141023</v>
      </c>
      <c r="P80">
        <f t="shared" si="17"/>
        <v>7002.1809159640125</v>
      </c>
      <c r="Q80">
        <f t="shared" si="18"/>
        <v>1337.1309840359879</v>
      </c>
      <c r="R80">
        <f t="shared" si="19"/>
        <v>0</v>
      </c>
      <c r="S80">
        <f t="shared" si="20"/>
        <v>8339.3119000000006</v>
      </c>
    </row>
    <row r="81" spans="1:19" x14ac:dyDescent="0.3">
      <c r="A81" t="s">
        <v>13</v>
      </c>
      <c r="B81" t="s">
        <v>33</v>
      </c>
      <c r="C81" t="s">
        <v>15</v>
      </c>
      <c r="D81">
        <v>23</v>
      </c>
      <c r="E81">
        <v>1</v>
      </c>
      <c r="F81">
        <v>0</v>
      </c>
      <c r="G81">
        <v>20260309</v>
      </c>
      <c r="H81">
        <v>20260401</v>
      </c>
      <c r="I81">
        <v>3722.7959000000001</v>
      </c>
      <c r="J81">
        <f t="shared" si="11"/>
        <v>24</v>
      </c>
      <c r="K81">
        <f t="shared" si="12"/>
        <v>155.11649583333335</v>
      </c>
      <c r="L81">
        <f t="shared" si="13"/>
        <v>5748.5966219150969</v>
      </c>
      <c r="M81">
        <f t="shared" si="14"/>
        <v>155.11649583333335</v>
      </c>
      <c r="N81">
        <f t="shared" si="15"/>
        <v>0</v>
      </c>
      <c r="O81">
        <f t="shared" si="16"/>
        <v>5903.7131177484298</v>
      </c>
      <c r="P81">
        <f t="shared" si="17"/>
        <v>3624.9816866069664</v>
      </c>
      <c r="Q81">
        <f t="shared" si="18"/>
        <v>97.814213393034251</v>
      </c>
      <c r="R81">
        <f t="shared" si="19"/>
        <v>0</v>
      </c>
      <c r="S81">
        <f t="shared" si="20"/>
        <v>3722.7959000000005</v>
      </c>
    </row>
    <row r="82" spans="1:19" x14ac:dyDescent="0.3">
      <c r="A82" t="s">
        <v>13</v>
      </c>
      <c r="B82" t="s">
        <v>33</v>
      </c>
      <c r="C82" t="s">
        <v>15</v>
      </c>
      <c r="D82">
        <v>0</v>
      </c>
      <c r="E82">
        <v>15</v>
      </c>
      <c r="F82">
        <v>0</v>
      </c>
      <c r="G82">
        <v>20260404</v>
      </c>
      <c r="H82">
        <v>20260418</v>
      </c>
      <c r="I82">
        <v>1643.4911999999999</v>
      </c>
      <c r="J82">
        <f t="shared" si="11"/>
        <v>15</v>
      </c>
      <c r="K82">
        <f t="shared" si="12"/>
        <v>109.56608</v>
      </c>
      <c r="L82">
        <f t="shared" si="13"/>
        <v>0</v>
      </c>
      <c r="M82">
        <f t="shared" si="14"/>
        <v>1643.4911999999999</v>
      </c>
      <c r="N82">
        <f t="shared" si="15"/>
        <v>0</v>
      </c>
      <c r="O82">
        <f t="shared" si="16"/>
        <v>1643.4911999999999</v>
      </c>
      <c r="P82">
        <f t="shared" si="17"/>
        <v>0</v>
      </c>
      <c r="Q82">
        <f t="shared" si="18"/>
        <v>1643.4911999999999</v>
      </c>
      <c r="R82">
        <f t="shared" si="19"/>
        <v>0</v>
      </c>
      <c r="S82">
        <f t="shared" si="20"/>
        <v>1643.4911999999999</v>
      </c>
    </row>
    <row r="83" spans="1:19" x14ac:dyDescent="0.3">
      <c r="A83" t="s">
        <v>13</v>
      </c>
      <c r="B83" t="s">
        <v>33</v>
      </c>
      <c r="C83" t="s">
        <v>14</v>
      </c>
      <c r="D83">
        <v>22</v>
      </c>
      <c r="E83">
        <v>7</v>
      </c>
      <c r="F83">
        <v>0</v>
      </c>
      <c r="G83">
        <v>20260310</v>
      </c>
      <c r="H83">
        <v>20260407</v>
      </c>
      <c r="I83">
        <v>1392.0822000000001</v>
      </c>
      <c r="J83">
        <f t="shared" si="11"/>
        <v>29</v>
      </c>
      <c r="K83">
        <f t="shared" si="12"/>
        <v>48.002834482758622</v>
      </c>
      <c r="L83">
        <f t="shared" si="13"/>
        <v>1701.6317386053393</v>
      </c>
      <c r="M83">
        <f t="shared" si="14"/>
        <v>336.01984137931038</v>
      </c>
      <c r="N83">
        <f t="shared" si="15"/>
        <v>0</v>
      </c>
      <c r="O83">
        <f t="shared" si="16"/>
        <v>2037.6515799846497</v>
      </c>
      <c r="P83">
        <f t="shared" si="17"/>
        <v>1162.5202647674391</v>
      </c>
      <c r="Q83">
        <f t="shared" si="18"/>
        <v>229.56193523256084</v>
      </c>
      <c r="R83">
        <f t="shared" si="19"/>
        <v>0</v>
      </c>
      <c r="S83">
        <f t="shared" si="20"/>
        <v>1392.0822000000001</v>
      </c>
    </row>
    <row r="84" spans="1:19" x14ac:dyDescent="0.3">
      <c r="A84" t="s">
        <v>13</v>
      </c>
      <c r="B84" t="s">
        <v>33</v>
      </c>
      <c r="C84" t="s">
        <v>15</v>
      </c>
      <c r="D84">
        <v>23</v>
      </c>
      <c r="E84">
        <v>3</v>
      </c>
      <c r="F84">
        <v>0</v>
      </c>
      <c r="G84">
        <v>20260309</v>
      </c>
      <c r="H84">
        <v>20260403</v>
      </c>
      <c r="I84">
        <v>3173.5092</v>
      </c>
      <c r="J84">
        <f t="shared" si="11"/>
        <v>26</v>
      </c>
      <c r="K84">
        <f t="shared" si="12"/>
        <v>122.05804615384615</v>
      </c>
      <c r="L84">
        <f t="shared" si="13"/>
        <v>4523.454891293225</v>
      </c>
      <c r="M84">
        <f t="shared" si="14"/>
        <v>366.17413846153846</v>
      </c>
      <c r="N84">
        <f t="shared" si="15"/>
        <v>0</v>
      </c>
      <c r="O84">
        <f t="shared" si="16"/>
        <v>4889.6290297547639</v>
      </c>
      <c r="P84">
        <f t="shared" si="17"/>
        <v>2935.8517028487181</v>
      </c>
      <c r="Q84">
        <f t="shared" si="18"/>
        <v>237.65749715128149</v>
      </c>
      <c r="R84">
        <f t="shared" si="19"/>
        <v>0</v>
      </c>
      <c r="S84">
        <f t="shared" si="20"/>
        <v>3173.5091999999995</v>
      </c>
    </row>
    <row r="85" spans="1:19" x14ac:dyDescent="0.3">
      <c r="A85" t="s">
        <v>13</v>
      </c>
      <c r="B85" t="s">
        <v>33</v>
      </c>
      <c r="C85" t="s">
        <v>15</v>
      </c>
      <c r="D85">
        <v>0</v>
      </c>
      <c r="E85">
        <v>12</v>
      </c>
      <c r="F85">
        <v>0</v>
      </c>
      <c r="G85">
        <v>20260404</v>
      </c>
      <c r="H85">
        <v>20260415</v>
      </c>
      <c r="I85">
        <v>9645.4912000000004</v>
      </c>
      <c r="J85">
        <f t="shared" si="11"/>
        <v>12</v>
      </c>
      <c r="K85">
        <f t="shared" si="12"/>
        <v>803.79093333333333</v>
      </c>
      <c r="L85">
        <f t="shared" si="13"/>
        <v>0</v>
      </c>
      <c r="M85">
        <f t="shared" si="14"/>
        <v>9645.4912000000004</v>
      </c>
      <c r="N85">
        <f t="shared" si="15"/>
        <v>0</v>
      </c>
      <c r="O85">
        <f t="shared" si="16"/>
        <v>9645.4912000000004</v>
      </c>
      <c r="P85">
        <f t="shared" si="17"/>
        <v>0</v>
      </c>
      <c r="Q85">
        <f t="shared" si="18"/>
        <v>9645.4912000000004</v>
      </c>
      <c r="R85">
        <f t="shared" si="19"/>
        <v>0</v>
      </c>
      <c r="S85">
        <f t="shared" si="20"/>
        <v>9645.4912000000004</v>
      </c>
    </row>
    <row r="86" spans="1:19" x14ac:dyDescent="0.3">
      <c r="A86" t="s">
        <v>13</v>
      </c>
      <c r="B86" t="s">
        <v>33</v>
      </c>
      <c r="C86" t="s">
        <v>14</v>
      </c>
      <c r="D86">
        <v>0</v>
      </c>
      <c r="E86">
        <v>16</v>
      </c>
      <c r="F86">
        <v>0</v>
      </c>
      <c r="G86">
        <v>20260401</v>
      </c>
      <c r="H86">
        <v>20260416</v>
      </c>
      <c r="I86">
        <v>5229813.5455999998</v>
      </c>
      <c r="J86">
        <f t="shared" si="11"/>
        <v>16</v>
      </c>
      <c r="K86">
        <f t="shared" si="12"/>
        <v>326863.34659999999</v>
      </c>
      <c r="L86">
        <f t="shared" si="13"/>
        <v>0</v>
      </c>
      <c r="M86">
        <f t="shared" si="14"/>
        <v>5229813.5455999998</v>
      </c>
      <c r="N86">
        <f t="shared" si="15"/>
        <v>0</v>
      </c>
      <c r="O86">
        <f t="shared" si="16"/>
        <v>5229813.5455999998</v>
      </c>
      <c r="P86">
        <f t="shared" si="17"/>
        <v>0</v>
      </c>
      <c r="Q86">
        <f t="shared" si="18"/>
        <v>5229813.5455999998</v>
      </c>
      <c r="R86">
        <f t="shared" si="19"/>
        <v>0</v>
      </c>
      <c r="S86">
        <f t="shared" si="20"/>
        <v>5229813.5455999998</v>
      </c>
    </row>
    <row r="87" spans="1:19" x14ac:dyDescent="0.3">
      <c r="A87" t="s">
        <v>13</v>
      </c>
      <c r="B87" t="s">
        <v>33</v>
      </c>
      <c r="C87" t="s">
        <v>14</v>
      </c>
      <c r="D87">
        <v>0</v>
      </c>
      <c r="E87">
        <v>15</v>
      </c>
      <c r="F87">
        <v>0</v>
      </c>
      <c r="G87">
        <v>20260416</v>
      </c>
      <c r="H87">
        <v>20260430</v>
      </c>
      <c r="I87">
        <v>26729.409199999998</v>
      </c>
      <c r="J87">
        <f t="shared" si="11"/>
        <v>15</v>
      </c>
      <c r="K87">
        <f t="shared" si="12"/>
        <v>1781.9606133333332</v>
      </c>
      <c r="L87">
        <f t="shared" si="13"/>
        <v>0</v>
      </c>
      <c r="M87">
        <f t="shared" si="14"/>
        <v>26729.409199999998</v>
      </c>
      <c r="N87">
        <f t="shared" si="15"/>
        <v>0</v>
      </c>
      <c r="O87">
        <f t="shared" si="16"/>
        <v>26729.409199999998</v>
      </c>
      <c r="P87">
        <f t="shared" si="17"/>
        <v>0</v>
      </c>
      <c r="Q87">
        <f t="shared" si="18"/>
        <v>26729.409199999998</v>
      </c>
      <c r="R87">
        <f t="shared" si="19"/>
        <v>0</v>
      </c>
      <c r="S87">
        <f t="shared" si="20"/>
        <v>26729.409199999998</v>
      </c>
    </row>
    <row r="88" spans="1:19" x14ac:dyDescent="0.3">
      <c r="A88" t="s">
        <v>13</v>
      </c>
      <c r="B88" t="s">
        <v>33</v>
      </c>
      <c r="C88" t="s">
        <v>14</v>
      </c>
      <c r="D88">
        <v>0</v>
      </c>
      <c r="E88">
        <v>26</v>
      </c>
      <c r="F88">
        <v>8</v>
      </c>
      <c r="G88">
        <v>20260405</v>
      </c>
      <c r="H88">
        <v>20260508</v>
      </c>
      <c r="I88">
        <v>8269.2813000000006</v>
      </c>
      <c r="J88">
        <f t="shared" si="11"/>
        <v>34</v>
      </c>
      <c r="K88">
        <f t="shared" si="12"/>
        <v>243.21415588235297</v>
      </c>
      <c r="L88">
        <f t="shared" si="13"/>
        <v>0</v>
      </c>
      <c r="M88">
        <f t="shared" si="14"/>
        <v>6323.5680529411775</v>
      </c>
      <c r="N88">
        <f t="shared" si="15"/>
        <v>1462.1946020301298</v>
      </c>
      <c r="O88">
        <f t="shared" si="16"/>
        <v>7785.7626549713077</v>
      </c>
      <c r="P88">
        <f t="shared" si="17"/>
        <v>0</v>
      </c>
      <c r="Q88">
        <f t="shared" si="18"/>
        <v>6716.2801342364573</v>
      </c>
      <c r="R88">
        <f t="shared" si="19"/>
        <v>1553.0011657635425</v>
      </c>
      <c r="S88">
        <f t="shared" si="20"/>
        <v>8269.2813000000006</v>
      </c>
    </row>
    <row r="89" spans="1:19" x14ac:dyDescent="0.3">
      <c r="A89" t="s">
        <v>13</v>
      </c>
      <c r="B89" t="s">
        <v>33</v>
      </c>
      <c r="C89" t="s">
        <v>15</v>
      </c>
      <c r="D89">
        <v>26</v>
      </c>
      <c r="E89">
        <v>13</v>
      </c>
      <c r="F89">
        <v>0</v>
      </c>
      <c r="G89">
        <v>20260306</v>
      </c>
      <c r="H89">
        <v>20260413</v>
      </c>
      <c r="I89">
        <v>3301.4164000000001</v>
      </c>
      <c r="J89">
        <f t="shared" si="11"/>
        <v>39</v>
      </c>
      <c r="K89">
        <f t="shared" si="12"/>
        <v>84.651702564102564</v>
      </c>
      <c r="L89">
        <f t="shared" si="13"/>
        <v>3546.3782876922246</v>
      </c>
      <c r="M89">
        <f t="shared" si="14"/>
        <v>1100.4721333333334</v>
      </c>
      <c r="N89">
        <f t="shared" si="15"/>
        <v>0</v>
      </c>
      <c r="O89">
        <f t="shared" si="16"/>
        <v>4646.8504210255578</v>
      </c>
      <c r="P89">
        <f t="shared" si="17"/>
        <v>2519.5714040236012</v>
      </c>
      <c r="Q89">
        <f t="shared" si="18"/>
        <v>781.84499597639865</v>
      </c>
      <c r="R89">
        <f t="shared" si="19"/>
        <v>0</v>
      </c>
      <c r="S89">
        <f t="shared" si="20"/>
        <v>3301.4164000000001</v>
      </c>
    </row>
    <row r="90" spans="1:19" x14ac:dyDescent="0.3">
      <c r="A90" t="s">
        <v>13</v>
      </c>
      <c r="B90" t="s">
        <v>33</v>
      </c>
      <c r="C90" t="s">
        <v>15</v>
      </c>
      <c r="D90">
        <v>27</v>
      </c>
      <c r="E90">
        <v>10</v>
      </c>
      <c r="F90">
        <v>0</v>
      </c>
      <c r="G90">
        <v>20260305</v>
      </c>
      <c r="H90">
        <v>20260410</v>
      </c>
      <c r="I90">
        <v>934.21600000000001</v>
      </c>
      <c r="J90">
        <f t="shared" si="11"/>
        <v>37</v>
      </c>
      <c r="K90">
        <f t="shared" si="12"/>
        <v>25.24908108108108</v>
      </c>
      <c r="L90">
        <f t="shared" si="13"/>
        <v>1098.462803319848</v>
      </c>
      <c r="M90">
        <f t="shared" si="14"/>
        <v>252.49081081081079</v>
      </c>
      <c r="N90">
        <f t="shared" si="15"/>
        <v>0</v>
      </c>
      <c r="O90">
        <f t="shared" si="16"/>
        <v>1350.9536141306589</v>
      </c>
      <c r="P90">
        <f t="shared" si="17"/>
        <v>759.61270285850458</v>
      </c>
      <c r="Q90">
        <f t="shared" si="18"/>
        <v>174.60329714149529</v>
      </c>
      <c r="R90">
        <f t="shared" si="19"/>
        <v>0</v>
      </c>
      <c r="S90">
        <f t="shared" si="20"/>
        <v>934.21599999999989</v>
      </c>
    </row>
    <row r="91" spans="1:19" x14ac:dyDescent="0.3">
      <c r="A91" t="s">
        <v>13</v>
      </c>
      <c r="B91" t="s">
        <v>33</v>
      </c>
      <c r="C91" t="s">
        <v>15</v>
      </c>
      <c r="D91">
        <v>0</v>
      </c>
      <c r="E91">
        <v>15</v>
      </c>
      <c r="F91">
        <v>0</v>
      </c>
      <c r="G91">
        <v>20260408</v>
      </c>
      <c r="H91">
        <v>20260422</v>
      </c>
      <c r="I91">
        <v>1731.3382999999999</v>
      </c>
      <c r="J91">
        <f t="shared" si="11"/>
        <v>15</v>
      </c>
      <c r="K91">
        <f t="shared" si="12"/>
        <v>115.42255333333333</v>
      </c>
      <c r="L91">
        <f t="shared" si="13"/>
        <v>0</v>
      </c>
      <c r="M91">
        <f t="shared" si="14"/>
        <v>1731.3382999999999</v>
      </c>
      <c r="N91">
        <f t="shared" si="15"/>
        <v>0</v>
      </c>
      <c r="O91">
        <f t="shared" si="16"/>
        <v>1731.3382999999999</v>
      </c>
      <c r="P91">
        <f t="shared" si="17"/>
        <v>0</v>
      </c>
      <c r="Q91">
        <f t="shared" si="18"/>
        <v>1731.3382999999999</v>
      </c>
      <c r="R91">
        <f t="shared" si="19"/>
        <v>0</v>
      </c>
      <c r="S91">
        <f t="shared" si="20"/>
        <v>1731.3382999999999</v>
      </c>
    </row>
    <row r="92" spans="1:19" x14ac:dyDescent="0.3">
      <c r="A92" t="s">
        <v>13</v>
      </c>
      <c r="B92" t="s">
        <v>33</v>
      </c>
      <c r="C92" t="s">
        <v>15</v>
      </c>
      <c r="D92">
        <v>22</v>
      </c>
      <c r="E92">
        <v>14</v>
      </c>
      <c r="F92">
        <v>0</v>
      </c>
      <c r="G92">
        <v>20260310</v>
      </c>
      <c r="H92">
        <v>20260414</v>
      </c>
      <c r="I92">
        <v>687.78319999999997</v>
      </c>
      <c r="J92">
        <f t="shared" si="11"/>
        <v>36</v>
      </c>
      <c r="K92">
        <f t="shared" si="12"/>
        <v>19.105088888888886</v>
      </c>
      <c r="L92">
        <f t="shared" si="13"/>
        <v>677.24804113153425</v>
      </c>
      <c r="M92">
        <f t="shared" si="14"/>
        <v>267.47124444444444</v>
      </c>
      <c r="N92">
        <f t="shared" si="15"/>
        <v>0</v>
      </c>
      <c r="O92">
        <f t="shared" si="16"/>
        <v>944.71928557597869</v>
      </c>
      <c r="P92">
        <f t="shared" si="17"/>
        <v>493.05633116104781</v>
      </c>
      <c r="Q92">
        <f t="shared" si="18"/>
        <v>194.72686883895219</v>
      </c>
      <c r="R92">
        <f t="shared" si="19"/>
        <v>0</v>
      </c>
      <c r="S92">
        <f t="shared" si="20"/>
        <v>687.78319999999997</v>
      </c>
    </row>
    <row r="93" spans="1:19" x14ac:dyDescent="0.3">
      <c r="A93" t="s">
        <v>13</v>
      </c>
      <c r="B93" t="s">
        <v>24</v>
      </c>
      <c r="C93" t="s">
        <v>15</v>
      </c>
      <c r="D93">
        <v>31</v>
      </c>
      <c r="E93">
        <v>3</v>
      </c>
      <c r="F93">
        <v>0</v>
      </c>
      <c r="G93">
        <v>20260228</v>
      </c>
      <c r="H93">
        <v>20260403</v>
      </c>
      <c r="I93">
        <v>42380.9349</v>
      </c>
      <c r="J93">
        <f t="shared" si="11"/>
        <v>34</v>
      </c>
      <c r="K93">
        <f t="shared" si="12"/>
        <v>1246.4980852941176</v>
      </c>
      <c r="L93">
        <f t="shared" si="13"/>
        <v>62262.896966941218</v>
      </c>
      <c r="M93">
        <f t="shared" si="14"/>
        <v>3739.4942558823527</v>
      </c>
      <c r="N93">
        <f t="shared" si="15"/>
        <v>0</v>
      </c>
      <c r="O93">
        <f t="shared" si="16"/>
        <v>66002.391222823571</v>
      </c>
      <c r="P93">
        <f t="shared" si="17"/>
        <v>39979.760341302033</v>
      </c>
      <c r="Q93">
        <f t="shared" si="18"/>
        <v>2401.1745586979669</v>
      </c>
      <c r="R93">
        <f t="shared" si="19"/>
        <v>0</v>
      </c>
      <c r="S93">
        <f t="shared" si="20"/>
        <v>42380.9349</v>
      </c>
    </row>
    <row r="94" spans="1:19" x14ac:dyDescent="0.3">
      <c r="A94" t="s">
        <v>13</v>
      </c>
      <c r="B94" t="s">
        <v>33</v>
      </c>
      <c r="C94" t="s">
        <v>15</v>
      </c>
      <c r="D94">
        <v>22</v>
      </c>
      <c r="E94">
        <v>6</v>
      </c>
      <c r="F94">
        <v>0</v>
      </c>
      <c r="G94">
        <v>20260310</v>
      </c>
      <c r="H94">
        <v>20260406</v>
      </c>
      <c r="I94">
        <v>4402.1769000000004</v>
      </c>
      <c r="J94">
        <f t="shared" si="11"/>
        <v>28</v>
      </c>
      <c r="K94">
        <f t="shared" si="12"/>
        <v>157.2206035714286</v>
      </c>
      <c r="L94">
        <f t="shared" si="13"/>
        <v>5573.2452444224155</v>
      </c>
      <c r="M94">
        <f t="shared" si="14"/>
        <v>943.32362142857164</v>
      </c>
      <c r="N94">
        <f t="shared" si="15"/>
        <v>0</v>
      </c>
      <c r="O94">
        <f t="shared" si="16"/>
        <v>6516.5688658509871</v>
      </c>
      <c r="P94">
        <f t="shared" si="17"/>
        <v>3764.9278290604407</v>
      </c>
      <c r="Q94">
        <f t="shared" si="18"/>
        <v>637.24907093955994</v>
      </c>
      <c r="R94">
        <f t="shared" si="19"/>
        <v>0</v>
      </c>
      <c r="S94">
        <f t="shared" si="20"/>
        <v>4402.1769000000004</v>
      </c>
    </row>
    <row r="95" spans="1:19" x14ac:dyDescent="0.3">
      <c r="A95" t="s">
        <v>13</v>
      </c>
      <c r="B95" t="s">
        <v>24</v>
      </c>
      <c r="C95" t="s">
        <v>15</v>
      </c>
      <c r="D95">
        <v>6</v>
      </c>
      <c r="E95">
        <v>30</v>
      </c>
      <c r="F95">
        <v>4</v>
      </c>
      <c r="G95">
        <v>20260326</v>
      </c>
      <c r="H95">
        <v>20260504</v>
      </c>
      <c r="I95">
        <v>4201.9480999999996</v>
      </c>
      <c r="J95">
        <f t="shared" si="11"/>
        <v>40</v>
      </c>
      <c r="K95">
        <f t="shared" si="12"/>
        <v>105.04870249999999</v>
      </c>
      <c r="L95">
        <f t="shared" si="13"/>
        <v>1015.5889270030156</v>
      </c>
      <c r="M95">
        <f t="shared" si="14"/>
        <v>3151.4610749999997</v>
      </c>
      <c r="N95">
        <f t="shared" si="15"/>
        <v>315.77447700056746</v>
      </c>
      <c r="O95">
        <f t="shared" si="16"/>
        <v>4482.8244790035824</v>
      </c>
      <c r="P95">
        <f t="shared" si="17"/>
        <v>951.95606747242209</v>
      </c>
      <c r="Q95">
        <f t="shared" si="18"/>
        <v>2954.0027583822834</v>
      </c>
      <c r="R95">
        <f t="shared" si="19"/>
        <v>295.98927414529442</v>
      </c>
      <c r="S95">
        <f t="shared" si="20"/>
        <v>4201.9480999999996</v>
      </c>
    </row>
    <row r="96" spans="1:19" x14ac:dyDescent="0.3">
      <c r="A96" t="s">
        <v>13</v>
      </c>
      <c r="B96" t="s">
        <v>33</v>
      </c>
      <c r="C96" t="s">
        <v>15</v>
      </c>
      <c r="D96">
        <v>0</v>
      </c>
      <c r="E96">
        <v>21</v>
      </c>
      <c r="F96">
        <v>1</v>
      </c>
      <c r="G96">
        <v>20260410</v>
      </c>
      <c r="H96">
        <v>20260501</v>
      </c>
      <c r="I96">
        <v>20433.9323</v>
      </c>
      <c r="J96">
        <f t="shared" si="11"/>
        <v>22</v>
      </c>
      <c r="K96">
        <f t="shared" si="12"/>
        <v>928.81510454545457</v>
      </c>
      <c r="L96">
        <f t="shared" si="13"/>
        <v>0</v>
      </c>
      <c r="M96">
        <f t="shared" si="14"/>
        <v>19505.117195454546</v>
      </c>
      <c r="N96">
        <f t="shared" si="15"/>
        <v>698.00030102244318</v>
      </c>
      <c r="O96">
        <f t="shared" si="16"/>
        <v>20203.117496476989</v>
      </c>
      <c r="P96">
        <f t="shared" si="17"/>
        <v>0</v>
      </c>
      <c r="Q96">
        <f t="shared" si="18"/>
        <v>19727.957546402722</v>
      </c>
      <c r="R96">
        <f t="shared" si="19"/>
        <v>705.97475359727935</v>
      </c>
      <c r="S96">
        <f t="shared" si="20"/>
        <v>20433.9323</v>
      </c>
    </row>
    <row r="97" spans="1:19" x14ac:dyDescent="0.3">
      <c r="A97" t="s">
        <v>13</v>
      </c>
      <c r="B97" t="s">
        <v>24</v>
      </c>
      <c r="C97" t="s">
        <v>15</v>
      </c>
      <c r="D97">
        <v>9</v>
      </c>
      <c r="E97">
        <v>3</v>
      </c>
      <c r="F97">
        <v>0</v>
      </c>
      <c r="G97">
        <v>20260323</v>
      </c>
      <c r="H97">
        <v>20260403</v>
      </c>
      <c r="I97">
        <v>7508.2682999999997</v>
      </c>
      <c r="J97">
        <f t="shared" si="11"/>
        <v>12</v>
      </c>
      <c r="K97">
        <f t="shared" si="12"/>
        <v>625.68902500000002</v>
      </c>
      <c r="L97">
        <f t="shared" si="13"/>
        <v>9073.5463230111727</v>
      </c>
      <c r="M97">
        <f t="shared" si="14"/>
        <v>1877.0670749999999</v>
      </c>
      <c r="N97">
        <f t="shared" si="15"/>
        <v>0</v>
      </c>
      <c r="O97">
        <f t="shared" si="16"/>
        <v>10950.613398011174</v>
      </c>
      <c r="P97">
        <f t="shared" si="17"/>
        <v>6221.260649930291</v>
      </c>
      <c r="Q97">
        <f t="shared" si="18"/>
        <v>1287.007650069708</v>
      </c>
      <c r="R97">
        <f t="shared" si="19"/>
        <v>0</v>
      </c>
      <c r="S97">
        <f t="shared" si="20"/>
        <v>7508.2682999999988</v>
      </c>
    </row>
    <row r="98" spans="1:19" x14ac:dyDescent="0.3">
      <c r="A98" t="s">
        <v>13</v>
      </c>
      <c r="B98" t="s">
        <v>24</v>
      </c>
      <c r="C98" t="s">
        <v>15</v>
      </c>
      <c r="D98">
        <v>12</v>
      </c>
      <c r="E98">
        <v>2</v>
      </c>
      <c r="F98">
        <v>0</v>
      </c>
      <c r="G98">
        <v>20260320</v>
      </c>
      <c r="H98">
        <v>20260402</v>
      </c>
      <c r="I98">
        <v>5100.5409</v>
      </c>
      <c r="J98">
        <f t="shared" si="11"/>
        <v>14</v>
      </c>
      <c r="K98">
        <f t="shared" si="12"/>
        <v>364.32434999999998</v>
      </c>
      <c r="L98">
        <f t="shared" si="13"/>
        <v>7044.4235272219785</v>
      </c>
      <c r="M98">
        <f t="shared" si="14"/>
        <v>728.64869999999996</v>
      </c>
      <c r="N98">
        <f t="shared" si="15"/>
        <v>0</v>
      </c>
      <c r="O98">
        <f t="shared" si="16"/>
        <v>7773.0722272219782</v>
      </c>
      <c r="P98">
        <f t="shared" si="17"/>
        <v>4622.4155992899005</v>
      </c>
      <c r="Q98">
        <f t="shared" si="18"/>
        <v>478.12530071009928</v>
      </c>
      <c r="R98">
        <f t="shared" si="19"/>
        <v>0</v>
      </c>
      <c r="S98">
        <f t="shared" si="20"/>
        <v>5100.5409</v>
      </c>
    </row>
    <row r="99" spans="1:19" x14ac:dyDescent="0.3">
      <c r="A99" t="s">
        <v>13</v>
      </c>
      <c r="B99" t="s">
        <v>33</v>
      </c>
      <c r="C99" t="s">
        <v>15</v>
      </c>
      <c r="D99">
        <v>16</v>
      </c>
      <c r="E99">
        <v>2</v>
      </c>
      <c r="F99">
        <v>0</v>
      </c>
      <c r="G99">
        <v>20260316</v>
      </c>
      <c r="H99">
        <v>20260402</v>
      </c>
      <c r="I99">
        <v>589.91589999999997</v>
      </c>
      <c r="J99">
        <f t="shared" si="11"/>
        <v>18</v>
      </c>
      <c r="K99">
        <f t="shared" si="12"/>
        <v>32.773105555555553</v>
      </c>
      <c r="L99">
        <f t="shared" si="13"/>
        <v>844.91611512538157</v>
      </c>
      <c r="M99">
        <f t="shared" si="14"/>
        <v>65.546211111111106</v>
      </c>
      <c r="N99">
        <f t="shared" si="15"/>
        <v>0</v>
      </c>
      <c r="O99">
        <f t="shared" si="16"/>
        <v>910.46232623649269</v>
      </c>
      <c r="P99">
        <f t="shared" si="17"/>
        <v>547.44654019789277</v>
      </c>
      <c r="Q99">
        <f t="shared" si="18"/>
        <v>42.469359802107192</v>
      </c>
      <c r="R99">
        <f t="shared" si="19"/>
        <v>0</v>
      </c>
      <c r="S99">
        <f t="shared" si="20"/>
        <v>589.91589999999997</v>
      </c>
    </row>
    <row r="100" spans="1:19" x14ac:dyDescent="0.3">
      <c r="A100" t="s">
        <v>13</v>
      </c>
      <c r="B100" t="s">
        <v>33</v>
      </c>
      <c r="C100" t="s">
        <v>15</v>
      </c>
      <c r="D100">
        <v>5</v>
      </c>
      <c r="E100">
        <v>30</v>
      </c>
      <c r="F100">
        <v>4</v>
      </c>
      <c r="G100">
        <v>20260327</v>
      </c>
      <c r="H100">
        <v>20260504</v>
      </c>
      <c r="I100">
        <v>51412.904399999999</v>
      </c>
      <c r="J100">
        <f t="shared" si="11"/>
        <v>39</v>
      </c>
      <c r="K100">
        <f t="shared" si="12"/>
        <v>1318.2796000000001</v>
      </c>
      <c r="L100">
        <f t="shared" si="13"/>
        <v>10620.709986509708</v>
      </c>
      <c r="M100">
        <f t="shared" si="14"/>
        <v>39548.387999999999</v>
      </c>
      <c r="N100">
        <f t="shared" si="15"/>
        <v>3962.7243490277028</v>
      </c>
      <c r="O100">
        <f t="shared" si="16"/>
        <v>54131.822335537407</v>
      </c>
      <c r="P100">
        <f t="shared" si="17"/>
        <v>10087.255954767183</v>
      </c>
      <c r="Q100">
        <f t="shared" si="18"/>
        <v>37561.962699401905</v>
      </c>
      <c r="R100">
        <f t="shared" si="19"/>
        <v>3763.6857458309119</v>
      </c>
      <c r="S100">
        <f t="shared" si="20"/>
        <v>51412.904399999999</v>
      </c>
    </row>
    <row r="101" spans="1:19" x14ac:dyDescent="0.3">
      <c r="A101" t="s">
        <v>13</v>
      </c>
      <c r="B101" t="s">
        <v>24</v>
      </c>
      <c r="C101" t="s">
        <v>15</v>
      </c>
      <c r="D101">
        <v>5</v>
      </c>
      <c r="E101">
        <v>30</v>
      </c>
      <c r="F101">
        <v>4</v>
      </c>
      <c r="G101">
        <v>20260327</v>
      </c>
      <c r="H101">
        <v>20260504</v>
      </c>
      <c r="I101">
        <v>7560.7213000000002</v>
      </c>
      <c r="J101">
        <f t="shared" si="11"/>
        <v>39</v>
      </c>
      <c r="K101">
        <f t="shared" si="12"/>
        <v>193.86464871794871</v>
      </c>
      <c r="L101">
        <f t="shared" si="13"/>
        <v>1561.8691290299223</v>
      </c>
      <c r="M101">
        <f t="shared" si="14"/>
        <v>5815.9394615384617</v>
      </c>
      <c r="N101">
        <f t="shared" si="15"/>
        <v>582.75358572666789</v>
      </c>
      <c r="O101">
        <f t="shared" si="16"/>
        <v>7960.5621762950514</v>
      </c>
      <c r="P101">
        <f t="shared" si="17"/>
        <v>1483.4200060434648</v>
      </c>
      <c r="Q101">
        <f t="shared" si="18"/>
        <v>5523.8180913034257</v>
      </c>
      <c r="R101">
        <f t="shared" si="19"/>
        <v>553.48320265310974</v>
      </c>
      <c r="S101">
        <f t="shared" si="20"/>
        <v>7560.7213000000002</v>
      </c>
    </row>
    <row r="102" spans="1:19" x14ac:dyDescent="0.3">
      <c r="A102" t="s">
        <v>13</v>
      </c>
      <c r="B102" t="s">
        <v>33</v>
      </c>
      <c r="C102" t="s">
        <v>15</v>
      </c>
      <c r="D102">
        <v>5</v>
      </c>
      <c r="E102">
        <v>30</v>
      </c>
      <c r="F102">
        <v>1</v>
      </c>
      <c r="G102">
        <v>20260327</v>
      </c>
      <c r="H102">
        <v>20260501</v>
      </c>
      <c r="I102">
        <v>37088.186000000002</v>
      </c>
      <c r="J102">
        <f t="shared" si="11"/>
        <v>36</v>
      </c>
      <c r="K102">
        <f t="shared" si="12"/>
        <v>1030.227388888889</v>
      </c>
      <c r="L102">
        <f t="shared" si="13"/>
        <v>8300.0194477317582</v>
      </c>
      <c r="M102">
        <f t="shared" si="14"/>
        <v>30906.82166666667</v>
      </c>
      <c r="N102">
        <f t="shared" si="15"/>
        <v>774.21116866733587</v>
      </c>
      <c r="O102">
        <f t="shared" si="16"/>
        <v>39981.052283065765</v>
      </c>
      <c r="P102">
        <f t="shared" si="17"/>
        <v>7699.4638085470615</v>
      </c>
      <c r="Q102">
        <f t="shared" si="18"/>
        <v>28670.529793125956</v>
      </c>
      <c r="R102">
        <f t="shared" si="19"/>
        <v>718.19239832698361</v>
      </c>
      <c r="S102">
        <f t="shared" si="20"/>
        <v>37088.186000000002</v>
      </c>
    </row>
    <row r="103" spans="1:19" x14ac:dyDescent="0.3">
      <c r="A103" t="s">
        <v>13</v>
      </c>
      <c r="B103" t="s">
        <v>33</v>
      </c>
      <c r="C103" t="s">
        <v>15</v>
      </c>
      <c r="D103">
        <v>0</v>
      </c>
      <c r="E103">
        <v>8</v>
      </c>
      <c r="F103">
        <v>7</v>
      </c>
      <c r="G103">
        <v>20260423</v>
      </c>
      <c r="H103">
        <v>20260507</v>
      </c>
      <c r="I103">
        <v>1096.7913000000001</v>
      </c>
      <c r="J103">
        <f t="shared" si="11"/>
        <v>15</v>
      </c>
      <c r="K103">
        <f t="shared" si="12"/>
        <v>73.119420000000005</v>
      </c>
      <c r="L103">
        <f t="shared" si="13"/>
        <v>0</v>
      </c>
      <c r="M103">
        <f t="shared" si="14"/>
        <v>584.95536000000004</v>
      </c>
      <c r="N103">
        <f t="shared" si="15"/>
        <v>384.64236686691549</v>
      </c>
      <c r="O103">
        <f t="shared" si="16"/>
        <v>969.59772686691554</v>
      </c>
      <c r="P103">
        <f t="shared" si="17"/>
        <v>0</v>
      </c>
      <c r="Q103">
        <f t="shared" si="18"/>
        <v>661.69085586607287</v>
      </c>
      <c r="R103">
        <f t="shared" si="19"/>
        <v>435.10044413392723</v>
      </c>
      <c r="S103">
        <f t="shared" si="20"/>
        <v>1096.7913000000001</v>
      </c>
    </row>
    <row r="104" spans="1:19" x14ac:dyDescent="0.3">
      <c r="A104" t="s">
        <v>13</v>
      </c>
      <c r="B104" t="s">
        <v>33</v>
      </c>
      <c r="C104" t="s">
        <v>15</v>
      </c>
      <c r="D104">
        <v>9</v>
      </c>
      <c r="E104">
        <v>1</v>
      </c>
      <c r="F104">
        <v>0</v>
      </c>
      <c r="G104">
        <v>20260323</v>
      </c>
      <c r="H104">
        <v>20260401</v>
      </c>
      <c r="I104">
        <v>638.47479999999996</v>
      </c>
      <c r="J104">
        <f t="shared" si="11"/>
        <v>10</v>
      </c>
      <c r="K104">
        <f t="shared" si="12"/>
        <v>63.847479999999997</v>
      </c>
      <c r="L104">
        <f t="shared" si="13"/>
        <v>925.89616285426985</v>
      </c>
      <c r="M104">
        <f t="shared" si="14"/>
        <v>63.847479999999997</v>
      </c>
      <c r="N104">
        <f t="shared" si="15"/>
        <v>0</v>
      </c>
      <c r="O104">
        <f t="shared" si="16"/>
        <v>989.74364285426986</v>
      </c>
      <c r="P104">
        <f t="shared" si="17"/>
        <v>597.28735988071423</v>
      </c>
      <c r="Q104">
        <f t="shared" si="18"/>
        <v>41.187440119285768</v>
      </c>
      <c r="R104">
        <f t="shared" si="19"/>
        <v>0</v>
      </c>
      <c r="S104">
        <f t="shared" si="20"/>
        <v>638.47479999999996</v>
      </c>
    </row>
    <row r="105" spans="1:19" x14ac:dyDescent="0.3">
      <c r="A105" t="s">
        <v>13</v>
      </c>
      <c r="B105" t="s">
        <v>33</v>
      </c>
      <c r="C105" t="s">
        <v>15</v>
      </c>
      <c r="D105">
        <v>6</v>
      </c>
      <c r="E105">
        <v>30</v>
      </c>
      <c r="F105">
        <v>1</v>
      </c>
      <c r="G105">
        <v>20260326</v>
      </c>
      <c r="H105">
        <v>20260501</v>
      </c>
      <c r="I105">
        <v>1873.3857</v>
      </c>
      <c r="J105">
        <f t="shared" si="11"/>
        <v>37</v>
      </c>
      <c r="K105">
        <f t="shared" si="12"/>
        <v>50.632045945945947</v>
      </c>
      <c r="L105">
        <f t="shared" si="13"/>
        <v>489.50005083794952</v>
      </c>
      <c r="M105">
        <f t="shared" si="14"/>
        <v>1518.9613783783784</v>
      </c>
      <c r="N105">
        <f t="shared" si="15"/>
        <v>38.049750847826473</v>
      </c>
      <c r="O105">
        <f t="shared" si="16"/>
        <v>2046.5111800641544</v>
      </c>
      <c r="P105">
        <f t="shared" si="17"/>
        <v>448.09058671271987</v>
      </c>
      <c r="Q105">
        <f t="shared" si="18"/>
        <v>1390.4641972281527</v>
      </c>
      <c r="R105">
        <f t="shared" si="19"/>
        <v>34.83091605912773</v>
      </c>
      <c r="S105">
        <f t="shared" si="20"/>
        <v>1873.3857000000003</v>
      </c>
    </row>
    <row r="106" spans="1:19" x14ac:dyDescent="0.3">
      <c r="A106" t="s">
        <v>13</v>
      </c>
      <c r="B106" t="s">
        <v>24</v>
      </c>
      <c r="C106" t="s">
        <v>15</v>
      </c>
      <c r="D106">
        <v>2</v>
      </c>
      <c r="E106">
        <v>30</v>
      </c>
      <c r="F106">
        <v>1</v>
      </c>
      <c r="G106">
        <v>20260330</v>
      </c>
      <c r="H106">
        <v>20260501</v>
      </c>
      <c r="I106">
        <v>4498.4971999999998</v>
      </c>
      <c r="J106">
        <f t="shared" si="11"/>
        <v>33</v>
      </c>
      <c r="K106">
        <f t="shared" si="12"/>
        <v>136.31809696969697</v>
      </c>
      <c r="L106">
        <f t="shared" si="13"/>
        <v>439.2983017648333</v>
      </c>
      <c r="M106">
        <f t="shared" si="14"/>
        <v>4089.5429090909092</v>
      </c>
      <c r="N106">
        <f t="shared" si="15"/>
        <v>102.44242611258979</v>
      </c>
      <c r="O106">
        <f t="shared" si="16"/>
        <v>4631.2836369683318</v>
      </c>
      <c r="P106">
        <f t="shared" si="17"/>
        <v>426.70290471509082</v>
      </c>
      <c r="Q106">
        <f t="shared" si="18"/>
        <v>3972.2890602027501</v>
      </c>
      <c r="R106">
        <f t="shared" si="19"/>
        <v>99.505235082159402</v>
      </c>
      <c r="S106">
        <f t="shared" si="20"/>
        <v>4498.4972000000007</v>
      </c>
    </row>
    <row r="107" spans="1:19" x14ac:dyDescent="0.3">
      <c r="A107" t="s">
        <v>13</v>
      </c>
      <c r="B107" t="s">
        <v>24</v>
      </c>
      <c r="C107" t="s">
        <v>15</v>
      </c>
      <c r="D107">
        <v>8</v>
      </c>
      <c r="E107">
        <v>3</v>
      </c>
      <c r="F107">
        <v>0</v>
      </c>
      <c r="G107">
        <v>20260324</v>
      </c>
      <c r="H107">
        <v>20260403</v>
      </c>
      <c r="I107">
        <v>5776.1189000000004</v>
      </c>
      <c r="J107">
        <f t="shared" si="11"/>
        <v>11</v>
      </c>
      <c r="K107">
        <f t="shared" si="12"/>
        <v>525.10171818181823</v>
      </c>
      <c r="L107">
        <f t="shared" si="13"/>
        <v>6768.7650628616784</v>
      </c>
      <c r="M107">
        <f t="shared" si="14"/>
        <v>1575.3051545454546</v>
      </c>
      <c r="N107">
        <f t="shared" si="15"/>
        <v>0</v>
      </c>
      <c r="O107">
        <f t="shared" si="16"/>
        <v>8344.0702174071339</v>
      </c>
      <c r="P107">
        <f t="shared" si="17"/>
        <v>4685.6259344140835</v>
      </c>
      <c r="Q107">
        <f t="shared" si="18"/>
        <v>1090.4929655859157</v>
      </c>
      <c r="R107">
        <f t="shared" si="19"/>
        <v>0</v>
      </c>
      <c r="S107">
        <f t="shared" si="20"/>
        <v>5776.1188999999995</v>
      </c>
    </row>
    <row r="108" spans="1:19" x14ac:dyDescent="0.3">
      <c r="A108" t="s">
        <v>13</v>
      </c>
      <c r="B108" t="s">
        <v>33</v>
      </c>
      <c r="C108" t="s">
        <v>15</v>
      </c>
      <c r="D108">
        <v>0</v>
      </c>
      <c r="E108">
        <v>9</v>
      </c>
      <c r="F108">
        <v>2</v>
      </c>
      <c r="G108">
        <v>20260422</v>
      </c>
      <c r="H108">
        <v>20260502</v>
      </c>
      <c r="I108">
        <v>759.45929999999998</v>
      </c>
      <c r="J108">
        <f t="shared" si="11"/>
        <v>11</v>
      </c>
      <c r="K108">
        <f t="shared" si="12"/>
        <v>69.041754545454538</v>
      </c>
      <c r="L108">
        <f t="shared" si="13"/>
        <v>0</v>
      </c>
      <c r="M108">
        <f t="shared" si="14"/>
        <v>621.37579090909082</v>
      </c>
      <c r="N108">
        <f t="shared" si="15"/>
        <v>103.76912524356243</v>
      </c>
      <c r="O108">
        <f t="shared" si="16"/>
        <v>725.1449161526532</v>
      </c>
      <c r="P108">
        <f t="shared" si="17"/>
        <v>0</v>
      </c>
      <c r="Q108">
        <f t="shared" si="18"/>
        <v>650.77974441928086</v>
      </c>
      <c r="R108">
        <f t="shared" si="19"/>
        <v>108.67955558071922</v>
      </c>
      <c r="S108">
        <f t="shared" si="20"/>
        <v>759.4593000000001</v>
      </c>
    </row>
    <row r="109" spans="1:19" x14ac:dyDescent="0.3">
      <c r="A109" t="s">
        <v>13</v>
      </c>
      <c r="B109" t="s">
        <v>33</v>
      </c>
      <c r="C109" t="s">
        <v>15</v>
      </c>
      <c r="D109">
        <v>8</v>
      </c>
      <c r="E109">
        <v>5</v>
      </c>
      <c r="F109">
        <v>0</v>
      </c>
      <c r="G109">
        <v>20260324</v>
      </c>
      <c r="H109">
        <v>20260405</v>
      </c>
      <c r="I109">
        <v>292.23660000000001</v>
      </c>
      <c r="J109">
        <f t="shared" si="11"/>
        <v>13</v>
      </c>
      <c r="K109">
        <f t="shared" si="12"/>
        <v>22.479738461538464</v>
      </c>
      <c r="L109">
        <f t="shared" si="13"/>
        <v>289.77255844370245</v>
      </c>
      <c r="M109">
        <f t="shared" si="14"/>
        <v>112.39869230769231</v>
      </c>
      <c r="N109">
        <f t="shared" si="15"/>
        <v>0</v>
      </c>
      <c r="O109">
        <f t="shared" si="16"/>
        <v>402.17125075139478</v>
      </c>
      <c r="P109">
        <f t="shared" si="17"/>
        <v>210.56240866216422</v>
      </c>
      <c r="Q109">
        <f t="shared" si="18"/>
        <v>81.674191337835794</v>
      </c>
      <c r="R109">
        <f t="shared" si="19"/>
        <v>0</v>
      </c>
      <c r="S109">
        <f t="shared" si="20"/>
        <v>292.23660000000001</v>
      </c>
    </row>
    <row r="110" spans="1:19" x14ac:dyDescent="0.3">
      <c r="A110" t="s">
        <v>13</v>
      </c>
      <c r="B110" t="s">
        <v>33</v>
      </c>
      <c r="C110" t="s">
        <v>15</v>
      </c>
      <c r="D110">
        <v>2</v>
      </c>
      <c r="E110">
        <v>30</v>
      </c>
      <c r="F110">
        <v>4</v>
      </c>
      <c r="G110">
        <v>20260330</v>
      </c>
      <c r="H110">
        <v>20260504</v>
      </c>
      <c r="I110">
        <v>8324.7579000000005</v>
      </c>
      <c r="J110">
        <f t="shared" si="11"/>
        <v>36</v>
      </c>
      <c r="K110">
        <f t="shared" si="12"/>
        <v>231.24327500000001</v>
      </c>
      <c r="L110">
        <f t="shared" si="13"/>
        <v>745.2039036652651</v>
      </c>
      <c r="M110">
        <f t="shared" si="14"/>
        <v>6937.2982500000007</v>
      </c>
      <c r="N110">
        <f t="shared" si="15"/>
        <v>695.11305218665984</v>
      </c>
      <c r="O110">
        <f t="shared" si="16"/>
        <v>8377.6152058519256</v>
      </c>
      <c r="P110">
        <f t="shared" si="17"/>
        <v>740.50215147323684</v>
      </c>
      <c r="Q110">
        <f t="shared" si="18"/>
        <v>6893.5284078222248</v>
      </c>
      <c r="R110">
        <f t="shared" si="19"/>
        <v>690.72734070453896</v>
      </c>
      <c r="S110">
        <f t="shared" si="20"/>
        <v>8324.7579000000005</v>
      </c>
    </row>
    <row r="111" spans="1:19" x14ac:dyDescent="0.3">
      <c r="A111" t="s">
        <v>13</v>
      </c>
      <c r="B111" t="s">
        <v>33</v>
      </c>
      <c r="C111" t="s">
        <v>15</v>
      </c>
      <c r="D111">
        <v>11</v>
      </c>
      <c r="E111">
        <v>4</v>
      </c>
      <c r="F111">
        <v>0</v>
      </c>
      <c r="G111">
        <v>20260321</v>
      </c>
      <c r="H111">
        <v>20260404</v>
      </c>
      <c r="I111">
        <v>776.37260000000003</v>
      </c>
      <c r="J111">
        <f t="shared" si="11"/>
        <v>15</v>
      </c>
      <c r="K111">
        <f t="shared" si="12"/>
        <v>51.758173333333339</v>
      </c>
      <c r="L111">
        <f t="shared" si="13"/>
        <v>917.37656145982567</v>
      </c>
      <c r="M111">
        <f t="shared" si="14"/>
        <v>207.03269333333336</v>
      </c>
      <c r="N111">
        <f t="shared" si="15"/>
        <v>0</v>
      </c>
      <c r="O111">
        <f t="shared" si="16"/>
        <v>1124.4092547931591</v>
      </c>
      <c r="P111">
        <f t="shared" si="17"/>
        <v>633.4224155159967</v>
      </c>
      <c r="Q111">
        <f t="shared" si="18"/>
        <v>142.95018448400324</v>
      </c>
      <c r="R111">
        <f t="shared" si="19"/>
        <v>0</v>
      </c>
      <c r="S111">
        <f t="shared" si="20"/>
        <v>776.37259999999992</v>
      </c>
    </row>
    <row r="112" spans="1:19" x14ac:dyDescent="0.3">
      <c r="A112" t="s">
        <v>13</v>
      </c>
      <c r="B112" t="s">
        <v>24</v>
      </c>
      <c r="C112" t="s">
        <v>15</v>
      </c>
      <c r="D112">
        <v>12</v>
      </c>
      <c r="E112">
        <v>7</v>
      </c>
      <c r="F112">
        <v>0</v>
      </c>
      <c r="G112">
        <v>20260320</v>
      </c>
      <c r="H112">
        <v>20260407</v>
      </c>
      <c r="I112">
        <v>1863.5912000000001</v>
      </c>
      <c r="J112">
        <f t="shared" si="11"/>
        <v>19</v>
      </c>
      <c r="K112">
        <f t="shared" si="12"/>
        <v>98.083747368421058</v>
      </c>
      <c r="L112">
        <f t="shared" si="13"/>
        <v>1896.5063894307423</v>
      </c>
      <c r="M112">
        <f t="shared" si="14"/>
        <v>686.58623157894738</v>
      </c>
      <c r="N112">
        <f t="shared" si="15"/>
        <v>0</v>
      </c>
      <c r="O112">
        <f t="shared" si="16"/>
        <v>2583.0926210096895</v>
      </c>
      <c r="P112">
        <f t="shared" si="17"/>
        <v>1368.2485054312137</v>
      </c>
      <c r="Q112">
        <f t="shared" si="18"/>
        <v>495.34269456878633</v>
      </c>
      <c r="R112">
        <f t="shared" si="19"/>
        <v>0</v>
      </c>
      <c r="S112">
        <f t="shared" si="20"/>
        <v>1863.5912000000001</v>
      </c>
    </row>
    <row r="113" spans="1:19" x14ac:dyDescent="0.3">
      <c r="A113" t="s">
        <v>13</v>
      </c>
      <c r="B113" t="s">
        <v>33</v>
      </c>
      <c r="C113" t="s">
        <v>15</v>
      </c>
      <c r="D113">
        <v>0</v>
      </c>
      <c r="E113">
        <v>30</v>
      </c>
      <c r="F113">
        <v>6</v>
      </c>
      <c r="G113">
        <v>20260401</v>
      </c>
      <c r="H113">
        <v>20260506</v>
      </c>
      <c r="I113">
        <v>67719.3894</v>
      </c>
      <c r="J113">
        <f t="shared" si="11"/>
        <v>36</v>
      </c>
      <c r="K113">
        <f t="shared" si="12"/>
        <v>1881.0941499999999</v>
      </c>
      <c r="L113">
        <f t="shared" si="13"/>
        <v>0</v>
      </c>
      <c r="M113">
        <f t="shared" si="14"/>
        <v>56432.824499999995</v>
      </c>
      <c r="N113">
        <f t="shared" si="15"/>
        <v>8481.8018776349527</v>
      </c>
      <c r="O113">
        <f t="shared" si="16"/>
        <v>64914.626377634951</v>
      </c>
      <c r="P113">
        <f t="shared" si="17"/>
        <v>0</v>
      </c>
      <c r="Q113">
        <f t="shared" si="18"/>
        <v>58871.114731918336</v>
      </c>
      <c r="R113">
        <f t="shared" si="19"/>
        <v>8848.2746680816545</v>
      </c>
      <c r="S113">
        <f t="shared" si="20"/>
        <v>67719.389399999985</v>
      </c>
    </row>
    <row r="114" spans="1:19" x14ac:dyDescent="0.3">
      <c r="A114" t="s">
        <v>13</v>
      </c>
      <c r="B114" t="s">
        <v>33</v>
      </c>
      <c r="C114" t="s">
        <v>15</v>
      </c>
      <c r="D114">
        <v>0</v>
      </c>
      <c r="E114">
        <v>20</v>
      </c>
      <c r="F114">
        <v>2</v>
      </c>
      <c r="G114">
        <v>20260411</v>
      </c>
      <c r="H114">
        <v>20260502</v>
      </c>
      <c r="I114">
        <v>10555.4583</v>
      </c>
      <c r="J114">
        <f t="shared" si="11"/>
        <v>22</v>
      </c>
      <c r="K114">
        <f t="shared" si="12"/>
        <v>479.79355909090913</v>
      </c>
      <c r="L114">
        <f t="shared" si="13"/>
        <v>0</v>
      </c>
      <c r="M114">
        <f t="shared" si="14"/>
        <v>9595.8711818181819</v>
      </c>
      <c r="N114">
        <f t="shared" si="15"/>
        <v>721.12532846454098</v>
      </c>
      <c r="O114">
        <f t="shared" si="16"/>
        <v>10316.996510282723</v>
      </c>
      <c r="P114">
        <f t="shared" si="17"/>
        <v>0</v>
      </c>
      <c r="Q114">
        <f t="shared" si="18"/>
        <v>9817.6652488833552</v>
      </c>
      <c r="R114">
        <f t="shared" si="19"/>
        <v>737.79305111664462</v>
      </c>
      <c r="S114">
        <f t="shared" si="20"/>
        <v>10555.4583</v>
      </c>
    </row>
    <row r="115" spans="1:19" x14ac:dyDescent="0.3">
      <c r="A115" t="s">
        <v>13</v>
      </c>
      <c r="B115" t="s">
        <v>33</v>
      </c>
      <c r="C115" t="s">
        <v>15</v>
      </c>
      <c r="D115">
        <v>0</v>
      </c>
      <c r="E115">
        <v>7</v>
      </c>
      <c r="F115">
        <v>6</v>
      </c>
      <c r="G115">
        <v>20260424</v>
      </c>
      <c r="H115">
        <v>20260506</v>
      </c>
      <c r="I115">
        <v>801.16340000000002</v>
      </c>
      <c r="J115">
        <f t="shared" si="11"/>
        <v>13</v>
      </c>
      <c r="K115">
        <f t="shared" si="12"/>
        <v>61.627953846153851</v>
      </c>
      <c r="L115">
        <f t="shared" si="13"/>
        <v>0</v>
      </c>
      <c r="M115">
        <f t="shared" si="14"/>
        <v>431.39567692307696</v>
      </c>
      <c r="N115">
        <f t="shared" si="15"/>
        <v>277.87875192058192</v>
      </c>
      <c r="O115">
        <f t="shared" si="16"/>
        <v>709.27442884365882</v>
      </c>
      <c r="P115">
        <f t="shared" si="17"/>
        <v>0</v>
      </c>
      <c r="Q115">
        <f t="shared" si="18"/>
        <v>487.28448850533215</v>
      </c>
      <c r="R115">
        <f t="shared" si="19"/>
        <v>313.87891149466793</v>
      </c>
      <c r="S115">
        <f t="shared" si="20"/>
        <v>801.16340000000014</v>
      </c>
    </row>
    <row r="116" spans="1:19" x14ac:dyDescent="0.3">
      <c r="A116" t="s">
        <v>13</v>
      </c>
      <c r="B116" t="s">
        <v>24</v>
      </c>
      <c r="C116" t="s">
        <v>15</v>
      </c>
      <c r="D116">
        <v>18</v>
      </c>
      <c r="E116">
        <v>8</v>
      </c>
      <c r="F116">
        <v>0</v>
      </c>
      <c r="G116">
        <v>20260314</v>
      </c>
      <c r="H116">
        <v>20260408</v>
      </c>
      <c r="I116">
        <v>961.85220000000004</v>
      </c>
      <c r="J116">
        <f t="shared" si="11"/>
        <v>26</v>
      </c>
      <c r="K116">
        <f t="shared" si="12"/>
        <v>36.994315384615383</v>
      </c>
      <c r="L116">
        <f t="shared" si="13"/>
        <v>1072.9599558834921</v>
      </c>
      <c r="M116">
        <f t="shared" si="14"/>
        <v>295.95452307692307</v>
      </c>
      <c r="N116">
        <f t="shared" si="15"/>
        <v>0</v>
      </c>
      <c r="O116">
        <f t="shared" si="16"/>
        <v>1368.9144789604152</v>
      </c>
      <c r="P116">
        <f t="shared" si="17"/>
        <v>753.90311808388935</v>
      </c>
      <c r="Q116">
        <f t="shared" si="18"/>
        <v>207.9490819161106</v>
      </c>
      <c r="R116">
        <f t="shared" si="19"/>
        <v>0</v>
      </c>
      <c r="S116">
        <f t="shared" si="20"/>
        <v>961.85219999999993</v>
      </c>
    </row>
    <row r="117" spans="1:19" x14ac:dyDescent="0.3">
      <c r="A117" t="s">
        <v>13</v>
      </c>
      <c r="B117" t="s">
        <v>33</v>
      </c>
      <c r="C117" t="s">
        <v>15</v>
      </c>
      <c r="D117">
        <v>0</v>
      </c>
      <c r="E117">
        <v>8</v>
      </c>
      <c r="F117">
        <v>3</v>
      </c>
      <c r="G117">
        <v>20260423</v>
      </c>
      <c r="H117">
        <v>20260503</v>
      </c>
      <c r="I117">
        <v>1138.8688999999999</v>
      </c>
      <c r="J117">
        <f t="shared" si="11"/>
        <v>11</v>
      </c>
      <c r="K117">
        <f t="shared" si="12"/>
        <v>103.53353636363636</v>
      </c>
      <c r="L117">
        <f t="shared" si="13"/>
        <v>0</v>
      </c>
      <c r="M117">
        <f t="shared" si="14"/>
        <v>828.26829090909087</v>
      </c>
      <c r="N117">
        <f t="shared" si="15"/>
        <v>233.41493649514499</v>
      </c>
      <c r="O117">
        <f t="shared" si="16"/>
        <v>1061.6832274042358</v>
      </c>
      <c r="P117">
        <f t="shared" si="17"/>
        <v>0</v>
      </c>
      <c r="Q117">
        <f t="shared" si="18"/>
        <v>888.48441138023088</v>
      </c>
      <c r="R117">
        <f t="shared" si="19"/>
        <v>250.38448861976909</v>
      </c>
      <c r="S117">
        <f t="shared" si="20"/>
        <v>1138.8688999999999</v>
      </c>
    </row>
    <row r="118" spans="1:19" x14ac:dyDescent="0.3">
      <c r="A118" t="s">
        <v>13</v>
      </c>
      <c r="B118" t="s">
        <v>33</v>
      </c>
      <c r="C118" t="s">
        <v>15</v>
      </c>
      <c r="D118">
        <v>0</v>
      </c>
      <c r="E118">
        <v>7</v>
      </c>
      <c r="F118">
        <v>1</v>
      </c>
      <c r="G118">
        <v>20260424</v>
      </c>
      <c r="H118">
        <v>20260501</v>
      </c>
      <c r="I118">
        <v>9866.4971000000005</v>
      </c>
      <c r="J118">
        <f t="shared" si="11"/>
        <v>8</v>
      </c>
      <c r="K118">
        <f t="shared" si="12"/>
        <v>1233.3121375000001</v>
      </c>
      <c r="L118">
        <f t="shared" si="13"/>
        <v>0</v>
      </c>
      <c r="M118">
        <f t="shared" si="14"/>
        <v>8633.1849624999995</v>
      </c>
      <c r="N118">
        <f t="shared" si="15"/>
        <v>926.82842797966612</v>
      </c>
      <c r="O118">
        <f t="shared" si="16"/>
        <v>9560.0133904796658</v>
      </c>
      <c r="P118">
        <f t="shared" si="17"/>
        <v>0</v>
      </c>
      <c r="Q118">
        <f t="shared" si="18"/>
        <v>8909.955553105774</v>
      </c>
      <c r="R118">
        <f t="shared" si="19"/>
        <v>956.54154689422614</v>
      </c>
      <c r="S118">
        <f t="shared" si="20"/>
        <v>9866.4971000000005</v>
      </c>
    </row>
    <row r="119" spans="1:19" x14ac:dyDescent="0.3">
      <c r="A119" t="s">
        <v>13</v>
      </c>
      <c r="B119" t="s">
        <v>33</v>
      </c>
      <c r="C119" t="s">
        <v>14</v>
      </c>
      <c r="D119">
        <v>0</v>
      </c>
      <c r="E119">
        <v>7</v>
      </c>
      <c r="F119">
        <v>15</v>
      </c>
      <c r="G119">
        <v>20260424</v>
      </c>
      <c r="H119">
        <v>20260515</v>
      </c>
      <c r="I119">
        <v>26355.294000000002</v>
      </c>
      <c r="J119">
        <f t="shared" si="11"/>
        <v>22</v>
      </c>
      <c r="K119">
        <f t="shared" si="12"/>
        <v>1197.9679090909092</v>
      </c>
      <c r="L119">
        <f t="shared" si="13"/>
        <v>0</v>
      </c>
      <c r="M119">
        <f t="shared" si="14"/>
        <v>8385.775363636365</v>
      </c>
      <c r="N119">
        <f t="shared" si="15"/>
        <v>13504.011030858945</v>
      </c>
      <c r="O119">
        <f t="shared" si="16"/>
        <v>21889.78639449531</v>
      </c>
      <c r="P119">
        <f t="shared" si="17"/>
        <v>0</v>
      </c>
      <c r="Q119">
        <f t="shared" si="18"/>
        <v>10096.470159351178</v>
      </c>
      <c r="R119">
        <f t="shared" si="19"/>
        <v>16258.823840648822</v>
      </c>
      <c r="S119">
        <f t="shared" si="20"/>
        <v>26355.294000000002</v>
      </c>
    </row>
    <row r="120" spans="1:19" x14ac:dyDescent="0.3">
      <c r="A120" t="s">
        <v>13</v>
      </c>
      <c r="B120" t="s">
        <v>24</v>
      </c>
      <c r="C120" t="s">
        <v>15</v>
      </c>
      <c r="D120">
        <v>1</v>
      </c>
      <c r="E120">
        <v>30</v>
      </c>
      <c r="F120">
        <v>7</v>
      </c>
      <c r="G120">
        <v>20260331</v>
      </c>
      <c r="H120">
        <v>20260507</v>
      </c>
      <c r="I120">
        <v>59.930599999999998</v>
      </c>
      <c r="J120">
        <f t="shared" si="11"/>
        <v>38</v>
      </c>
      <c r="K120">
        <f t="shared" si="12"/>
        <v>1.5771210526315789</v>
      </c>
      <c r="L120">
        <f t="shared" si="13"/>
        <v>2.5412128525115478</v>
      </c>
      <c r="M120">
        <f t="shared" si="14"/>
        <v>47.313631578947366</v>
      </c>
      <c r="N120">
        <f t="shared" si="15"/>
        <v>8.2963947815758328</v>
      </c>
      <c r="O120">
        <f t="shared" si="16"/>
        <v>58.151239213034749</v>
      </c>
      <c r="P120">
        <f t="shared" si="17"/>
        <v>2.6189710320840578</v>
      </c>
      <c r="Q120">
        <f t="shared" si="18"/>
        <v>48.761374083833296</v>
      </c>
      <c r="R120">
        <f t="shared" si="19"/>
        <v>8.550254884082646</v>
      </c>
      <c r="S120">
        <f t="shared" si="20"/>
        <v>59.930599999999998</v>
      </c>
    </row>
    <row r="121" spans="1:19" x14ac:dyDescent="0.3">
      <c r="A121" t="s">
        <v>13</v>
      </c>
      <c r="B121" t="s">
        <v>33</v>
      </c>
      <c r="C121" t="s">
        <v>15</v>
      </c>
      <c r="D121">
        <v>20</v>
      </c>
      <c r="E121">
        <v>5</v>
      </c>
      <c r="F121">
        <v>0</v>
      </c>
      <c r="G121">
        <v>20260312</v>
      </c>
      <c r="H121">
        <v>20260405</v>
      </c>
      <c r="I121">
        <v>58.944499999999998</v>
      </c>
      <c r="J121">
        <f t="shared" si="11"/>
        <v>25</v>
      </c>
      <c r="K121">
        <f t="shared" si="12"/>
        <v>2.35778</v>
      </c>
      <c r="L121">
        <f t="shared" si="13"/>
        <v>75.98174952261374</v>
      </c>
      <c r="M121">
        <f t="shared" si="14"/>
        <v>11.7889</v>
      </c>
      <c r="N121">
        <f t="shared" si="15"/>
        <v>0</v>
      </c>
      <c r="O121">
        <f t="shared" si="16"/>
        <v>87.770649522613738</v>
      </c>
      <c r="P121">
        <f t="shared" si="17"/>
        <v>51.027379415504782</v>
      </c>
      <c r="Q121">
        <f t="shared" si="18"/>
        <v>7.9171205844952102</v>
      </c>
      <c r="R121">
        <f t="shared" si="19"/>
        <v>0</v>
      </c>
      <c r="S121">
        <f t="shared" si="20"/>
        <v>58.944499999999991</v>
      </c>
    </row>
    <row r="122" spans="1:19" x14ac:dyDescent="0.3">
      <c r="A122" t="s">
        <v>13</v>
      </c>
      <c r="B122" t="s">
        <v>33</v>
      </c>
      <c r="C122" t="s">
        <v>14</v>
      </c>
      <c r="D122">
        <v>0</v>
      </c>
      <c r="E122">
        <v>13</v>
      </c>
      <c r="F122">
        <v>0</v>
      </c>
      <c r="G122">
        <v>20260403</v>
      </c>
      <c r="H122">
        <v>20260415</v>
      </c>
      <c r="I122">
        <v>42.108199999999997</v>
      </c>
      <c r="J122">
        <f t="shared" si="11"/>
        <v>13</v>
      </c>
      <c r="K122">
        <f t="shared" si="12"/>
        <v>3.2390923076923075</v>
      </c>
      <c r="L122">
        <f t="shared" si="13"/>
        <v>0</v>
      </c>
      <c r="M122">
        <f t="shared" si="14"/>
        <v>42.108199999999997</v>
      </c>
      <c r="N122">
        <f t="shared" si="15"/>
        <v>0</v>
      </c>
      <c r="O122">
        <f t="shared" si="16"/>
        <v>42.108199999999997</v>
      </c>
      <c r="P122">
        <f t="shared" si="17"/>
        <v>0</v>
      </c>
      <c r="Q122">
        <f t="shared" si="18"/>
        <v>42.108199999999997</v>
      </c>
      <c r="R122">
        <f t="shared" si="19"/>
        <v>0</v>
      </c>
      <c r="S122">
        <f t="shared" si="20"/>
        <v>42.108199999999997</v>
      </c>
    </row>
    <row r="123" spans="1:19" x14ac:dyDescent="0.3">
      <c r="A123" t="s">
        <v>13</v>
      </c>
      <c r="B123" t="s">
        <v>33</v>
      </c>
      <c r="C123" t="s">
        <v>14</v>
      </c>
      <c r="D123">
        <v>7</v>
      </c>
      <c r="E123">
        <v>3</v>
      </c>
      <c r="F123">
        <v>0</v>
      </c>
      <c r="G123">
        <v>20260325</v>
      </c>
      <c r="H123">
        <v>20260403</v>
      </c>
      <c r="I123">
        <v>50.681600000000003</v>
      </c>
      <c r="J123">
        <f t="shared" si="11"/>
        <v>10</v>
      </c>
      <c r="K123">
        <f t="shared" si="12"/>
        <v>5.0681600000000007</v>
      </c>
      <c r="L123">
        <f t="shared" si="13"/>
        <v>57.164231726957368</v>
      </c>
      <c r="M123">
        <f t="shared" si="14"/>
        <v>15.204480000000002</v>
      </c>
      <c r="N123">
        <f t="shared" si="15"/>
        <v>0</v>
      </c>
      <c r="O123">
        <f t="shared" si="16"/>
        <v>72.368711726957372</v>
      </c>
      <c r="P123">
        <f t="shared" si="17"/>
        <v>40.03352633419567</v>
      </c>
      <c r="Q123">
        <f t="shared" si="18"/>
        <v>10.648073665804334</v>
      </c>
      <c r="R123">
        <f t="shared" si="19"/>
        <v>0</v>
      </c>
      <c r="S123">
        <f t="shared" si="20"/>
        <v>50.681600000000003</v>
      </c>
    </row>
    <row r="124" spans="1:19" x14ac:dyDescent="0.3">
      <c r="A124" t="s">
        <v>13</v>
      </c>
      <c r="B124" t="s">
        <v>24</v>
      </c>
      <c r="C124" t="s">
        <v>15</v>
      </c>
      <c r="D124">
        <v>14</v>
      </c>
      <c r="E124">
        <v>6</v>
      </c>
      <c r="F124">
        <v>0</v>
      </c>
      <c r="G124">
        <v>20260318</v>
      </c>
      <c r="H124">
        <v>20260406</v>
      </c>
      <c r="I124">
        <v>294.92340000000002</v>
      </c>
      <c r="J124">
        <f t="shared" si="11"/>
        <v>20</v>
      </c>
      <c r="K124">
        <f t="shared" si="12"/>
        <v>14.746170000000001</v>
      </c>
      <c r="L124">
        <f t="shared" si="13"/>
        <v>332.64675107538307</v>
      </c>
      <c r="M124">
        <f t="shared" si="14"/>
        <v>88.47702000000001</v>
      </c>
      <c r="N124">
        <f t="shared" si="15"/>
        <v>0</v>
      </c>
      <c r="O124">
        <f t="shared" si="16"/>
        <v>421.12377107538305</v>
      </c>
      <c r="P124">
        <f t="shared" si="17"/>
        <v>232.96075302418478</v>
      </c>
      <c r="Q124">
        <f t="shared" si="18"/>
        <v>61.962646975815268</v>
      </c>
      <c r="R124">
        <f t="shared" si="19"/>
        <v>0</v>
      </c>
      <c r="S124">
        <f t="shared" si="20"/>
        <v>294.92340000000007</v>
      </c>
    </row>
    <row r="125" spans="1:19" x14ac:dyDescent="0.3">
      <c r="A125" t="s">
        <v>13</v>
      </c>
      <c r="B125" t="s">
        <v>33</v>
      </c>
      <c r="C125" t="s">
        <v>15</v>
      </c>
      <c r="D125">
        <v>16</v>
      </c>
      <c r="E125">
        <v>9</v>
      </c>
      <c r="F125">
        <v>0</v>
      </c>
      <c r="G125">
        <v>20260316</v>
      </c>
      <c r="H125">
        <v>20260409</v>
      </c>
      <c r="I125">
        <v>6549.4341999999997</v>
      </c>
      <c r="J125">
        <f t="shared" si="11"/>
        <v>25</v>
      </c>
      <c r="K125">
        <f t="shared" si="12"/>
        <v>261.97736800000001</v>
      </c>
      <c r="L125">
        <f t="shared" si="13"/>
        <v>6753.9800171244497</v>
      </c>
      <c r="M125">
        <f t="shared" si="14"/>
        <v>2357.7963119999999</v>
      </c>
      <c r="N125">
        <f t="shared" si="15"/>
        <v>0</v>
      </c>
      <c r="O125">
        <f t="shared" si="16"/>
        <v>9111.7763291244501</v>
      </c>
      <c r="P125">
        <f t="shared" si="17"/>
        <v>4854.6788367578338</v>
      </c>
      <c r="Q125">
        <f t="shared" si="18"/>
        <v>1694.7553632421652</v>
      </c>
      <c r="R125">
        <f t="shared" si="19"/>
        <v>0</v>
      </c>
      <c r="S125">
        <f t="shared" si="20"/>
        <v>6549.4341999999988</v>
      </c>
    </row>
    <row r="126" spans="1:19" x14ac:dyDescent="0.3">
      <c r="A126" t="s">
        <v>13</v>
      </c>
      <c r="B126" t="s">
        <v>33</v>
      </c>
      <c r="C126" t="s">
        <v>14</v>
      </c>
      <c r="D126">
        <v>0</v>
      </c>
      <c r="E126">
        <v>16</v>
      </c>
      <c r="F126">
        <v>4</v>
      </c>
      <c r="G126">
        <v>20260415</v>
      </c>
      <c r="H126">
        <v>20260504</v>
      </c>
      <c r="I126">
        <v>13849.0854</v>
      </c>
      <c r="J126">
        <f t="shared" si="11"/>
        <v>20</v>
      </c>
      <c r="K126">
        <f t="shared" si="12"/>
        <v>692.45426999999995</v>
      </c>
      <c r="L126">
        <f t="shared" si="13"/>
        <v>0</v>
      </c>
      <c r="M126">
        <f t="shared" si="14"/>
        <v>11079.268319999999</v>
      </c>
      <c r="N126">
        <f t="shared" si="15"/>
        <v>2081.50486157656</v>
      </c>
      <c r="O126">
        <f t="shared" si="16"/>
        <v>13160.773181576558</v>
      </c>
      <c r="P126">
        <f t="shared" si="17"/>
        <v>0</v>
      </c>
      <c r="Q126">
        <f t="shared" si="18"/>
        <v>11658.717236156628</v>
      </c>
      <c r="R126">
        <f t="shared" si="19"/>
        <v>2190.3681638433732</v>
      </c>
      <c r="S126">
        <f t="shared" si="20"/>
        <v>13849.085400000002</v>
      </c>
    </row>
    <row r="127" spans="1:19" x14ac:dyDescent="0.3">
      <c r="A127" t="s">
        <v>13</v>
      </c>
      <c r="B127" t="s">
        <v>33</v>
      </c>
      <c r="C127" t="s">
        <v>14</v>
      </c>
      <c r="D127">
        <v>0</v>
      </c>
      <c r="E127">
        <v>27</v>
      </c>
      <c r="F127">
        <v>4</v>
      </c>
      <c r="G127">
        <v>20260404</v>
      </c>
      <c r="H127">
        <v>20260504</v>
      </c>
      <c r="I127">
        <v>1833338.2575000001</v>
      </c>
      <c r="J127">
        <f t="shared" si="11"/>
        <v>31</v>
      </c>
      <c r="K127">
        <f t="shared" si="12"/>
        <v>59139.943790322584</v>
      </c>
      <c r="L127">
        <f t="shared" si="13"/>
        <v>0</v>
      </c>
      <c r="M127">
        <f t="shared" si="14"/>
        <v>1596778.4823387098</v>
      </c>
      <c r="N127">
        <f t="shared" si="15"/>
        <v>177773.58859079742</v>
      </c>
      <c r="O127">
        <f t="shared" si="16"/>
        <v>1774552.0709295073</v>
      </c>
      <c r="P127">
        <f t="shared" si="17"/>
        <v>0</v>
      </c>
      <c r="Q127">
        <f t="shared" si="18"/>
        <v>1649675.5031206042</v>
      </c>
      <c r="R127">
        <f t="shared" si="19"/>
        <v>183662.75437939589</v>
      </c>
      <c r="S127">
        <f t="shared" si="20"/>
        <v>1833338.2575000001</v>
      </c>
    </row>
    <row r="128" spans="1:19" x14ac:dyDescent="0.3">
      <c r="A128" t="s">
        <v>13</v>
      </c>
      <c r="B128" t="s">
        <v>33</v>
      </c>
      <c r="C128" t="s">
        <v>15</v>
      </c>
      <c r="D128">
        <v>0</v>
      </c>
      <c r="E128">
        <v>29</v>
      </c>
      <c r="F128">
        <v>1</v>
      </c>
      <c r="G128">
        <v>20260402</v>
      </c>
      <c r="H128">
        <v>20260501</v>
      </c>
      <c r="I128">
        <v>27546724.137200002</v>
      </c>
      <c r="J128">
        <f t="shared" si="11"/>
        <v>30</v>
      </c>
      <c r="K128">
        <f t="shared" si="12"/>
        <v>918224.13790666673</v>
      </c>
      <c r="L128">
        <f t="shared" si="13"/>
        <v>0</v>
      </c>
      <c r="M128">
        <f t="shared" si="14"/>
        <v>26628499.999293335</v>
      </c>
      <c r="N128">
        <f t="shared" si="15"/>
        <v>690041.23805521207</v>
      </c>
      <c r="O128">
        <f t="shared" si="16"/>
        <v>27318541.237348545</v>
      </c>
      <c r="P128">
        <f t="shared" si="17"/>
        <v>0</v>
      </c>
      <c r="Q128">
        <f t="shared" si="18"/>
        <v>26850919.208860286</v>
      </c>
      <c r="R128">
        <f t="shared" si="19"/>
        <v>695804.92833971605</v>
      </c>
      <c r="S128">
        <f t="shared" si="20"/>
        <v>27546724.137200002</v>
      </c>
    </row>
    <row r="129" spans="1:19" x14ac:dyDescent="0.3">
      <c r="A129" t="s">
        <v>13</v>
      </c>
      <c r="B129" t="s">
        <v>24</v>
      </c>
      <c r="C129" t="s">
        <v>15</v>
      </c>
      <c r="D129">
        <v>30</v>
      </c>
      <c r="E129">
        <v>1</v>
      </c>
      <c r="F129">
        <v>0</v>
      </c>
      <c r="G129">
        <v>20260302</v>
      </c>
      <c r="H129">
        <v>20260401</v>
      </c>
      <c r="I129">
        <v>23836591.8796</v>
      </c>
      <c r="J129">
        <f t="shared" si="11"/>
        <v>31</v>
      </c>
      <c r="K129">
        <f t="shared" si="12"/>
        <v>768922.31869677419</v>
      </c>
      <c r="L129">
        <f t="shared" si="13"/>
        <v>37168902.328609332</v>
      </c>
      <c r="M129">
        <f t="shared" si="14"/>
        <v>768922.31869677419</v>
      </c>
      <c r="N129">
        <f t="shared" si="15"/>
        <v>0</v>
      </c>
      <c r="O129">
        <f t="shared" si="16"/>
        <v>37937824.647306107</v>
      </c>
      <c r="P129">
        <f t="shared" si="17"/>
        <v>23353472.784915898</v>
      </c>
      <c r="Q129">
        <f t="shared" si="18"/>
        <v>483119.09468410182</v>
      </c>
      <c r="R129">
        <f t="shared" si="19"/>
        <v>0</v>
      </c>
      <c r="S129">
        <f t="shared" si="20"/>
        <v>23836591.8796</v>
      </c>
    </row>
    <row r="130" spans="1:19" x14ac:dyDescent="0.3">
      <c r="A130" t="s">
        <v>13</v>
      </c>
      <c r="B130" t="s">
        <v>24</v>
      </c>
      <c r="C130" t="s">
        <v>14</v>
      </c>
      <c r="D130">
        <v>27</v>
      </c>
      <c r="E130">
        <v>3</v>
      </c>
      <c r="F130">
        <v>0</v>
      </c>
      <c r="G130">
        <v>20260305</v>
      </c>
      <c r="H130">
        <v>20260403</v>
      </c>
      <c r="I130">
        <v>1710807.0245000001</v>
      </c>
      <c r="J130">
        <f t="shared" si="11"/>
        <v>30</v>
      </c>
      <c r="K130">
        <f t="shared" si="12"/>
        <v>57026.900816666668</v>
      </c>
      <c r="L130">
        <f t="shared" si="13"/>
        <v>2480958.7776505528</v>
      </c>
      <c r="M130">
        <f t="shared" si="14"/>
        <v>171080.70245000001</v>
      </c>
      <c r="N130">
        <f t="shared" si="15"/>
        <v>0</v>
      </c>
      <c r="O130">
        <f t="shared" si="16"/>
        <v>2652039.480100553</v>
      </c>
      <c r="P130">
        <f t="shared" si="17"/>
        <v>1600444.3886101462</v>
      </c>
      <c r="Q130">
        <f t="shared" si="18"/>
        <v>110362.63588985376</v>
      </c>
      <c r="R130">
        <f t="shared" si="19"/>
        <v>0</v>
      </c>
      <c r="S130">
        <f t="shared" si="20"/>
        <v>1710807.0245000001</v>
      </c>
    </row>
    <row r="131" spans="1:19" x14ac:dyDescent="0.3">
      <c r="A131" t="s">
        <v>13</v>
      </c>
      <c r="B131" t="s">
        <v>33</v>
      </c>
      <c r="C131" t="s">
        <v>15</v>
      </c>
      <c r="D131">
        <v>0</v>
      </c>
      <c r="E131">
        <v>27</v>
      </c>
      <c r="F131">
        <v>7</v>
      </c>
      <c r="G131">
        <v>20260404</v>
      </c>
      <c r="H131">
        <v>20260507</v>
      </c>
      <c r="I131">
        <v>910628.03700000001</v>
      </c>
      <c r="J131">
        <f t="shared" si="11"/>
        <v>34</v>
      </c>
      <c r="K131">
        <f t="shared" si="12"/>
        <v>26783.177558823529</v>
      </c>
      <c r="L131">
        <f t="shared" si="13"/>
        <v>0</v>
      </c>
      <c r="M131">
        <f t="shared" si="14"/>
        <v>723145.79408823524</v>
      </c>
      <c r="N131">
        <f t="shared" si="15"/>
        <v>140892.04767273506</v>
      </c>
      <c r="O131">
        <f t="shared" si="16"/>
        <v>864037.8417609703</v>
      </c>
      <c r="P131">
        <f t="shared" si="17"/>
        <v>0</v>
      </c>
      <c r="Q131">
        <f t="shared" si="18"/>
        <v>762138.88224301836</v>
      </c>
      <c r="R131">
        <f t="shared" si="19"/>
        <v>148489.15475698168</v>
      </c>
      <c r="S131">
        <f t="shared" si="20"/>
        <v>910628.03700000001</v>
      </c>
    </row>
    <row r="132" spans="1:19" x14ac:dyDescent="0.3">
      <c r="A132" t="s">
        <v>13</v>
      </c>
      <c r="B132" t="s">
        <v>33</v>
      </c>
      <c r="C132" t="s">
        <v>15</v>
      </c>
      <c r="D132">
        <v>0</v>
      </c>
      <c r="E132">
        <v>29</v>
      </c>
      <c r="F132">
        <v>4</v>
      </c>
      <c r="G132">
        <v>20260402</v>
      </c>
      <c r="H132">
        <v>20260504</v>
      </c>
      <c r="I132">
        <v>7165014.449</v>
      </c>
      <c r="J132">
        <f t="shared" si="11"/>
        <v>33</v>
      </c>
      <c r="K132">
        <f t="shared" si="12"/>
        <v>217121.64996969697</v>
      </c>
      <c r="L132">
        <f t="shared" si="13"/>
        <v>0</v>
      </c>
      <c r="M132">
        <f t="shared" si="14"/>
        <v>6296527.849121212</v>
      </c>
      <c r="N132">
        <f t="shared" si="15"/>
        <v>652663.70581475133</v>
      </c>
      <c r="O132">
        <f t="shared" si="16"/>
        <v>6949191.5549359638</v>
      </c>
      <c r="P132">
        <f t="shared" si="17"/>
        <v>0</v>
      </c>
      <c r="Q132">
        <f t="shared" si="18"/>
        <v>6492080.7925404934</v>
      </c>
      <c r="R132">
        <f t="shared" si="19"/>
        <v>672933.65645950602</v>
      </c>
      <c r="S132">
        <f t="shared" si="20"/>
        <v>7165014.4489999991</v>
      </c>
    </row>
    <row r="133" spans="1:19" x14ac:dyDescent="0.3">
      <c r="A133" t="s">
        <v>13</v>
      </c>
      <c r="B133" t="s">
        <v>24</v>
      </c>
      <c r="C133" t="s">
        <v>15</v>
      </c>
      <c r="D133">
        <v>28</v>
      </c>
      <c r="E133">
        <v>2</v>
      </c>
      <c r="F133">
        <v>0</v>
      </c>
      <c r="G133">
        <v>20260304</v>
      </c>
      <c r="H133">
        <v>20260402</v>
      </c>
      <c r="I133">
        <v>10653732.076300001</v>
      </c>
      <c r="J133">
        <f t="shared" si="11"/>
        <v>30</v>
      </c>
      <c r="K133">
        <f t="shared" si="12"/>
        <v>355124.40254333336</v>
      </c>
      <c r="L133">
        <f t="shared" si="13"/>
        <v>16021920.096354017</v>
      </c>
      <c r="M133">
        <f t="shared" si="14"/>
        <v>710248.80508666672</v>
      </c>
      <c r="N133">
        <f t="shared" si="15"/>
        <v>0</v>
      </c>
      <c r="O133">
        <f t="shared" si="16"/>
        <v>16732168.901440684</v>
      </c>
      <c r="P133">
        <f t="shared" si="17"/>
        <v>10201501.374979861</v>
      </c>
      <c r="Q133">
        <f t="shared" si="18"/>
        <v>452230.70132014074</v>
      </c>
      <c r="R133">
        <f t="shared" si="19"/>
        <v>0</v>
      </c>
      <c r="S133">
        <f t="shared" si="20"/>
        <v>10653732.076300003</v>
      </c>
    </row>
    <row r="134" spans="1:19" x14ac:dyDescent="0.3">
      <c r="A134" t="s">
        <v>13</v>
      </c>
      <c r="B134" t="s">
        <v>33</v>
      </c>
      <c r="C134" t="s">
        <v>15</v>
      </c>
      <c r="D134">
        <v>29</v>
      </c>
      <c r="E134">
        <v>3</v>
      </c>
      <c r="F134">
        <v>0</v>
      </c>
      <c r="G134">
        <v>20260303</v>
      </c>
      <c r="H134">
        <v>20260403</v>
      </c>
      <c r="I134">
        <v>157193.08790000001</v>
      </c>
      <c r="J134">
        <f t="shared" si="11"/>
        <v>32</v>
      </c>
      <c r="K134">
        <f t="shared" si="12"/>
        <v>4912.2839968750004</v>
      </c>
      <c r="L134">
        <f t="shared" si="13"/>
        <v>229539.52520592476</v>
      </c>
      <c r="M134">
        <f t="shared" si="14"/>
        <v>14736.851990625</v>
      </c>
      <c r="N134">
        <f t="shared" si="15"/>
        <v>0</v>
      </c>
      <c r="O134">
        <f t="shared" si="16"/>
        <v>244276.37719654976</v>
      </c>
      <c r="P134">
        <f t="shared" si="17"/>
        <v>147709.84888639831</v>
      </c>
      <c r="Q134">
        <f t="shared" si="18"/>
        <v>9483.239013601702</v>
      </c>
      <c r="R134">
        <f t="shared" si="19"/>
        <v>0</v>
      </c>
      <c r="S134">
        <f t="shared" si="20"/>
        <v>157193.08790000001</v>
      </c>
    </row>
    <row r="135" spans="1:19" x14ac:dyDescent="0.3">
      <c r="A135" t="s">
        <v>13</v>
      </c>
      <c r="B135" t="s">
        <v>24</v>
      </c>
      <c r="C135" t="s">
        <v>14</v>
      </c>
      <c r="D135">
        <v>27</v>
      </c>
      <c r="E135">
        <v>2</v>
      </c>
      <c r="F135">
        <v>0</v>
      </c>
      <c r="G135">
        <v>20260305</v>
      </c>
      <c r="H135">
        <v>20260402</v>
      </c>
      <c r="I135">
        <v>2104192.5704999999</v>
      </c>
      <c r="J135">
        <f t="shared" si="11"/>
        <v>29</v>
      </c>
      <c r="K135">
        <f t="shared" si="12"/>
        <v>72558.364499999996</v>
      </c>
      <c r="L135">
        <f t="shared" si="13"/>
        <v>3156656.0468885293</v>
      </c>
      <c r="M135">
        <f t="shared" si="14"/>
        <v>145116.72899999999</v>
      </c>
      <c r="N135">
        <f t="shared" si="15"/>
        <v>0</v>
      </c>
      <c r="O135">
        <f t="shared" si="16"/>
        <v>3301772.7758885291</v>
      </c>
      <c r="P135">
        <f t="shared" si="17"/>
        <v>2011710.8754400213</v>
      </c>
      <c r="Q135">
        <f t="shared" si="18"/>
        <v>92481.695059978549</v>
      </c>
      <c r="R135">
        <f t="shared" si="19"/>
        <v>0</v>
      </c>
      <c r="S135">
        <f t="shared" si="20"/>
        <v>2104192.5704999999</v>
      </c>
    </row>
    <row r="136" spans="1:19" x14ac:dyDescent="0.3">
      <c r="A136" t="s">
        <v>13</v>
      </c>
      <c r="B136" t="s">
        <v>24</v>
      </c>
      <c r="C136" t="s">
        <v>15</v>
      </c>
      <c r="D136">
        <v>26</v>
      </c>
      <c r="E136">
        <v>1</v>
      </c>
      <c r="F136">
        <v>0</v>
      </c>
      <c r="G136">
        <v>20260306</v>
      </c>
      <c r="H136">
        <v>20260401</v>
      </c>
      <c r="I136">
        <v>1076072.6122000001</v>
      </c>
      <c r="J136">
        <f t="shared" si="11"/>
        <v>27</v>
      </c>
      <c r="K136">
        <f t="shared" si="12"/>
        <v>39854.541192592595</v>
      </c>
      <c r="L136">
        <f t="shared" si="13"/>
        <v>1669656.6669089317</v>
      </c>
      <c r="M136">
        <f t="shared" si="14"/>
        <v>39854.541192592595</v>
      </c>
      <c r="N136">
        <f t="shared" si="15"/>
        <v>0</v>
      </c>
      <c r="O136">
        <f t="shared" si="16"/>
        <v>1709511.2081015243</v>
      </c>
      <c r="P136">
        <f t="shared" si="17"/>
        <v>1050985.6867408962</v>
      </c>
      <c r="Q136">
        <f t="shared" si="18"/>
        <v>25086.925459103917</v>
      </c>
      <c r="R136">
        <f t="shared" si="19"/>
        <v>0</v>
      </c>
      <c r="S136">
        <f t="shared" si="20"/>
        <v>1076072.6122000001</v>
      </c>
    </row>
    <row r="137" spans="1:19" x14ac:dyDescent="0.3">
      <c r="A137" t="s">
        <v>13</v>
      </c>
      <c r="B137" t="s">
        <v>33</v>
      </c>
      <c r="C137" t="s">
        <v>14</v>
      </c>
      <c r="D137">
        <v>0</v>
      </c>
      <c r="E137">
        <v>29</v>
      </c>
      <c r="F137">
        <v>8</v>
      </c>
      <c r="G137">
        <v>20260402</v>
      </c>
      <c r="H137">
        <v>20260508</v>
      </c>
      <c r="I137">
        <v>61403.457799999996</v>
      </c>
      <c r="J137">
        <f t="shared" si="11"/>
        <v>37</v>
      </c>
      <c r="K137">
        <f t="shared" si="12"/>
        <v>1659.5529135135134</v>
      </c>
      <c r="L137">
        <f t="shared" si="13"/>
        <v>0</v>
      </c>
      <c r="M137">
        <f t="shared" si="14"/>
        <v>48127.034491891893</v>
      </c>
      <c r="N137">
        <f t="shared" si="15"/>
        <v>9977.1713661955546</v>
      </c>
      <c r="O137">
        <f t="shared" si="16"/>
        <v>58104.205858087444</v>
      </c>
      <c r="P137">
        <f t="shared" si="17"/>
        <v>0</v>
      </c>
      <c r="Q137">
        <f t="shared" si="18"/>
        <v>50859.766308133832</v>
      </c>
      <c r="R137">
        <f t="shared" si="19"/>
        <v>10543.69149186617</v>
      </c>
      <c r="S137">
        <f t="shared" si="20"/>
        <v>61403.457800000004</v>
      </c>
    </row>
    <row r="138" spans="1:19" x14ac:dyDescent="0.3">
      <c r="A138" t="s">
        <v>13</v>
      </c>
      <c r="B138" t="s">
        <v>33</v>
      </c>
      <c r="C138" t="s">
        <v>14</v>
      </c>
      <c r="D138">
        <v>30</v>
      </c>
      <c r="E138">
        <v>7</v>
      </c>
      <c r="F138">
        <v>0</v>
      </c>
      <c r="G138">
        <v>20260302</v>
      </c>
      <c r="H138">
        <v>20260407</v>
      </c>
      <c r="I138">
        <v>47101.637199999997</v>
      </c>
      <c r="J138">
        <f t="shared" si="11"/>
        <v>37</v>
      </c>
      <c r="K138">
        <f t="shared" si="12"/>
        <v>1273.0172216216215</v>
      </c>
      <c r="L138">
        <f t="shared" si="13"/>
        <v>61536.323790532428</v>
      </c>
      <c r="M138">
        <f t="shared" si="14"/>
        <v>8911.1205513513505</v>
      </c>
      <c r="N138">
        <f t="shared" si="15"/>
        <v>0</v>
      </c>
      <c r="O138">
        <f t="shared" si="16"/>
        <v>70447.444341883776</v>
      </c>
      <c r="P138">
        <f t="shared" si="17"/>
        <v>41143.601799620395</v>
      </c>
      <c r="Q138">
        <f t="shared" si="18"/>
        <v>5958.0354003796028</v>
      </c>
      <c r="R138">
        <f t="shared" si="19"/>
        <v>0</v>
      </c>
      <c r="S138">
        <f t="shared" si="20"/>
        <v>47101.637199999997</v>
      </c>
    </row>
    <row r="139" spans="1:19" x14ac:dyDescent="0.3">
      <c r="A139" t="s">
        <v>13</v>
      </c>
      <c r="B139" t="s">
        <v>24</v>
      </c>
      <c r="C139" t="s">
        <v>14</v>
      </c>
      <c r="D139">
        <v>26</v>
      </c>
      <c r="E139">
        <v>2</v>
      </c>
      <c r="F139">
        <v>0</v>
      </c>
      <c r="G139">
        <v>20260306</v>
      </c>
      <c r="H139">
        <v>20260402</v>
      </c>
      <c r="I139">
        <v>1039903.7606</v>
      </c>
      <c r="J139">
        <f t="shared" ref="J139:J202" si="21">IF(D139&lt;0,0,D139)+E139+F139</f>
        <v>28</v>
      </c>
      <c r="K139">
        <f t="shared" ref="K139:K202" si="22">I139/J139</f>
        <v>37139.420021428574</v>
      </c>
      <c r="L139">
        <f t="shared" ref="L139:L202" si="23">IF(D139&lt;0,0,D139)*$K139*$B$6</f>
        <v>1555910.0265200024</v>
      </c>
      <c r="M139">
        <f t="shared" ref="M139:M202" si="24">IF(E139&lt;0,0,E139)*$K139*$C$6</f>
        <v>74278.840042857148</v>
      </c>
      <c r="N139">
        <f t="shared" ref="N139:N202" si="25">IF(F139&lt;0,0,F139)*$K139*$D$6</f>
        <v>0</v>
      </c>
      <c r="O139">
        <f t="shared" ref="O139:O202" si="26">L139+M139+N139</f>
        <v>1630188.8665628596</v>
      </c>
      <c r="P139">
        <f t="shared" ref="P139:P202" si="27">L139/$O139*$I139</f>
        <v>992521.00227185967</v>
      </c>
      <c r="Q139">
        <f t="shared" ref="Q139:Q202" si="28">M139/$O139*$I139</f>
        <v>47382.758328140349</v>
      </c>
      <c r="R139">
        <f t="shared" ref="R139:R202" si="29">N139/$O139*$I139</f>
        <v>0</v>
      </c>
      <c r="S139">
        <f t="shared" ref="S139:S202" si="30">P139+Q139+R139</f>
        <v>1039903.7606</v>
      </c>
    </row>
    <row r="140" spans="1:19" x14ac:dyDescent="0.3">
      <c r="A140" t="s">
        <v>13</v>
      </c>
      <c r="B140" t="s">
        <v>33</v>
      </c>
      <c r="C140" t="s">
        <v>15</v>
      </c>
      <c r="D140">
        <v>0</v>
      </c>
      <c r="E140">
        <v>25</v>
      </c>
      <c r="F140">
        <v>4</v>
      </c>
      <c r="G140">
        <v>20260406</v>
      </c>
      <c r="H140">
        <v>20260504</v>
      </c>
      <c r="I140">
        <v>682864.55669999996</v>
      </c>
      <c r="J140">
        <f t="shared" si="21"/>
        <v>29</v>
      </c>
      <c r="K140">
        <f t="shared" si="22"/>
        <v>23547.053679310342</v>
      </c>
      <c r="L140">
        <f t="shared" si="23"/>
        <v>0</v>
      </c>
      <c r="M140">
        <f t="shared" si="24"/>
        <v>588676.3419827586</v>
      </c>
      <c r="N140">
        <f t="shared" si="25"/>
        <v>70782.012376483297</v>
      </c>
      <c r="O140">
        <f t="shared" si="26"/>
        <v>659458.3543592419</v>
      </c>
      <c r="P140">
        <f t="shared" si="27"/>
        <v>0</v>
      </c>
      <c r="Q140">
        <f t="shared" si="28"/>
        <v>609570.2733168361</v>
      </c>
      <c r="R140">
        <f t="shared" si="29"/>
        <v>73294.283383163871</v>
      </c>
      <c r="S140">
        <f t="shared" si="30"/>
        <v>682864.55669999996</v>
      </c>
    </row>
    <row r="141" spans="1:19" x14ac:dyDescent="0.3">
      <c r="A141" t="s">
        <v>13</v>
      </c>
      <c r="B141" t="s">
        <v>33</v>
      </c>
      <c r="C141" t="s">
        <v>15</v>
      </c>
      <c r="D141">
        <v>28</v>
      </c>
      <c r="E141">
        <v>6</v>
      </c>
      <c r="F141">
        <v>0</v>
      </c>
      <c r="G141">
        <v>20260304</v>
      </c>
      <c r="H141">
        <v>20260406</v>
      </c>
      <c r="I141">
        <v>300040.766</v>
      </c>
      <c r="J141">
        <f t="shared" si="21"/>
        <v>34</v>
      </c>
      <c r="K141">
        <f t="shared" si="22"/>
        <v>8824.7284117647068</v>
      </c>
      <c r="L141">
        <f t="shared" si="23"/>
        <v>398139.61663213634</v>
      </c>
      <c r="M141">
        <f t="shared" si="24"/>
        <v>52948.370470588241</v>
      </c>
      <c r="N141">
        <f t="shared" si="25"/>
        <v>0</v>
      </c>
      <c r="O141">
        <f t="shared" si="26"/>
        <v>451087.98710272461</v>
      </c>
      <c r="P141">
        <f t="shared" si="27"/>
        <v>264822.2053451598</v>
      </c>
      <c r="Q141">
        <f t="shared" si="28"/>
        <v>35218.560654840192</v>
      </c>
      <c r="R141">
        <f t="shared" si="29"/>
        <v>0</v>
      </c>
      <c r="S141">
        <f t="shared" si="30"/>
        <v>300040.766</v>
      </c>
    </row>
    <row r="142" spans="1:19" x14ac:dyDescent="0.3">
      <c r="A142" t="s">
        <v>13</v>
      </c>
      <c r="B142" t="s">
        <v>33</v>
      </c>
      <c r="C142" t="s">
        <v>15</v>
      </c>
      <c r="D142">
        <v>26</v>
      </c>
      <c r="E142">
        <v>4</v>
      </c>
      <c r="F142">
        <v>0</v>
      </c>
      <c r="G142">
        <v>20260306</v>
      </c>
      <c r="H142">
        <v>20260404</v>
      </c>
      <c r="I142">
        <v>62700.675499999998</v>
      </c>
      <c r="J142">
        <f t="shared" si="21"/>
        <v>30</v>
      </c>
      <c r="K142">
        <f t="shared" si="22"/>
        <v>2090.0225166666664</v>
      </c>
      <c r="L142">
        <f t="shared" si="23"/>
        <v>87558.906074946048</v>
      </c>
      <c r="M142">
        <f t="shared" si="24"/>
        <v>8360.0900666666657</v>
      </c>
      <c r="N142">
        <f t="shared" si="25"/>
        <v>0</v>
      </c>
      <c r="O142">
        <f t="shared" si="26"/>
        <v>95918.996141612719</v>
      </c>
      <c r="P142">
        <f t="shared" si="27"/>
        <v>57235.821659714311</v>
      </c>
      <c r="Q142">
        <f t="shared" si="28"/>
        <v>5464.8538402856839</v>
      </c>
      <c r="R142">
        <f t="shared" si="29"/>
        <v>0</v>
      </c>
      <c r="S142">
        <f t="shared" si="30"/>
        <v>62700.675499999998</v>
      </c>
    </row>
    <row r="143" spans="1:19" x14ac:dyDescent="0.3">
      <c r="A143" t="s">
        <v>13</v>
      </c>
      <c r="B143" t="s">
        <v>33</v>
      </c>
      <c r="C143" t="s">
        <v>14</v>
      </c>
      <c r="D143">
        <v>0</v>
      </c>
      <c r="E143">
        <v>24</v>
      </c>
      <c r="F143">
        <v>6</v>
      </c>
      <c r="G143">
        <v>20260407</v>
      </c>
      <c r="H143">
        <v>20260506</v>
      </c>
      <c r="I143">
        <v>836048.36120000004</v>
      </c>
      <c r="J143">
        <f t="shared" si="21"/>
        <v>30</v>
      </c>
      <c r="K143">
        <f t="shared" si="22"/>
        <v>27868.278706666668</v>
      </c>
      <c r="L143">
        <f t="shared" si="23"/>
        <v>0</v>
      </c>
      <c r="M143">
        <f t="shared" si="24"/>
        <v>668838.68896000006</v>
      </c>
      <c r="N143">
        <f t="shared" si="25"/>
        <v>125657.30357550658</v>
      </c>
      <c r="O143">
        <f t="shared" si="26"/>
        <v>794495.99253550661</v>
      </c>
      <c r="P143">
        <f t="shared" si="27"/>
        <v>0</v>
      </c>
      <c r="Q143">
        <f t="shared" si="28"/>
        <v>703819.14454675408</v>
      </c>
      <c r="R143">
        <f t="shared" si="29"/>
        <v>132229.21665324597</v>
      </c>
      <c r="S143">
        <f t="shared" si="30"/>
        <v>836048.36120000004</v>
      </c>
    </row>
    <row r="144" spans="1:19" x14ac:dyDescent="0.3">
      <c r="A144" t="s">
        <v>13</v>
      </c>
      <c r="B144" t="s">
        <v>33</v>
      </c>
      <c r="C144" t="s">
        <v>14</v>
      </c>
      <c r="D144">
        <v>0</v>
      </c>
      <c r="E144">
        <v>28</v>
      </c>
      <c r="F144">
        <v>7</v>
      </c>
      <c r="G144">
        <v>20260403</v>
      </c>
      <c r="H144">
        <v>20260507</v>
      </c>
      <c r="I144">
        <v>442439.7599</v>
      </c>
      <c r="J144">
        <f t="shared" si="21"/>
        <v>35</v>
      </c>
      <c r="K144">
        <f t="shared" si="22"/>
        <v>12641.135997142857</v>
      </c>
      <c r="L144">
        <f t="shared" si="23"/>
        <v>0</v>
      </c>
      <c r="M144">
        <f t="shared" si="24"/>
        <v>353951.80791999999</v>
      </c>
      <c r="N144">
        <f t="shared" si="25"/>
        <v>66498.291012532558</v>
      </c>
      <c r="O144">
        <f t="shared" si="26"/>
        <v>420450.09893253254</v>
      </c>
      <c r="P144">
        <f t="shared" si="27"/>
        <v>0</v>
      </c>
      <c r="Q144">
        <f t="shared" si="28"/>
        <v>372463.58916287206</v>
      </c>
      <c r="R144">
        <f t="shared" si="29"/>
        <v>69976.170737127948</v>
      </c>
      <c r="S144">
        <f t="shared" si="30"/>
        <v>442439.7599</v>
      </c>
    </row>
    <row r="145" spans="1:19" x14ac:dyDescent="0.3">
      <c r="A145" t="s">
        <v>13</v>
      </c>
      <c r="B145" t="s">
        <v>24</v>
      </c>
      <c r="C145" t="s">
        <v>15</v>
      </c>
      <c r="D145">
        <v>30</v>
      </c>
      <c r="E145">
        <v>7</v>
      </c>
      <c r="F145">
        <v>0</v>
      </c>
      <c r="G145">
        <v>20260302</v>
      </c>
      <c r="H145">
        <v>20260407</v>
      </c>
      <c r="I145">
        <v>610346.65209999995</v>
      </c>
      <c r="J145">
        <f t="shared" si="21"/>
        <v>37</v>
      </c>
      <c r="K145">
        <f t="shared" si="22"/>
        <v>16495.855462162162</v>
      </c>
      <c r="L145">
        <f t="shared" si="23"/>
        <v>797392.43560928828</v>
      </c>
      <c r="M145">
        <f t="shared" si="24"/>
        <v>115470.98823513514</v>
      </c>
      <c r="N145">
        <f t="shared" si="25"/>
        <v>0</v>
      </c>
      <c r="O145">
        <f t="shared" si="26"/>
        <v>912863.42384442338</v>
      </c>
      <c r="P145">
        <f t="shared" si="27"/>
        <v>533141.9692930301</v>
      </c>
      <c r="Q145">
        <f t="shared" si="28"/>
        <v>77204.682806969882</v>
      </c>
      <c r="R145">
        <f t="shared" si="29"/>
        <v>0</v>
      </c>
      <c r="S145">
        <f t="shared" si="30"/>
        <v>610346.65209999995</v>
      </c>
    </row>
    <row r="146" spans="1:19" x14ac:dyDescent="0.3">
      <c r="A146" t="s">
        <v>13</v>
      </c>
      <c r="B146" t="s">
        <v>33</v>
      </c>
      <c r="C146" t="s">
        <v>14</v>
      </c>
      <c r="D146">
        <v>0</v>
      </c>
      <c r="E146">
        <v>23</v>
      </c>
      <c r="F146">
        <v>10</v>
      </c>
      <c r="G146">
        <v>20260408</v>
      </c>
      <c r="H146">
        <v>20260510</v>
      </c>
      <c r="I146">
        <v>13254.242399999999</v>
      </c>
      <c r="J146">
        <f t="shared" si="21"/>
        <v>33</v>
      </c>
      <c r="K146">
        <f t="shared" si="22"/>
        <v>401.64370909090906</v>
      </c>
      <c r="L146">
        <f t="shared" si="23"/>
        <v>0</v>
      </c>
      <c r="M146">
        <f t="shared" si="24"/>
        <v>9237.8053090909088</v>
      </c>
      <c r="N146">
        <f t="shared" si="25"/>
        <v>3018.3340955294016</v>
      </c>
      <c r="O146">
        <f t="shared" si="26"/>
        <v>12256.13940462031</v>
      </c>
      <c r="P146">
        <f t="shared" si="27"/>
        <v>0</v>
      </c>
      <c r="Q146">
        <f t="shared" si="28"/>
        <v>9990.1042872064954</v>
      </c>
      <c r="R146">
        <f t="shared" si="29"/>
        <v>3264.1381127935047</v>
      </c>
      <c r="S146">
        <f t="shared" si="30"/>
        <v>13254.242399999999</v>
      </c>
    </row>
    <row r="147" spans="1:19" x14ac:dyDescent="0.3">
      <c r="A147" t="s">
        <v>13</v>
      </c>
      <c r="B147" t="s">
        <v>33</v>
      </c>
      <c r="C147" t="s">
        <v>14</v>
      </c>
      <c r="D147">
        <v>14</v>
      </c>
      <c r="E147">
        <v>16</v>
      </c>
      <c r="F147">
        <v>0</v>
      </c>
      <c r="G147">
        <v>20260318</v>
      </c>
      <c r="H147">
        <v>20260416</v>
      </c>
      <c r="I147">
        <v>2119561.5142000001</v>
      </c>
      <c r="J147">
        <f t="shared" si="21"/>
        <v>30</v>
      </c>
      <c r="K147">
        <f t="shared" si="22"/>
        <v>70652.050473333336</v>
      </c>
      <c r="L147">
        <f t="shared" si="23"/>
        <v>1593781.6427430524</v>
      </c>
      <c r="M147">
        <f t="shared" si="24"/>
        <v>1130432.8075733334</v>
      </c>
      <c r="N147">
        <f t="shared" si="25"/>
        <v>0</v>
      </c>
      <c r="O147">
        <f t="shared" si="26"/>
        <v>2724214.4503163858</v>
      </c>
      <c r="P147">
        <f t="shared" si="27"/>
        <v>1240033.8863206231</v>
      </c>
      <c r="Q147">
        <f t="shared" si="28"/>
        <v>879527.62787937699</v>
      </c>
      <c r="R147">
        <f t="shared" si="29"/>
        <v>0</v>
      </c>
      <c r="S147">
        <f t="shared" si="30"/>
        <v>2119561.5142000001</v>
      </c>
    </row>
    <row r="148" spans="1:19" x14ac:dyDescent="0.3">
      <c r="A148" t="s">
        <v>13</v>
      </c>
      <c r="B148" t="s">
        <v>33</v>
      </c>
      <c r="C148" t="s">
        <v>15</v>
      </c>
      <c r="D148">
        <v>0</v>
      </c>
      <c r="E148">
        <v>26</v>
      </c>
      <c r="F148">
        <v>2</v>
      </c>
      <c r="G148">
        <v>20260405</v>
      </c>
      <c r="H148">
        <v>20260502</v>
      </c>
      <c r="I148">
        <v>682454.33620000002</v>
      </c>
      <c r="J148">
        <f t="shared" si="21"/>
        <v>28</v>
      </c>
      <c r="K148">
        <f t="shared" si="22"/>
        <v>24373.369150000002</v>
      </c>
      <c r="L148">
        <f t="shared" si="23"/>
        <v>0</v>
      </c>
      <c r="M148">
        <f t="shared" si="24"/>
        <v>633707.59790000005</v>
      </c>
      <c r="N148">
        <f t="shared" si="25"/>
        <v>36632.950778630591</v>
      </c>
      <c r="O148">
        <f t="shared" si="26"/>
        <v>670340.54867863061</v>
      </c>
      <c r="P148">
        <f t="shared" si="27"/>
        <v>0</v>
      </c>
      <c r="Q148">
        <f t="shared" si="28"/>
        <v>645159.38789953094</v>
      </c>
      <c r="R148">
        <f t="shared" si="29"/>
        <v>37294.948300469092</v>
      </c>
      <c r="S148">
        <f t="shared" si="30"/>
        <v>682454.33620000002</v>
      </c>
    </row>
    <row r="149" spans="1:19" x14ac:dyDescent="0.3">
      <c r="A149" t="s">
        <v>13</v>
      </c>
      <c r="B149" t="s">
        <v>33</v>
      </c>
      <c r="C149" t="s">
        <v>14</v>
      </c>
      <c r="D149">
        <v>0</v>
      </c>
      <c r="E149">
        <v>30</v>
      </c>
      <c r="F149">
        <v>0</v>
      </c>
      <c r="G149">
        <v>20260401</v>
      </c>
      <c r="H149">
        <v>20260430</v>
      </c>
      <c r="I149">
        <v>1840675.8202</v>
      </c>
      <c r="J149">
        <f t="shared" si="21"/>
        <v>30</v>
      </c>
      <c r="K149">
        <f t="shared" si="22"/>
        <v>61355.860673333329</v>
      </c>
      <c r="L149">
        <f t="shared" si="23"/>
        <v>0</v>
      </c>
      <c r="M149">
        <f t="shared" si="24"/>
        <v>1840675.8202</v>
      </c>
      <c r="N149">
        <f t="shared" si="25"/>
        <v>0</v>
      </c>
      <c r="O149">
        <f t="shared" si="26"/>
        <v>1840675.8202</v>
      </c>
      <c r="P149">
        <f t="shared" si="27"/>
        <v>0</v>
      </c>
      <c r="Q149">
        <f t="shared" si="28"/>
        <v>1840675.8202</v>
      </c>
      <c r="R149">
        <f t="shared" si="29"/>
        <v>0</v>
      </c>
      <c r="S149">
        <f t="shared" si="30"/>
        <v>1840675.8202</v>
      </c>
    </row>
    <row r="150" spans="1:19" x14ac:dyDescent="0.3">
      <c r="A150" t="s">
        <v>13</v>
      </c>
      <c r="B150" t="s">
        <v>33</v>
      </c>
      <c r="C150" t="s">
        <v>14</v>
      </c>
      <c r="D150">
        <v>0</v>
      </c>
      <c r="E150">
        <v>27</v>
      </c>
      <c r="F150">
        <v>2</v>
      </c>
      <c r="G150">
        <v>20260404</v>
      </c>
      <c r="H150">
        <v>20260502</v>
      </c>
      <c r="I150">
        <v>331558.05249999999</v>
      </c>
      <c r="J150">
        <f t="shared" si="21"/>
        <v>29</v>
      </c>
      <c r="K150">
        <f t="shared" si="22"/>
        <v>11433.036293103449</v>
      </c>
      <c r="L150">
        <f t="shared" si="23"/>
        <v>0</v>
      </c>
      <c r="M150">
        <f t="shared" si="24"/>
        <v>308691.9799137931</v>
      </c>
      <c r="N150">
        <f t="shared" si="25"/>
        <v>17183.748918665835</v>
      </c>
      <c r="O150">
        <f t="shared" si="26"/>
        <v>325875.72883245896</v>
      </c>
      <c r="P150">
        <f t="shared" si="27"/>
        <v>0</v>
      </c>
      <c r="Q150">
        <f t="shared" si="28"/>
        <v>314074.66904418264</v>
      </c>
      <c r="R150">
        <f t="shared" si="29"/>
        <v>17483.383455817322</v>
      </c>
      <c r="S150">
        <f t="shared" si="30"/>
        <v>331558.05249999993</v>
      </c>
    </row>
    <row r="151" spans="1:19" x14ac:dyDescent="0.3">
      <c r="A151" t="s">
        <v>13</v>
      </c>
      <c r="B151" t="s">
        <v>24</v>
      </c>
      <c r="C151" t="s">
        <v>14</v>
      </c>
      <c r="D151">
        <v>16</v>
      </c>
      <c r="E151">
        <v>16</v>
      </c>
      <c r="F151">
        <v>0</v>
      </c>
      <c r="G151">
        <v>20260316</v>
      </c>
      <c r="H151">
        <v>20260416</v>
      </c>
      <c r="I151">
        <v>178468.86249999999</v>
      </c>
      <c r="J151">
        <f t="shared" si="21"/>
        <v>32</v>
      </c>
      <c r="K151">
        <f t="shared" si="22"/>
        <v>5577.1519531249996</v>
      </c>
      <c r="L151">
        <f t="shared" si="23"/>
        <v>143783.30896076807</v>
      </c>
      <c r="M151">
        <f t="shared" si="24"/>
        <v>89234.431249999994</v>
      </c>
      <c r="N151">
        <f t="shared" si="25"/>
        <v>0</v>
      </c>
      <c r="O151">
        <f t="shared" si="26"/>
        <v>233017.74021076807</v>
      </c>
      <c r="P151">
        <f t="shared" si="27"/>
        <v>110123.99130428316</v>
      </c>
      <c r="Q151">
        <f t="shared" si="28"/>
        <v>68344.871195716842</v>
      </c>
      <c r="R151">
        <f t="shared" si="29"/>
        <v>0</v>
      </c>
      <c r="S151">
        <f t="shared" si="30"/>
        <v>178468.86249999999</v>
      </c>
    </row>
    <row r="152" spans="1:19" x14ac:dyDescent="0.3">
      <c r="A152" t="s">
        <v>13</v>
      </c>
      <c r="B152" t="s">
        <v>24</v>
      </c>
      <c r="C152" t="s">
        <v>14</v>
      </c>
      <c r="D152">
        <v>30</v>
      </c>
      <c r="E152">
        <v>6</v>
      </c>
      <c r="F152">
        <v>0</v>
      </c>
      <c r="G152">
        <v>20260302</v>
      </c>
      <c r="H152">
        <v>20260406</v>
      </c>
      <c r="I152">
        <v>315072.71970000002</v>
      </c>
      <c r="J152">
        <f t="shared" si="21"/>
        <v>36</v>
      </c>
      <c r="K152">
        <f t="shared" si="22"/>
        <v>8752.0199916666679</v>
      </c>
      <c r="L152">
        <f t="shared" si="23"/>
        <v>423063.51153864531</v>
      </c>
      <c r="M152">
        <f t="shared" si="24"/>
        <v>52512.119950000008</v>
      </c>
      <c r="N152">
        <f t="shared" si="25"/>
        <v>0</v>
      </c>
      <c r="O152">
        <f t="shared" si="26"/>
        <v>475575.63148864533</v>
      </c>
      <c r="P152">
        <f t="shared" si="27"/>
        <v>280283.0135956952</v>
      </c>
      <c r="Q152">
        <f t="shared" si="28"/>
        <v>34789.706104304794</v>
      </c>
      <c r="R152">
        <f t="shared" si="29"/>
        <v>0</v>
      </c>
      <c r="S152">
        <f t="shared" si="30"/>
        <v>315072.71970000002</v>
      </c>
    </row>
    <row r="153" spans="1:19" x14ac:dyDescent="0.3">
      <c r="A153" t="s">
        <v>13</v>
      </c>
      <c r="B153" t="s">
        <v>24</v>
      </c>
      <c r="C153" t="s">
        <v>15</v>
      </c>
      <c r="D153">
        <v>30</v>
      </c>
      <c r="E153">
        <v>4</v>
      </c>
      <c r="F153">
        <v>0</v>
      </c>
      <c r="G153">
        <v>20260302</v>
      </c>
      <c r="H153">
        <v>20260404</v>
      </c>
      <c r="I153">
        <v>496575.66489999997</v>
      </c>
      <c r="J153">
        <f t="shared" si="21"/>
        <v>34</v>
      </c>
      <c r="K153">
        <f t="shared" si="22"/>
        <v>14605.166614705882</v>
      </c>
      <c r="L153">
        <f t="shared" si="23"/>
        <v>705998.51011626795</v>
      </c>
      <c r="M153">
        <f t="shared" si="24"/>
        <v>58420.666458823529</v>
      </c>
      <c r="N153">
        <f t="shared" si="25"/>
        <v>0</v>
      </c>
      <c r="O153">
        <f t="shared" si="26"/>
        <v>764419.17657509143</v>
      </c>
      <c r="P153">
        <f t="shared" si="27"/>
        <v>458624.91460528696</v>
      </c>
      <c r="Q153">
        <f t="shared" si="28"/>
        <v>37950.750294713005</v>
      </c>
      <c r="R153">
        <f t="shared" si="29"/>
        <v>0</v>
      </c>
      <c r="S153">
        <f t="shared" si="30"/>
        <v>496575.66489999997</v>
      </c>
    </row>
    <row r="154" spans="1:19" x14ac:dyDescent="0.3">
      <c r="A154" t="s">
        <v>13</v>
      </c>
      <c r="B154" t="s">
        <v>24</v>
      </c>
      <c r="C154" t="s">
        <v>15</v>
      </c>
      <c r="D154">
        <v>27</v>
      </c>
      <c r="E154">
        <v>8</v>
      </c>
      <c r="F154">
        <v>0</v>
      </c>
      <c r="G154">
        <v>20260305</v>
      </c>
      <c r="H154">
        <v>20260408</v>
      </c>
      <c r="I154">
        <v>251991.98069999999</v>
      </c>
      <c r="J154">
        <f t="shared" si="21"/>
        <v>35</v>
      </c>
      <c r="K154">
        <f t="shared" si="22"/>
        <v>7199.770877142857</v>
      </c>
      <c r="L154">
        <f t="shared" si="23"/>
        <v>313226.46854236815</v>
      </c>
      <c r="M154">
        <f t="shared" si="24"/>
        <v>57598.167017142856</v>
      </c>
      <c r="N154">
        <f t="shared" si="25"/>
        <v>0</v>
      </c>
      <c r="O154">
        <f t="shared" si="26"/>
        <v>370824.63555951102</v>
      </c>
      <c r="P154">
        <f t="shared" si="27"/>
        <v>212851.44148140226</v>
      </c>
      <c r="Q154">
        <f t="shared" si="28"/>
        <v>39140.539218597689</v>
      </c>
      <c r="R154">
        <f t="shared" si="29"/>
        <v>0</v>
      </c>
      <c r="S154">
        <f t="shared" si="30"/>
        <v>251991.98069999996</v>
      </c>
    </row>
    <row r="155" spans="1:19" x14ac:dyDescent="0.3">
      <c r="A155" t="s">
        <v>13</v>
      </c>
      <c r="B155" t="s">
        <v>24</v>
      </c>
      <c r="C155" t="s">
        <v>15</v>
      </c>
      <c r="D155">
        <v>30</v>
      </c>
      <c r="E155">
        <v>5</v>
      </c>
      <c r="F155">
        <v>0</v>
      </c>
      <c r="G155">
        <v>20260302</v>
      </c>
      <c r="H155">
        <v>20260405</v>
      </c>
      <c r="I155">
        <v>216874.81719999999</v>
      </c>
      <c r="J155">
        <f t="shared" si="21"/>
        <v>35</v>
      </c>
      <c r="K155">
        <f t="shared" si="22"/>
        <v>6196.4233485714285</v>
      </c>
      <c r="L155">
        <f t="shared" si="23"/>
        <v>299528.6371972129</v>
      </c>
      <c r="M155">
        <f t="shared" si="24"/>
        <v>30982.116742857143</v>
      </c>
      <c r="N155">
        <f t="shared" si="25"/>
        <v>0</v>
      </c>
      <c r="O155">
        <f t="shared" si="26"/>
        <v>330510.75394007005</v>
      </c>
      <c r="P155">
        <f t="shared" si="27"/>
        <v>196544.94646213416</v>
      </c>
      <c r="Q155">
        <f t="shared" si="28"/>
        <v>20329.870737865822</v>
      </c>
      <c r="R155">
        <f t="shared" si="29"/>
        <v>0</v>
      </c>
      <c r="S155">
        <f t="shared" si="30"/>
        <v>216874.81719999999</v>
      </c>
    </row>
    <row r="156" spans="1:19" x14ac:dyDescent="0.3">
      <c r="A156" t="s">
        <v>13</v>
      </c>
      <c r="B156" t="s">
        <v>33</v>
      </c>
      <c r="C156" t="s">
        <v>15</v>
      </c>
      <c r="D156">
        <v>0</v>
      </c>
      <c r="E156">
        <v>25</v>
      </c>
      <c r="F156">
        <v>6</v>
      </c>
      <c r="G156">
        <v>20260406</v>
      </c>
      <c r="H156">
        <v>20260506</v>
      </c>
      <c r="I156">
        <v>326333.63679999998</v>
      </c>
      <c r="J156">
        <f t="shared" si="21"/>
        <v>31</v>
      </c>
      <c r="K156">
        <f t="shared" si="22"/>
        <v>10526.891509677418</v>
      </c>
      <c r="L156">
        <f t="shared" si="23"/>
        <v>0</v>
      </c>
      <c r="M156">
        <f t="shared" si="24"/>
        <v>263172.28774193546</v>
      </c>
      <c r="N156">
        <f t="shared" si="25"/>
        <v>47465.464805385403</v>
      </c>
      <c r="O156">
        <f t="shared" si="26"/>
        <v>310637.75254732085</v>
      </c>
      <c r="P156">
        <f t="shared" si="27"/>
        <v>0</v>
      </c>
      <c r="Q156">
        <f t="shared" si="28"/>
        <v>276469.84006143641</v>
      </c>
      <c r="R156">
        <f t="shared" si="29"/>
        <v>49863.796738563593</v>
      </c>
      <c r="S156">
        <f t="shared" si="30"/>
        <v>326333.63679999998</v>
      </c>
    </row>
    <row r="157" spans="1:19" x14ac:dyDescent="0.3">
      <c r="A157" t="s">
        <v>13</v>
      </c>
      <c r="B157" t="s">
        <v>33</v>
      </c>
      <c r="C157" t="s">
        <v>14</v>
      </c>
      <c r="D157">
        <v>0</v>
      </c>
      <c r="E157">
        <v>10</v>
      </c>
      <c r="F157">
        <v>0</v>
      </c>
      <c r="G157">
        <v>20260421</v>
      </c>
      <c r="H157">
        <v>20260430</v>
      </c>
      <c r="I157">
        <v>26620.536199999999</v>
      </c>
      <c r="J157">
        <f t="shared" si="21"/>
        <v>10</v>
      </c>
      <c r="K157">
        <f t="shared" si="22"/>
        <v>2662.0536199999997</v>
      </c>
      <c r="L157">
        <f t="shared" si="23"/>
        <v>0</v>
      </c>
      <c r="M157">
        <f t="shared" si="24"/>
        <v>26620.536199999995</v>
      </c>
      <c r="N157">
        <f t="shared" si="25"/>
        <v>0</v>
      </c>
      <c r="O157">
        <f t="shared" si="26"/>
        <v>26620.536199999995</v>
      </c>
      <c r="P157">
        <f t="shared" si="27"/>
        <v>0</v>
      </c>
      <c r="Q157">
        <f t="shared" si="28"/>
        <v>26620.536199999999</v>
      </c>
      <c r="R157">
        <f t="shared" si="29"/>
        <v>0</v>
      </c>
      <c r="S157">
        <f t="shared" si="30"/>
        <v>26620.536199999999</v>
      </c>
    </row>
    <row r="158" spans="1:19" x14ac:dyDescent="0.3">
      <c r="A158" t="s">
        <v>13</v>
      </c>
      <c r="B158" t="s">
        <v>33</v>
      </c>
      <c r="C158" t="s">
        <v>14</v>
      </c>
      <c r="D158">
        <v>0</v>
      </c>
      <c r="E158">
        <v>10</v>
      </c>
      <c r="F158">
        <v>0</v>
      </c>
      <c r="G158">
        <v>20260401</v>
      </c>
      <c r="H158">
        <v>20260410</v>
      </c>
      <c r="I158">
        <v>30422.606100000001</v>
      </c>
      <c r="J158">
        <f t="shared" si="21"/>
        <v>10</v>
      </c>
      <c r="K158">
        <f t="shared" si="22"/>
        <v>3042.2606100000003</v>
      </c>
      <c r="L158">
        <f t="shared" si="23"/>
        <v>0</v>
      </c>
      <c r="M158">
        <f t="shared" si="24"/>
        <v>30422.606100000005</v>
      </c>
      <c r="N158">
        <f t="shared" si="25"/>
        <v>0</v>
      </c>
      <c r="O158">
        <f t="shared" si="26"/>
        <v>30422.606100000005</v>
      </c>
      <c r="P158">
        <f t="shared" si="27"/>
        <v>0</v>
      </c>
      <c r="Q158">
        <f t="shared" si="28"/>
        <v>30422.606100000001</v>
      </c>
      <c r="R158">
        <f t="shared" si="29"/>
        <v>0</v>
      </c>
      <c r="S158">
        <f t="shared" si="30"/>
        <v>30422.606100000001</v>
      </c>
    </row>
    <row r="159" spans="1:19" x14ac:dyDescent="0.3">
      <c r="A159" t="s">
        <v>13</v>
      </c>
      <c r="B159" t="s">
        <v>33</v>
      </c>
      <c r="C159" t="s">
        <v>15</v>
      </c>
      <c r="D159">
        <v>24</v>
      </c>
      <c r="E159">
        <v>7</v>
      </c>
      <c r="F159">
        <v>0</v>
      </c>
      <c r="G159">
        <v>20260308</v>
      </c>
      <c r="H159">
        <v>20260407</v>
      </c>
      <c r="I159">
        <v>61970.629300000001</v>
      </c>
      <c r="J159">
        <f t="shared" si="21"/>
        <v>31</v>
      </c>
      <c r="K159">
        <f t="shared" si="22"/>
        <v>1999.0525580645162</v>
      </c>
      <c r="L159">
        <f t="shared" si="23"/>
        <v>77305.691327977169</v>
      </c>
      <c r="M159">
        <f t="shared" si="24"/>
        <v>13993.367906451615</v>
      </c>
      <c r="N159">
        <f t="shared" si="25"/>
        <v>0</v>
      </c>
      <c r="O159">
        <f t="shared" si="26"/>
        <v>91299.059234428787</v>
      </c>
      <c r="P159">
        <f t="shared" si="27"/>
        <v>52472.417352792792</v>
      </c>
      <c r="Q159">
        <f t="shared" si="28"/>
        <v>9498.2119472072081</v>
      </c>
      <c r="R159">
        <f t="shared" si="29"/>
        <v>0</v>
      </c>
      <c r="S159">
        <f t="shared" si="30"/>
        <v>61970.629300000001</v>
      </c>
    </row>
    <row r="160" spans="1:19" x14ac:dyDescent="0.3">
      <c r="A160" t="s">
        <v>13</v>
      </c>
      <c r="B160" t="s">
        <v>33</v>
      </c>
      <c r="C160" t="s">
        <v>15</v>
      </c>
      <c r="D160">
        <v>0</v>
      </c>
      <c r="E160">
        <v>15</v>
      </c>
      <c r="F160">
        <v>18</v>
      </c>
      <c r="G160">
        <v>20260416</v>
      </c>
      <c r="H160">
        <v>20260518</v>
      </c>
      <c r="I160">
        <v>81365.589399999997</v>
      </c>
      <c r="J160">
        <f t="shared" si="21"/>
        <v>33</v>
      </c>
      <c r="K160">
        <f t="shared" si="22"/>
        <v>2465.6239212121213</v>
      </c>
      <c r="L160">
        <f t="shared" si="23"/>
        <v>0</v>
      </c>
      <c r="M160">
        <f t="shared" si="24"/>
        <v>36984.35881818182</v>
      </c>
      <c r="N160">
        <f t="shared" si="25"/>
        <v>33352.291703972325</v>
      </c>
      <c r="O160">
        <f t="shared" si="26"/>
        <v>70336.650522154145</v>
      </c>
      <c r="P160">
        <f t="shared" si="27"/>
        <v>0</v>
      </c>
      <c r="Q160">
        <f t="shared" si="28"/>
        <v>42783.586245333325</v>
      </c>
      <c r="R160">
        <f t="shared" si="29"/>
        <v>38582.003154666672</v>
      </c>
      <c r="S160">
        <f t="shared" si="30"/>
        <v>81365.589399999997</v>
      </c>
    </row>
    <row r="161" spans="1:19" x14ac:dyDescent="0.3">
      <c r="A161" t="s">
        <v>13</v>
      </c>
      <c r="B161" t="s">
        <v>33</v>
      </c>
      <c r="C161" t="s">
        <v>15</v>
      </c>
      <c r="D161">
        <v>0</v>
      </c>
      <c r="E161">
        <v>29</v>
      </c>
      <c r="F161">
        <v>5</v>
      </c>
      <c r="G161">
        <v>20260402</v>
      </c>
      <c r="H161">
        <v>20260505</v>
      </c>
      <c r="I161">
        <v>1114291.7708000001</v>
      </c>
      <c r="J161">
        <f t="shared" si="21"/>
        <v>34</v>
      </c>
      <c r="K161">
        <f t="shared" si="22"/>
        <v>32773.287376470587</v>
      </c>
      <c r="L161">
        <f t="shared" si="23"/>
        <v>0</v>
      </c>
      <c r="M161">
        <f t="shared" si="24"/>
        <v>950425.33391764702</v>
      </c>
      <c r="N161">
        <f t="shared" si="25"/>
        <v>123144.87750210788</v>
      </c>
      <c r="O161">
        <f t="shared" si="26"/>
        <v>1073570.2114197549</v>
      </c>
      <c r="P161">
        <f t="shared" si="27"/>
        <v>0</v>
      </c>
      <c r="Q161">
        <f t="shared" si="28"/>
        <v>986475.88865540735</v>
      </c>
      <c r="R161">
        <f t="shared" si="29"/>
        <v>127815.88214459272</v>
      </c>
      <c r="S161">
        <f t="shared" si="30"/>
        <v>1114291.7708000001</v>
      </c>
    </row>
    <row r="162" spans="1:19" x14ac:dyDescent="0.3">
      <c r="A162" t="s">
        <v>13</v>
      </c>
      <c r="B162" t="s">
        <v>33</v>
      </c>
      <c r="C162" t="s">
        <v>15</v>
      </c>
      <c r="D162">
        <v>0</v>
      </c>
      <c r="E162">
        <v>14</v>
      </c>
      <c r="F162">
        <v>16</v>
      </c>
      <c r="G162">
        <v>20260417</v>
      </c>
      <c r="H162">
        <v>20260516</v>
      </c>
      <c r="I162">
        <v>121201.5046</v>
      </c>
      <c r="J162">
        <f t="shared" si="21"/>
        <v>30</v>
      </c>
      <c r="K162">
        <f t="shared" si="22"/>
        <v>4040.0501533333331</v>
      </c>
      <c r="L162">
        <f t="shared" si="23"/>
        <v>0</v>
      </c>
      <c r="M162">
        <f t="shared" si="24"/>
        <v>56560.702146666663</v>
      </c>
      <c r="N162">
        <f t="shared" si="25"/>
        <v>48577.267262292771</v>
      </c>
      <c r="O162">
        <f t="shared" si="26"/>
        <v>105137.96940895944</v>
      </c>
      <c r="P162">
        <f t="shared" si="27"/>
        <v>0</v>
      </c>
      <c r="Q162">
        <f t="shared" si="28"/>
        <v>65202.345450893532</v>
      </c>
      <c r="R162">
        <f t="shared" si="29"/>
        <v>55999.159149106461</v>
      </c>
      <c r="S162">
        <f t="shared" si="30"/>
        <v>121201.50459999999</v>
      </c>
    </row>
    <row r="163" spans="1:19" x14ac:dyDescent="0.3">
      <c r="A163" t="s">
        <v>13</v>
      </c>
      <c r="B163" t="s">
        <v>33</v>
      </c>
      <c r="C163" t="s">
        <v>14</v>
      </c>
      <c r="D163">
        <v>16</v>
      </c>
      <c r="E163">
        <v>17</v>
      </c>
      <c r="F163">
        <v>0</v>
      </c>
      <c r="G163">
        <v>20260316</v>
      </c>
      <c r="H163">
        <v>20260417</v>
      </c>
      <c r="I163">
        <v>171908.36610000001</v>
      </c>
      <c r="J163">
        <f t="shared" si="21"/>
        <v>33</v>
      </c>
      <c r="K163">
        <f t="shared" si="22"/>
        <v>5209.3444272727274</v>
      </c>
      <c r="L163">
        <f t="shared" si="23"/>
        <v>134300.94527905405</v>
      </c>
      <c r="M163">
        <f t="shared" si="24"/>
        <v>88558.85526363636</v>
      </c>
      <c r="N163">
        <f t="shared" si="25"/>
        <v>0</v>
      </c>
      <c r="O163">
        <f t="shared" si="26"/>
        <v>222859.80054269041</v>
      </c>
      <c r="P163">
        <f t="shared" si="27"/>
        <v>103596.32384300337</v>
      </c>
      <c r="Q163">
        <f t="shared" si="28"/>
        <v>68312.042256996647</v>
      </c>
      <c r="R163">
        <f t="shared" si="29"/>
        <v>0</v>
      </c>
      <c r="S163">
        <f t="shared" si="30"/>
        <v>171908.36610000001</v>
      </c>
    </row>
    <row r="164" spans="1:19" x14ac:dyDescent="0.3">
      <c r="A164" t="s">
        <v>13</v>
      </c>
      <c r="B164" t="s">
        <v>24</v>
      </c>
      <c r="C164" t="s">
        <v>15</v>
      </c>
      <c r="D164">
        <v>25</v>
      </c>
      <c r="E164">
        <v>4</v>
      </c>
      <c r="F164">
        <v>0</v>
      </c>
      <c r="G164">
        <v>20260307</v>
      </c>
      <c r="H164">
        <v>20260404</v>
      </c>
      <c r="I164">
        <v>164584.12119999999</v>
      </c>
      <c r="J164">
        <f t="shared" si="21"/>
        <v>29</v>
      </c>
      <c r="K164">
        <f t="shared" si="22"/>
        <v>5675.3145241379307</v>
      </c>
      <c r="L164">
        <f t="shared" si="23"/>
        <v>228615.65043976752</v>
      </c>
      <c r="M164">
        <f t="shared" si="24"/>
        <v>22701.258096551723</v>
      </c>
      <c r="N164">
        <f t="shared" si="25"/>
        <v>0</v>
      </c>
      <c r="O164">
        <f t="shared" si="26"/>
        <v>251316.90853631924</v>
      </c>
      <c r="P164">
        <f t="shared" si="27"/>
        <v>149717.3673643129</v>
      </c>
      <c r="Q164">
        <f t="shared" si="28"/>
        <v>14866.753835687106</v>
      </c>
      <c r="R164">
        <f t="shared" si="29"/>
        <v>0</v>
      </c>
      <c r="S164">
        <f t="shared" si="30"/>
        <v>164584.12119999999</v>
      </c>
    </row>
    <row r="165" spans="1:19" x14ac:dyDescent="0.3">
      <c r="A165" t="s">
        <v>13</v>
      </c>
      <c r="B165" t="s">
        <v>24</v>
      </c>
      <c r="C165" t="s">
        <v>14</v>
      </c>
      <c r="D165">
        <v>22</v>
      </c>
      <c r="E165">
        <v>1</v>
      </c>
      <c r="F165">
        <v>0</v>
      </c>
      <c r="G165">
        <v>20260310</v>
      </c>
      <c r="H165">
        <v>20260401</v>
      </c>
      <c r="I165">
        <v>147996.52919999999</v>
      </c>
      <c r="J165">
        <f t="shared" si="21"/>
        <v>23</v>
      </c>
      <c r="K165">
        <f t="shared" si="22"/>
        <v>6434.6317043478257</v>
      </c>
      <c r="L165">
        <f t="shared" si="23"/>
        <v>228098.4790239243</v>
      </c>
      <c r="M165">
        <f t="shared" si="24"/>
        <v>6434.6317043478257</v>
      </c>
      <c r="N165">
        <f t="shared" si="25"/>
        <v>0</v>
      </c>
      <c r="O165">
        <f t="shared" si="26"/>
        <v>234533.11072827212</v>
      </c>
      <c r="P165">
        <f t="shared" si="27"/>
        <v>143936.10823868384</v>
      </c>
      <c r="Q165">
        <f t="shared" si="28"/>
        <v>4060.4209613161538</v>
      </c>
      <c r="R165">
        <f t="shared" si="29"/>
        <v>0</v>
      </c>
      <c r="S165">
        <f t="shared" si="30"/>
        <v>147996.52919999999</v>
      </c>
    </row>
    <row r="166" spans="1:19" x14ac:dyDescent="0.3">
      <c r="A166" t="s">
        <v>13</v>
      </c>
      <c r="B166" t="s">
        <v>33</v>
      </c>
      <c r="C166" t="s">
        <v>15</v>
      </c>
      <c r="D166">
        <v>0</v>
      </c>
      <c r="E166">
        <v>25</v>
      </c>
      <c r="F166">
        <v>3</v>
      </c>
      <c r="G166">
        <v>20260406</v>
      </c>
      <c r="H166">
        <v>20260503</v>
      </c>
      <c r="I166">
        <v>152609.14120000001</v>
      </c>
      <c r="J166">
        <f t="shared" si="21"/>
        <v>28</v>
      </c>
      <c r="K166">
        <f t="shared" si="22"/>
        <v>5450.3264714285715</v>
      </c>
      <c r="L166">
        <f t="shared" si="23"/>
        <v>0</v>
      </c>
      <c r="M166">
        <f t="shared" si="24"/>
        <v>136258.1617857143</v>
      </c>
      <c r="N166">
        <f t="shared" si="25"/>
        <v>12287.686211529162</v>
      </c>
      <c r="O166">
        <f t="shared" si="26"/>
        <v>148545.84799724346</v>
      </c>
      <c r="P166">
        <f t="shared" si="27"/>
        <v>0</v>
      </c>
      <c r="Q166">
        <f t="shared" si="28"/>
        <v>139985.34009509571</v>
      </c>
      <c r="R166">
        <f t="shared" si="29"/>
        <v>12623.801104904294</v>
      </c>
      <c r="S166">
        <f t="shared" si="30"/>
        <v>152609.14120000001</v>
      </c>
    </row>
    <row r="167" spans="1:19" x14ac:dyDescent="0.3">
      <c r="A167" t="s">
        <v>13</v>
      </c>
      <c r="B167" t="s">
        <v>33</v>
      </c>
      <c r="C167" t="s">
        <v>15</v>
      </c>
      <c r="D167">
        <v>0</v>
      </c>
      <c r="E167">
        <v>25</v>
      </c>
      <c r="F167">
        <v>2</v>
      </c>
      <c r="G167">
        <v>20260406</v>
      </c>
      <c r="H167">
        <v>20260502</v>
      </c>
      <c r="I167">
        <v>133999.24799999999</v>
      </c>
      <c r="J167">
        <f t="shared" si="21"/>
        <v>27</v>
      </c>
      <c r="K167">
        <f t="shared" si="22"/>
        <v>4962.9351111111109</v>
      </c>
      <c r="L167">
        <f t="shared" si="23"/>
        <v>0</v>
      </c>
      <c r="M167">
        <f t="shared" si="24"/>
        <v>124073.37777777777</v>
      </c>
      <c r="N167">
        <f t="shared" si="25"/>
        <v>7459.2460535096297</v>
      </c>
      <c r="O167">
        <f t="shared" si="26"/>
        <v>131532.6238312874</v>
      </c>
      <c r="P167">
        <f t="shared" si="27"/>
        <v>0</v>
      </c>
      <c r="Q167">
        <f t="shared" si="28"/>
        <v>126400.11910936577</v>
      </c>
      <c r="R167">
        <f t="shared" si="29"/>
        <v>7599.1288906342115</v>
      </c>
      <c r="S167">
        <f t="shared" si="30"/>
        <v>133999.24799999999</v>
      </c>
    </row>
    <row r="168" spans="1:19" x14ac:dyDescent="0.3">
      <c r="A168" t="s">
        <v>13</v>
      </c>
      <c r="B168" t="s">
        <v>33</v>
      </c>
      <c r="C168" t="s">
        <v>15</v>
      </c>
      <c r="D168">
        <v>24</v>
      </c>
      <c r="E168">
        <v>6</v>
      </c>
      <c r="F168">
        <v>0</v>
      </c>
      <c r="G168">
        <v>20260308</v>
      </c>
      <c r="H168">
        <v>20260406</v>
      </c>
      <c r="I168">
        <v>58705.546300000002</v>
      </c>
      <c r="J168">
        <f t="shared" si="21"/>
        <v>30</v>
      </c>
      <c r="K168">
        <f t="shared" si="22"/>
        <v>1956.8515433333334</v>
      </c>
      <c r="L168">
        <f t="shared" si="23"/>
        <v>75673.728923899675</v>
      </c>
      <c r="M168">
        <f t="shared" si="24"/>
        <v>11741.109260000001</v>
      </c>
      <c r="N168">
        <f t="shared" si="25"/>
        <v>0</v>
      </c>
      <c r="O168">
        <f t="shared" si="26"/>
        <v>87414.838183899672</v>
      </c>
      <c r="P168">
        <f t="shared" si="27"/>
        <v>50820.520741453125</v>
      </c>
      <c r="Q168">
        <f t="shared" si="28"/>
        <v>7885.0255585468822</v>
      </c>
      <c r="R168">
        <f t="shared" si="29"/>
        <v>0</v>
      </c>
      <c r="S168">
        <f t="shared" si="30"/>
        <v>58705.546300000009</v>
      </c>
    </row>
    <row r="169" spans="1:19" x14ac:dyDescent="0.3">
      <c r="A169" t="s">
        <v>13</v>
      </c>
      <c r="B169" t="s">
        <v>33</v>
      </c>
      <c r="C169" t="s">
        <v>14</v>
      </c>
      <c r="D169">
        <v>0</v>
      </c>
      <c r="E169">
        <v>26</v>
      </c>
      <c r="F169">
        <v>3</v>
      </c>
      <c r="G169">
        <v>20260405</v>
      </c>
      <c r="H169">
        <v>20260503</v>
      </c>
      <c r="I169">
        <v>15060.141100000001</v>
      </c>
      <c r="J169">
        <f t="shared" si="21"/>
        <v>29</v>
      </c>
      <c r="K169">
        <f t="shared" si="22"/>
        <v>519.31521034482762</v>
      </c>
      <c r="L169">
        <f t="shared" si="23"/>
        <v>0</v>
      </c>
      <c r="M169">
        <f t="shared" si="24"/>
        <v>13502.195468965518</v>
      </c>
      <c r="N169">
        <f t="shared" si="25"/>
        <v>1170.7890129229174</v>
      </c>
      <c r="O169">
        <f t="shared" si="26"/>
        <v>14672.984481888436</v>
      </c>
      <c r="P169">
        <f t="shared" si="27"/>
        <v>0</v>
      </c>
      <c r="Q169">
        <f t="shared" si="28"/>
        <v>13858.460027228937</v>
      </c>
      <c r="R169">
        <f t="shared" si="29"/>
        <v>1201.6810727710633</v>
      </c>
      <c r="S169">
        <f t="shared" si="30"/>
        <v>15060.141100000001</v>
      </c>
    </row>
    <row r="170" spans="1:19" x14ac:dyDescent="0.3">
      <c r="A170" t="s">
        <v>13</v>
      </c>
      <c r="B170" t="s">
        <v>33</v>
      </c>
      <c r="C170" t="s">
        <v>14</v>
      </c>
      <c r="D170">
        <v>22</v>
      </c>
      <c r="E170">
        <v>3</v>
      </c>
      <c r="F170">
        <v>0</v>
      </c>
      <c r="G170">
        <v>20260310</v>
      </c>
      <c r="H170">
        <v>20260403</v>
      </c>
      <c r="I170">
        <v>4729.5919000000004</v>
      </c>
      <c r="J170">
        <f t="shared" si="21"/>
        <v>25</v>
      </c>
      <c r="K170">
        <f t="shared" si="22"/>
        <v>189.18367600000002</v>
      </c>
      <c r="L170">
        <f t="shared" si="23"/>
        <v>6706.2903883989366</v>
      </c>
      <c r="M170">
        <f t="shared" si="24"/>
        <v>567.55102800000009</v>
      </c>
      <c r="N170">
        <f t="shared" si="25"/>
        <v>0</v>
      </c>
      <c r="O170">
        <f t="shared" si="26"/>
        <v>7273.8414163989364</v>
      </c>
      <c r="P170">
        <f t="shared" si="27"/>
        <v>4360.5592814425308</v>
      </c>
      <c r="Q170">
        <f t="shared" si="28"/>
        <v>369.03261855746968</v>
      </c>
      <c r="R170">
        <f t="shared" si="29"/>
        <v>0</v>
      </c>
      <c r="S170">
        <f t="shared" si="30"/>
        <v>4729.5919000000004</v>
      </c>
    </row>
    <row r="171" spans="1:19" x14ac:dyDescent="0.3">
      <c r="A171" t="s">
        <v>13</v>
      </c>
      <c r="B171" t="s">
        <v>24</v>
      </c>
      <c r="C171" t="s">
        <v>15</v>
      </c>
      <c r="D171">
        <v>15</v>
      </c>
      <c r="E171">
        <v>17</v>
      </c>
      <c r="F171">
        <v>0</v>
      </c>
      <c r="G171">
        <v>20260317</v>
      </c>
      <c r="H171">
        <v>20260417</v>
      </c>
      <c r="I171">
        <v>440893.3836</v>
      </c>
      <c r="J171">
        <f t="shared" si="21"/>
        <v>32</v>
      </c>
      <c r="K171">
        <f t="shared" si="22"/>
        <v>13777.9182375</v>
      </c>
      <c r="L171">
        <f t="shared" si="23"/>
        <v>333005.09349836817</v>
      </c>
      <c r="M171">
        <f t="shared" si="24"/>
        <v>234224.61003750001</v>
      </c>
      <c r="N171">
        <f t="shared" si="25"/>
        <v>0</v>
      </c>
      <c r="O171">
        <f t="shared" si="26"/>
        <v>567229.7035358682</v>
      </c>
      <c r="P171">
        <f t="shared" si="27"/>
        <v>258836.48460811947</v>
      </c>
      <c r="Q171">
        <f t="shared" si="28"/>
        <v>182056.89899188053</v>
      </c>
      <c r="R171">
        <f t="shared" si="29"/>
        <v>0</v>
      </c>
      <c r="S171">
        <f t="shared" si="30"/>
        <v>440893.3836</v>
      </c>
    </row>
    <row r="172" spans="1:19" x14ac:dyDescent="0.3">
      <c r="A172" t="s">
        <v>13</v>
      </c>
      <c r="B172" t="s">
        <v>33</v>
      </c>
      <c r="C172" t="s">
        <v>14</v>
      </c>
      <c r="D172">
        <v>0</v>
      </c>
      <c r="E172">
        <v>22</v>
      </c>
      <c r="F172">
        <v>11</v>
      </c>
      <c r="G172">
        <v>20260409</v>
      </c>
      <c r="H172">
        <v>20260511</v>
      </c>
      <c r="I172">
        <v>126301.11470000001</v>
      </c>
      <c r="J172">
        <f t="shared" si="21"/>
        <v>33</v>
      </c>
      <c r="K172">
        <f t="shared" si="22"/>
        <v>3827.3065060606064</v>
      </c>
      <c r="L172">
        <f t="shared" si="23"/>
        <v>0</v>
      </c>
      <c r="M172">
        <f t="shared" si="24"/>
        <v>84200.743133333337</v>
      </c>
      <c r="N172">
        <f t="shared" si="25"/>
        <v>31638.236590770193</v>
      </c>
      <c r="O172">
        <f t="shared" si="26"/>
        <v>115838.97972410353</v>
      </c>
      <c r="P172">
        <f t="shared" si="27"/>
        <v>0</v>
      </c>
      <c r="Q172">
        <f t="shared" si="28"/>
        <v>91805.433211145049</v>
      </c>
      <c r="R172">
        <f t="shared" si="29"/>
        <v>34495.681488854963</v>
      </c>
      <c r="S172">
        <f t="shared" si="30"/>
        <v>126301.11470000001</v>
      </c>
    </row>
    <row r="173" spans="1:19" x14ac:dyDescent="0.3">
      <c r="A173" t="s">
        <v>13</v>
      </c>
      <c r="B173" t="s">
        <v>33</v>
      </c>
      <c r="C173" t="s">
        <v>15</v>
      </c>
      <c r="D173">
        <v>0</v>
      </c>
      <c r="E173">
        <v>24</v>
      </c>
      <c r="F173">
        <v>3</v>
      </c>
      <c r="G173">
        <v>20260407</v>
      </c>
      <c r="H173">
        <v>20260503</v>
      </c>
      <c r="I173">
        <v>34775.319199999998</v>
      </c>
      <c r="J173">
        <f t="shared" si="21"/>
        <v>27</v>
      </c>
      <c r="K173">
        <f t="shared" si="22"/>
        <v>1287.9747851851851</v>
      </c>
      <c r="L173">
        <f t="shared" si="23"/>
        <v>0</v>
      </c>
      <c r="M173">
        <f t="shared" si="24"/>
        <v>30911.39484444444</v>
      </c>
      <c r="N173">
        <f t="shared" si="25"/>
        <v>2903.721472774283</v>
      </c>
      <c r="O173">
        <f t="shared" si="26"/>
        <v>33815.116317218723</v>
      </c>
      <c r="P173">
        <f t="shared" si="27"/>
        <v>0</v>
      </c>
      <c r="Q173">
        <f t="shared" si="28"/>
        <v>31789.144610613723</v>
      </c>
      <c r="R173">
        <f t="shared" si="29"/>
        <v>2986.1745893862767</v>
      </c>
      <c r="S173">
        <f t="shared" si="30"/>
        <v>34775.319199999998</v>
      </c>
    </row>
    <row r="174" spans="1:19" x14ac:dyDescent="0.3">
      <c r="A174" t="s">
        <v>13</v>
      </c>
      <c r="B174" t="s">
        <v>33</v>
      </c>
      <c r="C174" t="s">
        <v>14</v>
      </c>
      <c r="D174">
        <v>30</v>
      </c>
      <c r="E174">
        <v>8</v>
      </c>
      <c r="F174">
        <v>0</v>
      </c>
      <c r="G174">
        <v>20260302</v>
      </c>
      <c r="H174">
        <v>20260408</v>
      </c>
      <c r="I174">
        <v>1012.3991</v>
      </c>
      <c r="J174">
        <f t="shared" si="21"/>
        <v>38</v>
      </c>
      <c r="K174">
        <f t="shared" si="22"/>
        <v>26.642081578947369</v>
      </c>
      <c r="L174">
        <f t="shared" si="23"/>
        <v>1287.8504160434522</v>
      </c>
      <c r="M174">
        <f t="shared" si="24"/>
        <v>213.13665263157895</v>
      </c>
      <c r="N174">
        <f t="shared" si="25"/>
        <v>0</v>
      </c>
      <c r="O174">
        <f t="shared" si="26"/>
        <v>1500.9870686750312</v>
      </c>
      <c r="P174">
        <f t="shared" si="27"/>
        <v>868.64079601161291</v>
      </c>
      <c r="Q174">
        <f t="shared" si="28"/>
        <v>143.75830398838707</v>
      </c>
      <c r="R174">
        <f t="shared" si="29"/>
        <v>0</v>
      </c>
      <c r="S174">
        <f t="shared" si="30"/>
        <v>1012.3991</v>
      </c>
    </row>
    <row r="175" spans="1:19" x14ac:dyDescent="0.3">
      <c r="A175" t="s">
        <v>13</v>
      </c>
      <c r="B175" t="s">
        <v>24</v>
      </c>
      <c r="C175" t="s">
        <v>14</v>
      </c>
      <c r="D175">
        <v>30</v>
      </c>
      <c r="E175">
        <v>8</v>
      </c>
      <c r="F175">
        <v>0</v>
      </c>
      <c r="G175">
        <v>20260302</v>
      </c>
      <c r="H175">
        <v>20260408</v>
      </c>
      <c r="I175">
        <v>3796.4964</v>
      </c>
      <c r="J175">
        <f t="shared" si="21"/>
        <v>38</v>
      </c>
      <c r="K175">
        <f t="shared" si="22"/>
        <v>99.907799999999995</v>
      </c>
      <c r="L175">
        <f t="shared" si="23"/>
        <v>4829.4387739454414</v>
      </c>
      <c r="M175">
        <f t="shared" si="24"/>
        <v>799.26239999999996</v>
      </c>
      <c r="N175">
        <f t="shared" si="25"/>
        <v>0</v>
      </c>
      <c r="O175">
        <f t="shared" si="26"/>
        <v>5628.701173945441</v>
      </c>
      <c r="P175">
        <f t="shared" si="27"/>
        <v>3257.4027919930227</v>
      </c>
      <c r="Q175">
        <f t="shared" si="28"/>
        <v>539.09360800697789</v>
      </c>
      <c r="R175">
        <f t="shared" si="29"/>
        <v>0</v>
      </c>
      <c r="S175">
        <f t="shared" si="30"/>
        <v>3796.4964000000004</v>
      </c>
    </row>
    <row r="176" spans="1:19" x14ac:dyDescent="0.3">
      <c r="A176" t="s">
        <v>13</v>
      </c>
      <c r="B176" t="s">
        <v>33</v>
      </c>
      <c r="C176" t="s">
        <v>14</v>
      </c>
      <c r="D176">
        <v>0</v>
      </c>
      <c r="E176">
        <v>25</v>
      </c>
      <c r="F176">
        <v>5</v>
      </c>
      <c r="G176">
        <v>20260406</v>
      </c>
      <c r="H176">
        <v>20260505</v>
      </c>
      <c r="I176">
        <v>78980.074600000007</v>
      </c>
      <c r="J176">
        <f t="shared" si="21"/>
        <v>30</v>
      </c>
      <c r="K176">
        <f t="shared" si="22"/>
        <v>2632.6691533333337</v>
      </c>
      <c r="L176">
        <f t="shared" si="23"/>
        <v>0</v>
      </c>
      <c r="M176">
        <f t="shared" si="24"/>
        <v>65816.728833333342</v>
      </c>
      <c r="N176">
        <f t="shared" si="25"/>
        <v>9892.1941112190343</v>
      </c>
      <c r="O176">
        <f t="shared" si="26"/>
        <v>75708.922944552382</v>
      </c>
      <c r="P176">
        <f t="shared" si="27"/>
        <v>0</v>
      </c>
      <c r="Q176">
        <f t="shared" si="28"/>
        <v>68660.468951482748</v>
      </c>
      <c r="R176">
        <f t="shared" si="29"/>
        <v>10319.605648517252</v>
      </c>
      <c r="S176">
        <f t="shared" si="30"/>
        <v>78980.074599999993</v>
      </c>
    </row>
    <row r="177" spans="1:19" x14ac:dyDescent="0.3">
      <c r="A177" t="s">
        <v>13</v>
      </c>
      <c r="B177" t="s">
        <v>33</v>
      </c>
      <c r="C177" t="s">
        <v>14</v>
      </c>
      <c r="D177">
        <v>26</v>
      </c>
      <c r="E177">
        <v>5</v>
      </c>
      <c r="F177">
        <v>0</v>
      </c>
      <c r="G177">
        <v>20260306</v>
      </c>
      <c r="H177">
        <v>20260405</v>
      </c>
      <c r="I177">
        <v>11360.022499999999</v>
      </c>
      <c r="J177">
        <f t="shared" si="21"/>
        <v>31</v>
      </c>
      <c r="K177">
        <f t="shared" si="22"/>
        <v>366.45233870967741</v>
      </c>
      <c r="L177">
        <f t="shared" si="23"/>
        <v>15352.06709504667</v>
      </c>
      <c r="M177">
        <f t="shared" si="24"/>
        <v>1832.261693548387</v>
      </c>
      <c r="N177">
        <f t="shared" si="25"/>
        <v>0</v>
      </c>
      <c r="O177">
        <f t="shared" si="26"/>
        <v>17184.328788595056</v>
      </c>
      <c r="P177">
        <f t="shared" si="27"/>
        <v>10148.771579427994</v>
      </c>
      <c r="Q177">
        <f t="shared" si="28"/>
        <v>1211.2509205720055</v>
      </c>
      <c r="R177">
        <f t="shared" si="29"/>
        <v>0</v>
      </c>
      <c r="S177">
        <f t="shared" si="30"/>
        <v>11360.022499999999</v>
      </c>
    </row>
    <row r="178" spans="1:19" x14ac:dyDescent="0.3">
      <c r="A178" t="s">
        <v>13</v>
      </c>
      <c r="B178" t="s">
        <v>24</v>
      </c>
      <c r="C178" t="s">
        <v>14</v>
      </c>
      <c r="D178">
        <v>24</v>
      </c>
      <c r="E178">
        <v>1</v>
      </c>
      <c r="F178">
        <v>0</v>
      </c>
      <c r="G178">
        <v>20260308</v>
      </c>
      <c r="H178">
        <v>20260401</v>
      </c>
      <c r="I178">
        <v>1334.9266</v>
      </c>
      <c r="J178">
        <f t="shared" si="21"/>
        <v>25</v>
      </c>
      <c r="K178">
        <f t="shared" si="22"/>
        <v>53.397064</v>
      </c>
      <c r="L178">
        <f t="shared" si="23"/>
        <v>2064.9266727638587</v>
      </c>
      <c r="M178">
        <f t="shared" si="24"/>
        <v>53.397064</v>
      </c>
      <c r="N178">
        <f t="shared" si="25"/>
        <v>0</v>
      </c>
      <c r="O178">
        <f t="shared" si="26"/>
        <v>2118.3237367638585</v>
      </c>
      <c r="P178">
        <f t="shared" si="27"/>
        <v>1301.2768042400764</v>
      </c>
      <c r="Q178">
        <f t="shared" si="28"/>
        <v>33.649795759923791</v>
      </c>
      <c r="R178">
        <f t="shared" si="29"/>
        <v>0</v>
      </c>
      <c r="S178">
        <f t="shared" si="30"/>
        <v>1334.9266000000002</v>
      </c>
    </row>
    <row r="179" spans="1:19" x14ac:dyDescent="0.3">
      <c r="A179" t="s">
        <v>13</v>
      </c>
      <c r="B179" t="s">
        <v>24</v>
      </c>
      <c r="C179" t="s">
        <v>14</v>
      </c>
      <c r="D179">
        <v>22</v>
      </c>
      <c r="E179">
        <v>2</v>
      </c>
      <c r="F179">
        <v>0</v>
      </c>
      <c r="G179">
        <v>20260310</v>
      </c>
      <c r="H179">
        <v>20260402</v>
      </c>
      <c r="I179">
        <v>50177.902499999997</v>
      </c>
      <c r="J179">
        <f t="shared" si="21"/>
        <v>24</v>
      </c>
      <c r="K179">
        <f t="shared" si="22"/>
        <v>2090.7459374999999</v>
      </c>
      <c r="L179">
        <f t="shared" si="23"/>
        <v>74113.949372885487</v>
      </c>
      <c r="M179">
        <f t="shared" si="24"/>
        <v>4181.4918749999997</v>
      </c>
      <c r="N179">
        <f t="shared" si="25"/>
        <v>0</v>
      </c>
      <c r="O179">
        <f t="shared" si="26"/>
        <v>78295.441247885494</v>
      </c>
      <c r="P179">
        <f t="shared" si="27"/>
        <v>47498.072253638631</v>
      </c>
      <c r="Q179">
        <f t="shared" si="28"/>
        <v>2679.8302463613572</v>
      </c>
      <c r="R179">
        <f t="shared" si="29"/>
        <v>0</v>
      </c>
      <c r="S179">
        <f t="shared" si="30"/>
        <v>50177.902499999989</v>
      </c>
    </row>
    <row r="180" spans="1:19" x14ac:dyDescent="0.3">
      <c r="A180" t="s">
        <v>13</v>
      </c>
      <c r="B180" t="s">
        <v>33</v>
      </c>
      <c r="C180" t="s">
        <v>15</v>
      </c>
      <c r="D180">
        <v>0</v>
      </c>
      <c r="E180">
        <v>21</v>
      </c>
      <c r="F180">
        <v>0</v>
      </c>
      <c r="G180">
        <v>20260403</v>
      </c>
      <c r="H180">
        <v>20260423</v>
      </c>
      <c r="I180">
        <v>11849.895500000001</v>
      </c>
      <c r="J180">
        <f t="shared" si="21"/>
        <v>21</v>
      </c>
      <c r="K180">
        <f t="shared" si="22"/>
        <v>564.28073809523812</v>
      </c>
      <c r="L180">
        <f t="shared" si="23"/>
        <v>0</v>
      </c>
      <c r="M180">
        <f t="shared" si="24"/>
        <v>11849.895500000001</v>
      </c>
      <c r="N180">
        <f t="shared" si="25"/>
        <v>0</v>
      </c>
      <c r="O180">
        <f t="shared" si="26"/>
        <v>11849.895500000001</v>
      </c>
      <c r="P180">
        <f t="shared" si="27"/>
        <v>0</v>
      </c>
      <c r="Q180">
        <f t="shared" si="28"/>
        <v>11849.895500000001</v>
      </c>
      <c r="R180">
        <f t="shared" si="29"/>
        <v>0</v>
      </c>
      <c r="S180">
        <f t="shared" si="30"/>
        <v>11849.895500000001</v>
      </c>
    </row>
    <row r="181" spans="1:19" x14ac:dyDescent="0.3">
      <c r="A181" t="s">
        <v>13</v>
      </c>
      <c r="B181" t="s">
        <v>33</v>
      </c>
      <c r="C181" t="s">
        <v>15</v>
      </c>
      <c r="D181">
        <v>22</v>
      </c>
      <c r="E181">
        <v>1</v>
      </c>
      <c r="F181">
        <v>0</v>
      </c>
      <c r="G181">
        <v>20260310</v>
      </c>
      <c r="H181">
        <v>20260401</v>
      </c>
      <c r="I181">
        <v>2270.4472000000001</v>
      </c>
      <c r="J181">
        <f t="shared" si="21"/>
        <v>23</v>
      </c>
      <c r="K181">
        <f t="shared" si="22"/>
        <v>98.715095652173915</v>
      </c>
      <c r="L181">
        <f t="shared" si="23"/>
        <v>3499.3087731420096</v>
      </c>
      <c r="M181">
        <f t="shared" si="24"/>
        <v>98.715095652173915</v>
      </c>
      <c r="N181">
        <f t="shared" si="25"/>
        <v>0</v>
      </c>
      <c r="O181">
        <f t="shared" si="26"/>
        <v>3598.0238687941837</v>
      </c>
      <c r="P181">
        <f t="shared" si="27"/>
        <v>2208.1553918591262</v>
      </c>
      <c r="Q181">
        <f t="shared" si="28"/>
        <v>62.291808140873428</v>
      </c>
      <c r="R181">
        <f t="shared" si="29"/>
        <v>0</v>
      </c>
      <c r="S181">
        <f t="shared" si="30"/>
        <v>2270.4471999999996</v>
      </c>
    </row>
    <row r="182" spans="1:19" x14ac:dyDescent="0.3">
      <c r="A182" t="s">
        <v>13</v>
      </c>
      <c r="B182" t="s">
        <v>33</v>
      </c>
      <c r="C182" t="s">
        <v>14</v>
      </c>
      <c r="D182">
        <v>30</v>
      </c>
      <c r="E182">
        <v>5</v>
      </c>
      <c r="F182">
        <v>0</v>
      </c>
      <c r="G182">
        <v>20260302</v>
      </c>
      <c r="H182">
        <v>20260405</v>
      </c>
      <c r="I182">
        <v>2157.7784000000001</v>
      </c>
      <c r="J182">
        <f t="shared" si="21"/>
        <v>35</v>
      </c>
      <c r="K182">
        <f t="shared" si="22"/>
        <v>61.65081142857143</v>
      </c>
      <c r="L182">
        <f t="shared" si="23"/>
        <v>2980.1358768618829</v>
      </c>
      <c r="M182">
        <f t="shared" si="24"/>
        <v>308.25405714285716</v>
      </c>
      <c r="N182">
        <f t="shared" si="25"/>
        <v>0</v>
      </c>
      <c r="O182">
        <f t="shared" si="26"/>
        <v>3288.3899340047401</v>
      </c>
      <c r="P182">
        <f t="shared" si="27"/>
        <v>1955.508000332044</v>
      </c>
      <c r="Q182">
        <f t="shared" si="28"/>
        <v>202.27039966795621</v>
      </c>
      <c r="R182">
        <f t="shared" si="29"/>
        <v>0</v>
      </c>
      <c r="S182">
        <f t="shared" si="30"/>
        <v>2157.7784000000001</v>
      </c>
    </row>
    <row r="183" spans="1:19" x14ac:dyDescent="0.3">
      <c r="A183" t="s">
        <v>13</v>
      </c>
      <c r="B183" t="s">
        <v>33</v>
      </c>
      <c r="C183" t="s">
        <v>15</v>
      </c>
      <c r="D183">
        <v>0</v>
      </c>
      <c r="E183">
        <v>22</v>
      </c>
      <c r="F183">
        <v>9</v>
      </c>
      <c r="G183">
        <v>20260409</v>
      </c>
      <c r="H183">
        <v>20260509</v>
      </c>
      <c r="I183">
        <v>16886.756799999999</v>
      </c>
      <c r="J183">
        <f t="shared" si="21"/>
        <v>31</v>
      </c>
      <c r="K183">
        <f t="shared" si="22"/>
        <v>544.73409032258064</v>
      </c>
      <c r="L183">
        <f t="shared" si="23"/>
        <v>0</v>
      </c>
      <c r="M183">
        <f t="shared" si="24"/>
        <v>11984.149987096775</v>
      </c>
      <c r="N183">
        <f t="shared" si="25"/>
        <v>3684.2865866999523</v>
      </c>
      <c r="O183">
        <f t="shared" si="26"/>
        <v>15668.436573796727</v>
      </c>
      <c r="P183">
        <f t="shared" si="27"/>
        <v>0</v>
      </c>
      <c r="Q183">
        <f t="shared" si="28"/>
        <v>12915.993585809809</v>
      </c>
      <c r="R183">
        <f t="shared" si="29"/>
        <v>3970.763214190189</v>
      </c>
      <c r="S183">
        <f t="shared" si="30"/>
        <v>16886.756799999999</v>
      </c>
    </row>
    <row r="184" spans="1:19" x14ac:dyDescent="0.3">
      <c r="A184" t="s">
        <v>13</v>
      </c>
      <c r="B184" t="s">
        <v>33</v>
      </c>
      <c r="C184" t="s">
        <v>15</v>
      </c>
      <c r="D184">
        <v>0</v>
      </c>
      <c r="E184">
        <v>14</v>
      </c>
      <c r="F184">
        <v>0</v>
      </c>
      <c r="G184">
        <v>20260402</v>
      </c>
      <c r="H184">
        <v>20260415</v>
      </c>
      <c r="I184">
        <v>2357.9479999999999</v>
      </c>
      <c r="J184">
        <f t="shared" si="21"/>
        <v>14</v>
      </c>
      <c r="K184">
        <f t="shared" si="22"/>
        <v>168.42485714285712</v>
      </c>
      <c r="L184">
        <f t="shared" si="23"/>
        <v>0</v>
      </c>
      <c r="M184">
        <f t="shared" si="24"/>
        <v>2357.9479999999999</v>
      </c>
      <c r="N184">
        <f t="shared" si="25"/>
        <v>0</v>
      </c>
      <c r="O184">
        <f t="shared" si="26"/>
        <v>2357.9479999999999</v>
      </c>
      <c r="P184">
        <f t="shared" si="27"/>
        <v>0</v>
      </c>
      <c r="Q184">
        <f t="shared" si="28"/>
        <v>2357.9479999999999</v>
      </c>
      <c r="R184">
        <f t="shared" si="29"/>
        <v>0</v>
      </c>
      <c r="S184">
        <f t="shared" si="30"/>
        <v>2357.9479999999999</v>
      </c>
    </row>
    <row r="185" spans="1:19" x14ac:dyDescent="0.3">
      <c r="A185" t="s">
        <v>13</v>
      </c>
      <c r="B185" t="s">
        <v>33</v>
      </c>
      <c r="C185" t="s">
        <v>15</v>
      </c>
      <c r="D185">
        <v>28</v>
      </c>
      <c r="E185">
        <v>8</v>
      </c>
      <c r="F185">
        <v>0</v>
      </c>
      <c r="G185">
        <v>20260304</v>
      </c>
      <c r="H185">
        <v>20260408</v>
      </c>
      <c r="I185">
        <v>26151.370999999999</v>
      </c>
      <c r="J185">
        <f t="shared" si="21"/>
        <v>36</v>
      </c>
      <c r="K185">
        <f t="shared" si="22"/>
        <v>726.42697222222216</v>
      </c>
      <c r="L185">
        <f t="shared" si="23"/>
        <v>32773.740191961675</v>
      </c>
      <c r="M185">
        <f t="shared" si="24"/>
        <v>5811.4157777777773</v>
      </c>
      <c r="N185">
        <f t="shared" si="25"/>
        <v>0</v>
      </c>
      <c r="O185">
        <f t="shared" si="26"/>
        <v>38585.155969739455</v>
      </c>
      <c r="P185">
        <f t="shared" si="27"/>
        <v>22212.641552875091</v>
      </c>
      <c r="Q185">
        <f t="shared" si="28"/>
        <v>3938.7294471249074</v>
      </c>
      <c r="R185">
        <f t="shared" si="29"/>
        <v>0</v>
      </c>
      <c r="S185">
        <f t="shared" si="30"/>
        <v>26151.370999999999</v>
      </c>
    </row>
    <row r="186" spans="1:19" x14ac:dyDescent="0.3">
      <c r="A186" t="s">
        <v>13</v>
      </c>
      <c r="B186" t="s">
        <v>33</v>
      </c>
      <c r="C186" t="s">
        <v>15</v>
      </c>
      <c r="D186">
        <v>0</v>
      </c>
      <c r="E186">
        <v>18</v>
      </c>
      <c r="F186">
        <v>0</v>
      </c>
      <c r="G186">
        <v>20260404</v>
      </c>
      <c r="H186">
        <v>20260421</v>
      </c>
      <c r="I186">
        <v>10331.2752</v>
      </c>
      <c r="J186">
        <f t="shared" si="21"/>
        <v>18</v>
      </c>
      <c r="K186">
        <f t="shared" si="22"/>
        <v>573.95973333333336</v>
      </c>
      <c r="L186">
        <f t="shared" si="23"/>
        <v>0</v>
      </c>
      <c r="M186">
        <f t="shared" si="24"/>
        <v>10331.2752</v>
      </c>
      <c r="N186">
        <f t="shared" si="25"/>
        <v>0</v>
      </c>
      <c r="O186">
        <f t="shared" si="26"/>
        <v>10331.2752</v>
      </c>
      <c r="P186">
        <f t="shared" si="27"/>
        <v>0</v>
      </c>
      <c r="Q186">
        <f t="shared" si="28"/>
        <v>10331.2752</v>
      </c>
      <c r="R186">
        <f t="shared" si="29"/>
        <v>0</v>
      </c>
      <c r="S186">
        <f t="shared" si="30"/>
        <v>10331.2752</v>
      </c>
    </row>
    <row r="187" spans="1:19" x14ac:dyDescent="0.3">
      <c r="A187" t="s">
        <v>13</v>
      </c>
      <c r="B187" t="s">
        <v>24</v>
      </c>
      <c r="C187" t="s">
        <v>15</v>
      </c>
      <c r="D187">
        <v>30</v>
      </c>
      <c r="E187">
        <v>13</v>
      </c>
      <c r="F187">
        <v>0</v>
      </c>
      <c r="G187">
        <v>20260302</v>
      </c>
      <c r="H187">
        <v>20260413</v>
      </c>
      <c r="I187">
        <v>14773.616599999999</v>
      </c>
      <c r="J187">
        <f t="shared" si="21"/>
        <v>43</v>
      </c>
      <c r="K187">
        <f t="shared" si="22"/>
        <v>343.57247906976744</v>
      </c>
      <c r="L187">
        <f t="shared" si="23"/>
        <v>16607.935036904961</v>
      </c>
      <c r="M187">
        <f t="shared" si="24"/>
        <v>4466.4422279069768</v>
      </c>
      <c r="N187">
        <f t="shared" si="25"/>
        <v>0</v>
      </c>
      <c r="O187">
        <f t="shared" si="26"/>
        <v>21074.377264811937</v>
      </c>
      <c r="P187">
        <f t="shared" si="27"/>
        <v>11642.539263194225</v>
      </c>
      <c r="Q187">
        <f t="shared" si="28"/>
        <v>3131.077336805773</v>
      </c>
      <c r="R187">
        <f t="shared" si="29"/>
        <v>0</v>
      </c>
      <c r="S187">
        <f t="shared" si="30"/>
        <v>14773.616599999998</v>
      </c>
    </row>
    <row r="188" spans="1:19" x14ac:dyDescent="0.3">
      <c r="A188" t="s">
        <v>13</v>
      </c>
      <c r="B188" t="s">
        <v>33</v>
      </c>
      <c r="C188" t="s">
        <v>15</v>
      </c>
      <c r="D188">
        <v>0</v>
      </c>
      <c r="E188">
        <v>29</v>
      </c>
      <c r="F188">
        <v>12</v>
      </c>
      <c r="G188">
        <v>20260402</v>
      </c>
      <c r="H188">
        <v>20260512</v>
      </c>
      <c r="I188">
        <v>35889.573299999996</v>
      </c>
      <c r="J188">
        <f t="shared" si="21"/>
        <v>41</v>
      </c>
      <c r="K188">
        <f t="shared" si="22"/>
        <v>875.35544634146333</v>
      </c>
      <c r="L188">
        <f t="shared" si="23"/>
        <v>0</v>
      </c>
      <c r="M188">
        <f t="shared" si="24"/>
        <v>25385.307943902437</v>
      </c>
      <c r="N188">
        <f t="shared" si="25"/>
        <v>7893.9073500143577</v>
      </c>
      <c r="O188">
        <f t="shared" si="26"/>
        <v>33279.215293916794</v>
      </c>
      <c r="P188">
        <f t="shared" si="27"/>
        <v>0</v>
      </c>
      <c r="Q188">
        <f t="shared" si="28"/>
        <v>27376.482953379476</v>
      </c>
      <c r="R188">
        <f t="shared" si="29"/>
        <v>8513.09034662052</v>
      </c>
      <c r="S188">
        <f t="shared" si="30"/>
        <v>35889.573299999996</v>
      </c>
    </row>
    <row r="189" spans="1:19" x14ac:dyDescent="0.3">
      <c r="A189" t="s">
        <v>13</v>
      </c>
      <c r="B189" t="s">
        <v>24</v>
      </c>
      <c r="C189" t="s">
        <v>15</v>
      </c>
      <c r="D189">
        <v>29</v>
      </c>
      <c r="E189">
        <v>9</v>
      </c>
      <c r="F189">
        <v>0</v>
      </c>
      <c r="G189">
        <v>20260303</v>
      </c>
      <c r="H189">
        <v>20260409</v>
      </c>
      <c r="I189">
        <v>18699.030500000001</v>
      </c>
      <c r="J189">
        <f t="shared" si="21"/>
        <v>38</v>
      </c>
      <c r="K189">
        <f t="shared" si="22"/>
        <v>492.07975000000005</v>
      </c>
      <c r="L189">
        <f t="shared" si="23"/>
        <v>22993.73412659072</v>
      </c>
      <c r="M189">
        <f t="shared" si="24"/>
        <v>4428.7177500000007</v>
      </c>
      <c r="N189">
        <f t="shared" si="25"/>
        <v>0</v>
      </c>
      <c r="O189">
        <f t="shared" si="26"/>
        <v>27422.45187659072</v>
      </c>
      <c r="P189">
        <f t="shared" si="27"/>
        <v>15679.142684868679</v>
      </c>
      <c r="Q189">
        <f t="shared" si="28"/>
        <v>3019.8878151313229</v>
      </c>
      <c r="R189">
        <f t="shared" si="29"/>
        <v>0</v>
      </c>
      <c r="S189">
        <f t="shared" si="30"/>
        <v>18699.030500000001</v>
      </c>
    </row>
    <row r="190" spans="1:19" x14ac:dyDescent="0.3">
      <c r="A190" t="s">
        <v>13</v>
      </c>
      <c r="B190" t="s">
        <v>24</v>
      </c>
      <c r="C190" t="s">
        <v>14</v>
      </c>
      <c r="D190">
        <v>24</v>
      </c>
      <c r="E190">
        <v>6</v>
      </c>
      <c r="F190">
        <v>0</v>
      </c>
      <c r="G190">
        <v>20260308</v>
      </c>
      <c r="H190">
        <v>20260406</v>
      </c>
      <c r="I190">
        <v>7749.9070000000002</v>
      </c>
      <c r="J190">
        <f t="shared" si="21"/>
        <v>30</v>
      </c>
      <c r="K190">
        <f t="shared" si="22"/>
        <v>258.33023333333335</v>
      </c>
      <c r="L190">
        <f t="shared" si="23"/>
        <v>9989.9310791940025</v>
      </c>
      <c r="M190">
        <f t="shared" si="24"/>
        <v>1549.9814000000001</v>
      </c>
      <c r="N190">
        <f t="shared" si="25"/>
        <v>0</v>
      </c>
      <c r="O190">
        <f t="shared" si="26"/>
        <v>11539.912479194003</v>
      </c>
      <c r="P190">
        <f t="shared" si="27"/>
        <v>6708.9795472669457</v>
      </c>
      <c r="Q190">
        <f t="shared" si="28"/>
        <v>1040.9274527330545</v>
      </c>
      <c r="R190">
        <f t="shared" si="29"/>
        <v>0</v>
      </c>
      <c r="S190">
        <f t="shared" si="30"/>
        <v>7749.9070000000002</v>
      </c>
    </row>
    <row r="191" spans="1:19" x14ac:dyDescent="0.3">
      <c r="A191" t="s">
        <v>13</v>
      </c>
      <c r="B191" t="s">
        <v>33</v>
      </c>
      <c r="C191" t="s">
        <v>14</v>
      </c>
      <c r="D191">
        <v>0</v>
      </c>
      <c r="E191">
        <v>24</v>
      </c>
      <c r="F191">
        <v>10</v>
      </c>
      <c r="G191">
        <v>20260407</v>
      </c>
      <c r="H191">
        <v>20260510</v>
      </c>
      <c r="I191">
        <v>17515.499100000001</v>
      </c>
      <c r="J191">
        <f t="shared" si="21"/>
        <v>34</v>
      </c>
      <c r="K191">
        <f t="shared" si="22"/>
        <v>515.16173823529414</v>
      </c>
      <c r="L191">
        <f t="shared" si="23"/>
        <v>0</v>
      </c>
      <c r="M191">
        <f t="shared" si="24"/>
        <v>12363.881717647058</v>
      </c>
      <c r="N191">
        <f t="shared" si="25"/>
        <v>3871.4168902265419</v>
      </c>
      <c r="O191">
        <f t="shared" si="26"/>
        <v>16235.298607873599</v>
      </c>
      <c r="P191">
        <f t="shared" si="27"/>
        <v>0</v>
      </c>
      <c r="Q191">
        <f t="shared" si="28"/>
        <v>13338.809733559756</v>
      </c>
      <c r="R191">
        <f t="shared" si="29"/>
        <v>4176.689366440246</v>
      </c>
      <c r="S191">
        <f t="shared" si="30"/>
        <v>17515.499100000001</v>
      </c>
    </row>
    <row r="192" spans="1:19" x14ac:dyDescent="0.3">
      <c r="A192" t="s">
        <v>13</v>
      </c>
      <c r="B192" t="s">
        <v>33</v>
      </c>
      <c r="C192" t="s">
        <v>15</v>
      </c>
      <c r="D192">
        <v>16</v>
      </c>
      <c r="E192">
        <v>16</v>
      </c>
      <c r="F192">
        <v>0</v>
      </c>
      <c r="G192">
        <v>20260316</v>
      </c>
      <c r="H192">
        <v>20260416</v>
      </c>
      <c r="I192">
        <v>6845.7924999999996</v>
      </c>
      <c r="J192">
        <f t="shared" si="21"/>
        <v>32</v>
      </c>
      <c r="K192">
        <f t="shared" si="22"/>
        <v>213.93101562499999</v>
      </c>
      <c r="L192">
        <f t="shared" si="23"/>
        <v>5515.3077367140668</v>
      </c>
      <c r="M192">
        <f t="shared" si="24"/>
        <v>3422.8962499999998</v>
      </c>
      <c r="N192">
        <f t="shared" si="25"/>
        <v>0</v>
      </c>
      <c r="O192">
        <f t="shared" si="26"/>
        <v>8938.2039867140666</v>
      </c>
      <c r="P192">
        <f t="shared" si="27"/>
        <v>4224.1878117025981</v>
      </c>
      <c r="Q192">
        <f t="shared" si="28"/>
        <v>2621.6046882974015</v>
      </c>
      <c r="R192">
        <f t="shared" si="29"/>
        <v>0</v>
      </c>
      <c r="S192">
        <f t="shared" si="30"/>
        <v>6845.7924999999996</v>
      </c>
    </row>
    <row r="193" spans="1:19" x14ac:dyDescent="0.3">
      <c r="A193" t="s">
        <v>13</v>
      </c>
      <c r="B193" t="s">
        <v>33</v>
      </c>
      <c r="C193" t="s">
        <v>15</v>
      </c>
      <c r="D193">
        <v>15</v>
      </c>
      <c r="E193">
        <v>7</v>
      </c>
      <c r="F193">
        <v>0</v>
      </c>
      <c r="G193">
        <v>20260317</v>
      </c>
      <c r="H193">
        <v>20260407</v>
      </c>
      <c r="I193">
        <v>6124.3505999999998</v>
      </c>
      <c r="J193">
        <f t="shared" si="21"/>
        <v>22</v>
      </c>
      <c r="K193">
        <f t="shared" si="22"/>
        <v>278.37957272727272</v>
      </c>
      <c r="L193">
        <f t="shared" si="23"/>
        <v>6728.288994470181</v>
      </c>
      <c r="M193">
        <f t="shared" si="24"/>
        <v>1948.657009090909</v>
      </c>
      <c r="N193">
        <f t="shared" si="25"/>
        <v>0</v>
      </c>
      <c r="O193">
        <f t="shared" si="26"/>
        <v>8676.94600356109</v>
      </c>
      <c r="P193">
        <f t="shared" si="27"/>
        <v>4748.9520763809533</v>
      </c>
      <c r="Q193">
        <f t="shared" si="28"/>
        <v>1375.398523619047</v>
      </c>
      <c r="R193">
        <f t="shared" si="29"/>
        <v>0</v>
      </c>
      <c r="S193">
        <f t="shared" si="30"/>
        <v>6124.3505999999998</v>
      </c>
    </row>
    <row r="194" spans="1:19" x14ac:dyDescent="0.3">
      <c r="A194" t="s">
        <v>13</v>
      </c>
      <c r="B194" t="s">
        <v>33</v>
      </c>
      <c r="C194" t="s">
        <v>15</v>
      </c>
      <c r="D194">
        <v>25</v>
      </c>
      <c r="E194">
        <v>11</v>
      </c>
      <c r="F194">
        <v>0</v>
      </c>
      <c r="G194">
        <v>20260307</v>
      </c>
      <c r="H194">
        <v>20260411</v>
      </c>
      <c r="I194">
        <v>38.618200000000002</v>
      </c>
      <c r="J194">
        <f t="shared" si="21"/>
        <v>36</v>
      </c>
      <c r="K194">
        <f t="shared" si="22"/>
        <v>1.0727277777777777</v>
      </c>
      <c r="L194">
        <f t="shared" si="23"/>
        <v>43.212117604834404</v>
      </c>
      <c r="M194">
        <f t="shared" si="24"/>
        <v>11.800005555555554</v>
      </c>
      <c r="N194">
        <f t="shared" si="25"/>
        <v>0</v>
      </c>
      <c r="O194">
        <f t="shared" si="26"/>
        <v>55.012123160389962</v>
      </c>
      <c r="P194">
        <f t="shared" si="27"/>
        <v>30.334662692833007</v>
      </c>
      <c r="Q194">
        <f t="shared" si="28"/>
        <v>8.2835373071669913</v>
      </c>
      <c r="R194">
        <f t="shared" si="29"/>
        <v>0</v>
      </c>
      <c r="S194">
        <f t="shared" si="30"/>
        <v>38.618200000000002</v>
      </c>
    </row>
    <row r="195" spans="1:19" x14ac:dyDescent="0.3">
      <c r="A195" t="s">
        <v>13</v>
      </c>
      <c r="B195" t="s">
        <v>33</v>
      </c>
      <c r="C195" t="s">
        <v>15</v>
      </c>
      <c r="D195">
        <v>0</v>
      </c>
      <c r="E195">
        <v>16</v>
      </c>
      <c r="F195">
        <v>0</v>
      </c>
      <c r="G195">
        <v>20260402</v>
      </c>
      <c r="H195">
        <v>20260417</v>
      </c>
      <c r="I195">
        <v>1179.3336999999999</v>
      </c>
      <c r="J195">
        <f t="shared" si="21"/>
        <v>16</v>
      </c>
      <c r="K195">
        <f t="shared" si="22"/>
        <v>73.708356249999994</v>
      </c>
      <c r="L195">
        <f t="shared" si="23"/>
        <v>0</v>
      </c>
      <c r="M195">
        <f t="shared" si="24"/>
        <v>1179.3336999999999</v>
      </c>
      <c r="N195">
        <f t="shared" si="25"/>
        <v>0</v>
      </c>
      <c r="O195">
        <f t="shared" si="26"/>
        <v>1179.3336999999999</v>
      </c>
      <c r="P195">
        <f t="shared" si="27"/>
        <v>0</v>
      </c>
      <c r="Q195">
        <f t="shared" si="28"/>
        <v>1179.3336999999999</v>
      </c>
      <c r="R195">
        <f t="shared" si="29"/>
        <v>0</v>
      </c>
      <c r="S195">
        <f t="shared" si="30"/>
        <v>1179.3336999999999</v>
      </c>
    </row>
    <row r="196" spans="1:19" x14ac:dyDescent="0.3">
      <c r="A196" t="s">
        <v>13</v>
      </c>
      <c r="B196" t="s">
        <v>33</v>
      </c>
      <c r="C196" t="s">
        <v>15</v>
      </c>
      <c r="D196">
        <v>27</v>
      </c>
      <c r="E196">
        <v>14</v>
      </c>
      <c r="F196">
        <v>0</v>
      </c>
      <c r="G196">
        <v>20260305</v>
      </c>
      <c r="H196">
        <v>20260414</v>
      </c>
      <c r="I196">
        <v>1871.3860999999999</v>
      </c>
      <c r="J196">
        <f t="shared" si="21"/>
        <v>41</v>
      </c>
      <c r="K196">
        <f t="shared" si="22"/>
        <v>45.643563414634144</v>
      </c>
      <c r="L196">
        <f t="shared" si="23"/>
        <v>1985.7259937873177</v>
      </c>
      <c r="M196">
        <f t="shared" si="24"/>
        <v>639.00988780487796</v>
      </c>
      <c r="N196">
        <f t="shared" si="25"/>
        <v>0</v>
      </c>
      <c r="O196">
        <f t="shared" si="26"/>
        <v>2624.7358815921957</v>
      </c>
      <c r="P196">
        <f t="shared" si="27"/>
        <v>1415.784364912201</v>
      </c>
      <c r="Q196">
        <f t="shared" si="28"/>
        <v>455.601735087799</v>
      </c>
      <c r="R196">
        <f t="shared" si="29"/>
        <v>0</v>
      </c>
      <c r="S196">
        <f t="shared" si="30"/>
        <v>1871.3860999999999</v>
      </c>
    </row>
    <row r="197" spans="1:19" x14ac:dyDescent="0.3">
      <c r="A197" t="s">
        <v>13</v>
      </c>
      <c r="B197" t="s">
        <v>33</v>
      </c>
      <c r="C197" t="s">
        <v>15</v>
      </c>
      <c r="D197">
        <v>0</v>
      </c>
      <c r="E197">
        <v>14</v>
      </c>
      <c r="F197">
        <v>0</v>
      </c>
      <c r="G197">
        <v>20260417</v>
      </c>
      <c r="H197">
        <v>20260430</v>
      </c>
      <c r="I197">
        <v>675.75490000000002</v>
      </c>
      <c r="J197">
        <f t="shared" si="21"/>
        <v>14</v>
      </c>
      <c r="K197">
        <f t="shared" si="22"/>
        <v>48.268207142857143</v>
      </c>
      <c r="L197">
        <f t="shared" si="23"/>
        <v>0</v>
      </c>
      <c r="M197">
        <f t="shared" si="24"/>
        <v>675.75490000000002</v>
      </c>
      <c r="N197">
        <f t="shared" si="25"/>
        <v>0</v>
      </c>
      <c r="O197">
        <f t="shared" si="26"/>
        <v>675.75490000000002</v>
      </c>
      <c r="P197">
        <f t="shared" si="27"/>
        <v>0</v>
      </c>
      <c r="Q197">
        <f t="shared" si="28"/>
        <v>675.75490000000002</v>
      </c>
      <c r="R197">
        <f t="shared" si="29"/>
        <v>0</v>
      </c>
      <c r="S197">
        <f t="shared" si="30"/>
        <v>675.75490000000002</v>
      </c>
    </row>
    <row r="198" spans="1:19" x14ac:dyDescent="0.3">
      <c r="A198" t="s">
        <v>13</v>
      </c>
      <c r="B198" t="s">
        <v>33</v>
      </c>
      <c r="C198" t="s">
        <v>15</v>
      </c>
      <c r="D198">
        <v>0</v>
      </c>
      <c r="E198">
        <v>26</v>
      </c>
      <c r="F198">
        <v>8</v>
      </c>
      <c r="G198">
        <v>20260405</v>
      </c>
      <c r="H198">
        <v>20260508</v>
      </c>
      <c r="I198">
        <v>33288.076399999998</v>
      </c>
      <c r="J198">
        <f t="shared" si="21"/>
        <v>34</v>
      </c>
      <c r="K198">
        <f t="shared" si="22"/>
        <v>979.06107058823522</v>
      </c>
      <c r="L198">
        <f t="shared" si="23"/>
        <v>0</v>
      </c>
      <c r="M198">
        <f t="shared" si="24"/>
        <v>25455.587835294114</v>
      </c>
      <c r="N198">
        <f t="shared" si="25"/>
        <v>5886.0793167172278</v>
      </c>
      <c r="O198">
        <f t="shared" si="26"/>
        <v>31341.667152011341</v>
      </c>
      <c r="P198">
        <f t="shared" si="27"/>
        <v>0</v>
      </c>
      <c r="Q198">
        <f t="shared" si="28"/>
        <v>27036.454332768368</v>
      </c>
      <c r="R198">
        <f t="shared" si="29"/>
        <v>6251.6220672316322</v>
      </c>
      <c r="S198">
        <f t="shared" si="30"/>
        <v>33288.076399999998</v>
      </c>
    </row>
    <row r="199" spans="1:19" x14ac:dyDescent="0.3">
      <c r="A199" t="s">
        <v>13</v>
      </c>
      <c r="B199" t="s">
        <v>33</v>
      </c>
      <c r="C199" t="s">
        <v>14</v>
      </c>
      <c r="D199">
        <v>0</v>
      </c>
      <c r="E199">
        <v>24</v>
      </c>
      <c r="F199">
        <v>11</v>
      </c>
      <c r="G199">
        <v>20260407</v>
      </c>
      <c r="H199">
        <v>20260511</v>
      </c>
      <c r="I199">
        <v>60961.264300000003</v>
      </c>
      <c r="J199">
        <f t="shared" si="21"/>
        <v>35</v>
      </c>
      <c r="K199">
        <f t="shared" si="22"/>
        <v>1741.7504085714286</v>
      </c>
      <c r="L199">
        <f t="shared" si="23"/>
        <v>0</v>
      </c>
      <c r="M199">
        <f t="shared" si="24"/>
        <v>41802.00980571429</v>
      </c>
      <c r="N199">
        <f t="shared" si="25"/>
        <v>14398.092084130794</v>
      </c>
      <c r="O199">
        <f t="shared" si="26"/>
        <v>56200.101889845086</v>
      </c>
      <c r="P199">
        <f t="shared" si="27"/>
        <v>0</v>
      </c>
      <c r="Q199">
        <f t="shared" si="28"/>
        <v>45343.394092632399</v>
      </c>
      <c r="R199">
        <f t="shared" si="29"/>
        <v>15617.870207367603</v>
      </c>
      <c r="S199">
        <f t="shared" si="30"/>
        <v>60961.264300000003</v>
      </c>
    </row>
    <row r="200" spans="1:19" x14ac:dyDescent="0.3">
      <c r="A200" t="s">
        <v>13</v>
      </c>
      <c r="B200" t="s">
        <v>33</v>
      </c>
      <c r="C200" t="s">
        <v>15</v>
      </c>
      <c r="D200">
        <v>29</v>
      </c>
      <c r="E200">
        <v>14</v>
      </c>
      <c r="F200">
        <v>0</v>
      </c>
      <c r="G200">
        <v>20260303</v>
      </c>
      <c r="H200">
        <v>20260414</v>
      </c>
      <c r="I200">
        <v>3240.5632000000001</v>
      </c>
      <c r="J200">
        <f t="shared" si="21"/>
        <v>43</v>
      </c>
      <c r="K200">
        <f t="shared" si="22"/>
        <v>75.361934883720934</v>
      </c>
      <c r="L200">
        <f t="shared" si="23"/>
        <v>3521.486698003162</v>
      </c>
      <c r="M200">
        <f t="shared" si="24"/>
        <v>1055.0670883720932</v>
      </c>
      <c r="N200">
        <f t="shared" si="25"/>
        <v>0</v>
      </c>
      <c r="O200">
        <f t="shared" si="26"/>
        <v>4576.5537863752552</v>
      </c>
      <c r="P200">
        <f t="shared" si="27"/>
        <v>2493.4919888436038</v>
      </c>
      <c r="Q200">
        <f t="shared" si="28"/>
        <v>747.07121115639632</v>
      </c>
      <c r="R200">
        <f t="shared" si="29"/>
        <v>0</v>
      </c>
      <c r="S200">
        <f t="shared" si="30"/>
        <v>3240.5632000000001</v>
      </c>
    </row>
    <row r="201" spans="1:19" x14ac:dyDescent="0.3">
      <c r="A201" t="s">
        <v>13</v>
      </c>
      <c r="B201" t="s">
        <v>33</v>
      </c>
      <c r="C201" t="s">
        <v>15</v>
      </c>
      <c r="D201">
        <v>0</v>
      </c>
      <c r="E201">
        <v>26</v>
      </c>
      <c r="F201">
        <v>9</v>
      </c>
      <c r="G201">
        <v>20260405</v>
      </c>
      <c r="H201">
        <v>20260509</v>
      </c>
      <c r="I201">
        <v>1814.3064999999999</v>
      </c>
      <c r="J201">
        <f t="shared" si="21"/>
        <v>35</v>
      </c>
      <c r="K201">
        <f t="shared" si="22"/>
        <v>51.837328571428571</v>
      </c>
      <c r="L201">
        <f t="shared" si="23"/>
        <v>0</v>
      </c>
      <c r="M201">
        <f t="shared" si="24"/>
        <v>1347.7705428571428</v>
      </c>
      <c r="N201">
        <f t="shared" si="25"/>
        <v>350.59963703203488</v>
      </c>
      <c r="O201">
        <f t="shared" si="26"/>
        <v>1698.3701798891777</v>
      </c>
      <c r="P201">
        <f t="shared" si="27"/>
        <v>0</v>
      </c>
      <c r="Q201">
        <f t="shared" si="28"/>
        <v>1439.7737815755818</v>
      </c>
      <c r="R201">
        <f t="shared" si="29"/>
        <v>374.53271842441802</v>
      </c>
      <c r="S201">
        <f t="shared" si="30"/>
        <v>1814.3064999999997</v>
      </c>
    </row>
    <row r="202" spans="1:19" x14ac:dyDescent="0.3">
      <c r="A202" t="s">
        <v>13</v>
      </c>
      <c r="B202" t="s">
        <v>33</v>
      </c>
      <c r="C202" t="s">
        <v>14</v>
      </c>
      <c r="D202">
        <v>15</v>
      </c>
      <c r="E202">
        <v>20</v>
      </c>
      <c r="F202">
        <v>0</v>
      </c>
      <c r="G202">
        <v>20260317</v>
      </c>
      <c r="H202">
        <v>20260420</v>
      </c>
      <c r="I202">
        <v>135935.59940000001</v>
      </c>
      <c r="J202">
        <f t="shared" si="21"/>
        <v>35</v>
      </c>
      <c r="K202">
        <f t="shared" si="22"/>
        <v>3883.8742685714287</v>
      </c>
      <c r="L202">
        <f t="shared" si="23"/>
        <v>93871.214188320882</v>
      </c>
      <c r="M202">
        <f t="shared" si="24"/>
        <v>77677.485371428571</v>
      </c>
      <c r="N202">
        <f t="shared" si="25"/>
        <v>0</v>
      </c>
      <c r="O202">
        <f t="shared" si="26"/>
        <v>171548.69955974945</v>
      </c>
      <c r="P202">
        <f t="shared" si="27"/>
        <v>74383.774402503084</v>
      </c>
      <c r="Q202">
        <f t="shared" si="28"/>
        <v>61551.824997496915</v>
      </c>
      <c r="R202">
        <f t="shared" si="29"/>
        <v>0</v>
      </c>
      <c r="S202">
        <f t="shared" si="30"/>
        <v>135935.59940000001</v>
      </c>
    </row>
    <row r="203" spans="1:19" x14ac:dyDescent="0.3">
      <c r="A203" t="s">
        <v>13</v>
      </c>
      <c r="B203" t="s">
        <v>33</v>
      </c>
      <c r="C203" t="s">
        <v>15</v>
      </c>
      <c r="D203">
        <v>0</v>
      </c>
      <c r="E203">
        <v>20</v>
      </c>
      <c r="F203">
        <v>0</v>
      </c>
      <c r="G203">
        <v>20260404</v>
      </c>
      <c r="H203">
        <v>20260423</v>
      </c>
      <c r="I203">
        <v>3079.2361000000001</v>
      </c>
      <c r="J203">
        <f t="shared" ref="J203:J266" si="31">IF(D203&lt;0,0,D203)+E203+F203</f>
        <v>20</v>
      </c>
      <c r="K203">
        <f t="shared" ref="K203:K266" si="32">I203/J203</f>
        <v>153.961805</v>
      </c>
      <c r="L203">
        <f t="shared" ref="L203:L266" si="33">IF(D203&lt;0,0,D203)*$K203*$B$6</f>
        <v>0</v>
      </c>
      <c r="M203">
        <f t="shared" ref="M203:M266" si="34">IF(E203&lt;0,0,E203)*$K203*$C$6</f>
        <v>3079.2361000000001</v>
      </c>
      <c r="N203">
        <f t="shared" ref="N203:N266" si="35">IF(F203&lt;0,0,F203)*$K203*$D$6</f>
        <v>0</v>
      </c>
      <c r="O203">
        <f t="shared" ref="O203:O266" si="36">L203+M203+N203</f>
        <v>3079.2361000000001</v>
      </c>
      <c r="P203">
        <f t="shared" ref="P203:P266" si="37">L203/$O203*$I203</f>
        <v>0</v>
      </c>
      <c r="Q203">
        <f t="shared" ref="Q203:Q266" si="38">M203/$O203*$I203</f>
        <v>3079.2361000000001</v>
      </c>
      <c r="R203">
        <f t="shared" ref="R203:R266" si="39">N203/$O203*$I203</f>
        <v>0</v>
      </c>
      <c r="S203">
        <f t="shared" ref="S203:S266" si="40">P203+Q203+R203</f>
        <v>3079.2361000000001</v>
      </c>
    </row>
    <row r="204" spans="1:19" x14ac:dyDescent="0.3">
      <c r="A204" t="s">
        <v>13</v>
      </c>
      <c r="B204" t="s">
        <v>33</v>
      </c>
      <c r="C204" t="s">
        <v>15</v>
      </c>
      <c r="D204">
        <v>28</v>
      </c>
      <c r="E204">
        <v>10</v>
      </c>
      <c r="F204">
        <v>0</v>
      </c>
      <c r="G204">
        <v>20260304</v>
      </c>
      <c r="H204">
        <v>20260410</v>
      </c>
      <c r="I204">
        <v>5869.6072000000004</v>
      </c>
      <c r="J204">
        <f t="shared" si="31"/>
        <v>38</v>
      </c>
      <c r="K204">
        <f t="shared" si="32"/>
        <v>154.46334736842107</v>
      </c>
      <c r="L204">
        <f t="shared" si="33"/>
        <v>6968.8238589862431</v>
      </c>
      <c r="M204">
        <f t="shared" si="34"/>
        <v>1544.6334736842107</v>
      </c>
      <c r="N204">
        <f t="shared" si="35"/>
        <v>0</v>
      </c>
      <c r="O204">
        <f t="shared" si="36"/>
        <v>8513.457332670454</v>
      </c>
      <c r="P204">
        <f t="shared" si="37"/>
        <v>4804.6589182125863</v>
      </c>
      <c r="Q204">
        <f t="shared" si="38"/>
        <v>1064.9482817874132</v>
      </c>
      <c r="R204">
        <f t="shared" si="39"/>
        <v>0</v>
      </c>
      <c r="S204">
        <f t="shared" si="40"/>
        <v>5869.6071999999995</v>
      </c>
    </row>
    <row r="205" spans="1:19" x14ac:dyDescent="0.3">
      <c r="A205" t="s">
        <v>13</v>
      </c>
      <c r="B205" t="s">
        <v>24</v>
      </c>
      <c r="C205" t="s">
        <v>15</v>
      </c>
      <c r="D205">
        <v>28</v>
      </c>
      <c r="E205">
        <v>10</v>
      </c>
      <c r="F205">
        <v>0</v>
      </c>
      <c r="G205">
        <v>20260304</v>
      </c>
      <c r="H205">
        <v>20260410</v>
      </c>
      <c r="I205">
        <v>16434.8999</v>
      </c>
      <c r="J205">
        <f t="shared" si="31"/>
        <v>38</v>
      </c>
      <c r="K205">
        <f t="shared" si="32"/>
        <v>432.49736578947369</v>
      </c>
      <c r="L205">
        <f t="shared" si="33"/>
        <v>19512.706496470601</v>
      </c>
      <c r="M205">
        <f t="shared" si="34"/>
        <v>4324.9736578947368</v>
      </c>
      <c r="N205">
        <f t="shared" si="35"/>
        <v>0</v>
      </c>
      <c r="O205">
        <f t="shared" si="36"/>
        <v>23837.680154365338</v>
      </c>
      <c r="P205">
        <f t="shared" si="37"/>
        <v>13453.044758168169</v>
      </c>
      <c r="Q205">
        <f t="shared" si="38"/>
        <v>2981.8551418318293</v>
      </c>
      <c r="R205">
        <f t="shared" si="39"/>
        <v>0</v>
      </c>
      <c r="S205">
        <f t="shared" si="40"/>
        <v>16434.899899999997</v>
      </c>
    </row>
    <row r="206" spans="1:19" x14ac:dyDescent="0.3">
      <c r="A206" t="s">
        <v>13</v>
      </c>
      <c r="B206" t="s">
        <v>33</v>
      </c>
      <c r="C206" t="s">
        <v>15</v>
      </c>
      <c r="D206">
        <v>0</v>
      </c>
      <c r="E206">
        <v>24</v>
      </c>
      <c r="F206">
        <v>14</v>
      </c>
      <c r="G206">
        <v>20260407</v>
      </c>
      <c r="H206">
        <v>20260514</v>
      </c>
      <c r="I206">
        <v>1097.0482999999999</v>
      </c>
      <c r="J206">
        <f t="shared" si="31"/>
        <v>38</v>
      </c>
      <c r="K206">
        <f t="shared" si="32"/>
        <v>28.869692105263155</v>
      </c>
      <c r="L206">
        <f t="shared" si="33"/>
        <v>0</v>
      </c>
      <c r="M206">
        <f t="shared" si="34"/>
        <v>692.87261052631573</v>
      </c>
      <c r="N206">
        <f t="shared" si="35"/>
        <v>303.73618122483805</v>
      </c>
      <c r="O206">
        <f t="shared" si="36"/>
        <v>996.60879175115383</v>
      </c>
      <c r="P206">
        <f t="shared" si="37"/>
        <v>0</v>
      </c>
      <c r="Q206">
        <f t="shared" si="38"/>
        <v>762.70119808882032</v>
      </c>
      <c r="R206">
        <f t="shared" si="39"/>
        <v>334.34710191117949</v>
      </c>
      <c r="S206">
        <f t="shared" si="40"/>
        <v>1097.0482999999999</v>
      </c>
    </row>
    <row r="207" spans="1:19" x14ac:dyDescent="0.3">
      <c r="A207" t="s">
        <v>13</v>
      </c>
      <c r="B207" t="s">
        <v>33</v>
      </c>
      <c r="C207" t="s">
        <v>15</v>
      </c>
      <c r="D207">
        <v>0</v>
      </c>
      <c r="E207">
        <v>27</v>
      </c>
      <c r="F207">
        <v>0</v>
      </c>
      <c r="G207">
        <v>20260404</v>
      </c>
      <c r="H207">
        <v>20260430</v>
      </c>
      <c r="I207">
        <v>126.5291</v>
      </c>
      <c r="J207">
        <f t="shared" si="31"/>
        <v>27</v>
      </c>
      <c r="K207">
        <f t="shared" si="32"/>
        <v>4.6862629629629629</v>
      </c>
      <c r="L207">
        <f t="shared" si="33"/>
        <v>0</v>
      </c>
      <c r="M207">
        <f t="shared" si="34"/>
        <v>126.5291</v>
      </c>
      <c r="N207">
        <f t="shared" si="35"/>
        <v>0</v>
      </c>
      <c r="O207">
        <f t="shared" si="36"/>
        <v>126.5291</v>
      </c>
      <c r="P207">
        <f t="shared" si="37"/>
        <v>0</v>
      </c>
      <c r="Q207">
        <f t="shared" si="38"/>
        <v>126.5291</v>
      </c>
      <c r="R207">
        <f t="shared" si="39"/>
        <v>0</v>
      </c>
      <c r="S207">
        <f t="shared" si="40"/>
        <v>126.5291</v>
      </c>
    </row>
    <row r="208" spans="1:19" x14ac:dyDescent="0.3">
      <c r="A208" t="s">
        <v>13</v>
      </c>
      <c r="B208" t="s">
        <v>33</v>
      </c>
      <c r="C208" t="s">
        <v>15</v>
      </c>
      <c r="D208">
        <v>23</v>
      </c>
      <c r="E208">
        <v>5</v>
      </c>
      <c r="F208">
        <v>0</v>
      </c>
      <c r="G208">
        <v>20260309</v>
      </c>
      <c r="H208">
        <v>20260405</v>
      </c>
      <c r="I208">
        <v>2368.8636000000001</v>
      </c>
      <c r="J208">
        <f t="shared" si="31"/>
        <v>28</v>
      </c>
      <c r="K208">
        <f t="shared" si="32"/>
        <v>84.602271428571427</v>
      </c>
      <c r="L208">
        <f t="shared" si="33"/>
        <v>3135.348881676568</v>
      </c>
      <c r="M208">
        <f t="shared" si="34"/>
        <v>423.01135714285715</v>
      </c>
      <c r="N208">
        <f t="shared" si="35"/>
        <v>0</v>
      </c>
      <c r="O208">
        <f t="shared" si="36"/>
        <v>3558.3602388194249</v>
      </c>
      <c r="P208">
        <f t="shared" si="37"/>
        <v>2087.2574277551207</v>
      </c>
      <c r="Q208">
        <f t="shared" si="38"/>
        <v>281.6061722448797</v>
      </c>
      <c r="R208">
        <f t="shared" si="39"/>
        <v>0</v>
      </c>
      <c r="S208">
        <f t="shared" si="40"/>
        <v>2368.8636000000006</v>
      </c>
    </row>
    <row r="209" spans="1:19" x14ac:dyDescent="0.3">
      <c r="A209" t="s">
        <v>13</v>
      </c>
      <c r="B209" t="s">
        <v>24</v>
      </c>
      <c r="C209" t="s">
        <v>15</v>
      </c>
      <c r="D209">
        <v>23</v>
      </c>
      <c r="E209">
        <v>5</v>
      </c>
      <c r="F209">
        <v>0</v>
      </c>
      <c r="G209">
        <v>20260309</v>
      </c>
      <c r="H209">
        <v>20260405</v>
      </c>
      <c r="I209">
        <v>10896.7727</v>
      </c>
      <c r="J209">
        <f t="shared" si="31"/>
        <v>28</v>
      </c>
      <c r="K209">
        <f t="shared" si="32"/>
        <v>389.17045357142854</v>
      </c>
      <c r="L209">
        <f t="shared" si="33"/>
        <v>14422.605041011546</v>
      </c>
      <c r="M209">
        <f t="shared" si="34"/>
        <v>1945.8522678571426</v>
      </c>
      <c r="N209">
        <f t="shared" si="35"/>
        <v>0</v>
      </c>
      <c r="O209">
        <f t="shared" si="36"/>
        <v>16368.457308868688</v>
      </c>
      <c r="P209">
        <f t="shared" si="37"/>
        <v>9601.3842910306084</v>
      </c>
      <c r="Q209">
        <f t="shared" si="38"/>
        <v>1295.3884089693902</v>
      </c>
      <c r="R209">
        <f t="shared" si="39"/>
        <v>0</v>
      </c>
      <c r="S209">
        <f t="shared" si="40"/>
        <v>10896.772699999998</v>
      </c>
    </row>
    <row r="210" spans="1:19" x14ac:dyDescent="0.3">
      <c r="A210" t="s">
        <v>13</v>
      </c>
      <c r="B210" t="s">
        <v>33</v>
      </c>
      <c r="C210" t="s">
        <v>15</v>
      </c>
      <c r="D210">
        <v>0</v>
      </c>
      <c r="E210">
        <v>14</v>
      </c>
      <c r="F210">
        <v>0</v>
      </c>
      <c r="G210">
        <v>20260404</v>
      </c>
      <c r="H210">
        <v>20260417</v>
      </c>
      <c r="I210">
        <v>2148.8281000000002</v>
      </c>
      <c r="J210">
        <f t="shared" si="31"/>
        <v>14</v>
      </c>
      <c r="K210">
        <f t="shared" si="32"/>
        <v>153.48772142857143</v>
      </c>
      <c r="L210">
        <f t="shared" si="33"/>
        <v>0</v>
      </c>
      <c r="M210">
        <f t="shared" si="34"/>
        <v>2148.8281000000002</v>
      </c>
      <c r="N210">
        <f t="shared" si="35"/>
        <v>0</v>
      </c>
      <c r="O210">
        <f t="shared" si="36"/>
        <v>2148.8281000000002</v>
      </c>
      <c r="P210">
        <f t="shared" si="37"/>
        <v>0</v>
      </c>
      <c r="Q210">
        <f t="shared" si="38"/>
        <v>2148.8281000000002</v>
      </c>
      <c r="R210">
        <f t="shared" si="39"/>
        <v>0</v>
      </c>
      <c r="S210">
        <f t="shared" si="40"/>
        <v>2148.8281000000002</v>
      </c>
    </row>
    <row r="211" spans="1:19" x14ac:dyDescent="0.3">
      <c r="A211" t="s">
        <v>13</v>
      </c>
      <c r="B211" t="s">
        <v>24</v>
      </c>
      <c r="C211" t="s">
        <v>15</v>
      </c>
      <c r="D211">
        <v>22</v>
      </c>
      <c r="E211">
        <v>14</v>
      </c>
      <c r="F211">
        <v>0</v>
      </c>
      <c r="G211">
        <v>20260310</v>
      </c>
      <c r="H211">
        <v>20260414</v>
      </c>
      <c r="I211">
        <v>1080.8023000000001</v>
      </c>
      <c r="J211">
        <f t="shared" si="31"/>
        <v>36</v>
      </c>
      <c r="K211">
        <f t="shared" si="32"/>
        <v>30.022286111111114</v>
      </c>
      <c r="L211">
        <f t="shared" si="33"/>
        <v>1064.2470483801537</v>
      </c>
      <c r="M211">
        <f t="shared" si="34"/>
        <v>420.31200555555563</v>
      </c>
      <c r="N211">
        <f t="shared" si="35"/>
        <v>0</v>
      </c>
      <c r="O211">
        <f t="shared" si="36"/>
        <v>1484.5590539357095</v>
      </c>
      <c r="P211">
        <f t="shared" si="37"/>
        <v>774.80289828018783</v>
      </c>
      <c r="Q211">
        <f t="shared" si="38"/>
        <v>305.99940171981211</v>
      </c>
      <c r="R211">
        <f t="shared" si="39"/>
        <v>0</v>
      </c>
      <c r="S211">
        <f t="shared" si="40"/>
        <v>1080.8022999999998</v>
      </c>
    </row>
    <row r="212" spans="1:19" x14ac:dyDescent="0.3">
      <c r="A212" t="s">
        <v>13</v>
      </c>
      <c r="B212" t="s">
        <v>24</v>
      </c>
      <c r="C212" t="s">
        <v>14</v>
      </c>
      <c r="D212">
        <v>31</v>
      </c>
      <c r="E212">
        <v>1</v>
      </c>
      <c r="F212">
        <v>0</v>
      </c>
      <c r="G212">
        <v>20260227</v>
      </c>
      <c r="H212">
        <v>20260401</v>
      </c>
      <c r="I212">
        <v>655.77229999999997</v>
      </c>
      <c r="J212">
        <f t="shared" si="31"/>
        <v>32</v>
      </c>
      <c r="K212">
        <f t="shared" si="32"/>
        <v>20.492884374999999</v>
      </c>
      <c r="L212">
        <f t="shared" si="33"/>
        <v>1023.6247960982614</v>
      </c>
      <c r="M212">
        <f t="shared" si="34"/>
        <v>20.492884374999999</v>
      </c>
      <c r="N212">
        <f t="shared" si="35"/>
        <v>0</v>
      </c>
      <c r="O212">
        <f t="shared" si="36"/>
        <v>1044.1176804732613</v>
      </c>
      <c r="P212">
        <f t="shared" si="37"/>
        <v>642.90146544604772</v>
      </c>
      <c r="Q212">
        <f t="shared" si="38"/>
        <v>12.870834553952331</v>
      </c>
      <c r="R212">
        <f t="shared" si="39"/>
        <v>0</v>
      </c>
      <c r="S212">
        <f t="shared" si="40"/>
        <v>655.77230000000009</v>
      </c>
    </row>
    <row r="213" spans="1:19" x14ac:dyDescent="0.3">
      <c r="A213" t="s">
        <v>13</v>
      </c>
      <c r="B213" t="s">
        <v>33</v>
      </c>
      <c r="C213" t="s">
        <v>15</v>
      </c>
      <c r="D213">
        <v>31</v>
      </c>
      <c r="E213">
        <v>2</v>
      </c>
      <c r="F213">
        <v>0</v>
      </c>
      <c r="G213">
        <v>20260228</v>
      </c>
      <c r="H213">
        <v>20260402</v>
      </c>
      <c r="I213">
        <v>871.75670000000002</v>
      </c>
      <c r="J213">
        <f t="shared" si="31"/>
        <v>33</v>
      </c>
      <c r="K213">
        <f t="shared" si="32"/>
        <v>26.416869696969698</v>
      </c>
      <c r="L213">
        <f t="shared" si="33"/>
        <v>1319.5293723563475</v>
      </c>
      <c r="M213">
        <f t="shared" si="34"/>
        <v>52.833739393939396</v>
      </c>
      <c r="N213">
        <f t="shared" si="35"/>
        <v>0</v>
      </c>
      <c r="O213">
        <f t="shared" si="36"/>
        <v>1372.3631117502869</v>
      </c>
      <c r="P213">
        <f t="shared" si="37"/>
        <v>838.19549020911688</v>
      </c>
      <c r="Q213">
        <f t="shared" si="38"/>
        <v>33.561209790883161</v>
      </c>
      <c r="R213">
        <f t="shared" si="39"/>
        <v>0</v>
      </c>
      <c r="S213">
        <f t="shared" si="40"/>
        <v>871.75670000000002</v>
      </c>
    </row>
    <row r="214" spans="1:19" x14ac:dyDescent="0.3">
      <c r="A214" t="s">
        <v>13</v>
      </c>
      <c r="B214" t="s">
        <v>33</v>
      </c>
      <c r="C214" t="s">
        <v>14</v>
      </c>
      <c r="D214">
        <v>0</v>
      </c>
      <c r="E214">
        <v>27</v>
      </c>
      <c r="F214">
        <v>0</v>
      </c>
      <c r="G214">
        <v>20260403</v>
      </c>
      <c r="H214">
        <v>20260429</v>
      </c>
      <c r="I214">
        <v>590.34479999999996</v>
      </c>
      <c r="J214">
        <f t="shared" si="31"/>
        <v>27</v>
      </c>
      <c r="K214">
        <f t="shared" si="32"/>
        <v>21.86462222222222</v>
      </c>
      <c r="L214">
        <f t="shared" si="33"/>
        <v>0</v>
      </c>
      <c r="M214">
        <f t="shared" si="34"/>
        <v>590.34479999999996</v>
      </c>
      <c r="N214">
        <f t="shared" si="35"/>
        <v>0</v>
      </c>
      <c r="O214">
        <f t="shared" si="36"/>
        <v>590.34479999999996</v>
      </c>
      <c r="P214">
        <f t="shared" si="37"/>
        <v>0</v>
      </c>
      <c r="Q214">
        <f t="shared" si="38"/>
        <v>590.34479999999996</v>
      </c>
      <c r="R214">
        <f t="shared" si="39"/>
        <v>0</v>
      </c>
      <c r="S214">
        <f t="shared" si="40"/>
        <v>590.34479999999996</v>
      </c>
    </row>
    <row r="215" spans="1:19" x14ac:dyDescent="0.3">
      <c r="A215" t="s">
        <v>13</v>
      </c>
      <c r="B215" t="s">
        <v>33</v>
      </c>
      <c r="C215" t="s">
        <v>15</v>
      </c>
      <c r="D215">
        <v>0</v>
      </c>
      <c r="E215">
        <v>15</v>
      </c>
      <c r="F215">
        <v>1</v>
      </c>
      <c r="G215">
        <v>20260416</v>
      </c>
      <c r="H215">
        <v>20260501</v>
      </c>
      <c r="I215">
        <v>14357.4393</v>
      </c>
      <c r="J215">
        <f t="shared" si="31"/>
        <v>16</v>
      </c>
      <c r="K215">
        <f t="shared" si="32"/>
        <v>897.33995625</v>
      </c>
      <c r="L215">
        <f t="shared" si="33"/>
        <v>0</v>
      </c>
      <c r="M215">
        <f t="shared" si="34"/>
        <v>13460.09934375</v>
      </c>
      <c r="N215">
        <f t="shared" si="35"/>
        <v>674.34687110142045</v>
      </c>
      <c r="O215">
        <f t="shared" si="36"/>
        <v>14134.446214851421</v>
      </c>
      <c r="P215">
        <f t="shared" si="37"/>
        <v>0</v>
      </c>
      <c r="Q215">
        <f t="shared" si="38"/>
        <v>13672.453548042447</v>
      </c>
      <c r="R215">
        <f t="shared" si="39"/>
        <v>684.98575195755154</v>
      </c>
      <c r="S215">
        <f t="shared" si="40"/>
        <v>14357.439299999998</v>
      </c>
    </row>
    <row r="216" spans="1:19" x14ac:dyDescent="0.3">
      <c r="A216" t="s">
        <v>13</v>
      </c>
      <c r="B216" t="s">
        <v>33</v>
      </c>
      <c r="C216" t="s">
        <v>15</v>
      </c>
      <c r="D216">
        <v>1</v>
      </c>
      <c r="E216">
        <v>30</v>
      </c>
      <c r="F216">
        <v>1</v>
      </c>
      <c r="G216">
        <v>20260331</v>
      </c>
      <c r="H216">
        <v>20260501</v>
      </c>
      <c r="I216">
        <v>26023.1191</v>
      </c>
      <c r="J216">
        <f t="shared" si="31"/>
        <v>32</v>
      </c>
      <c r="K216">
        <f t="shared" si="32"/>
        <v>813.222471875</v>
      </c>
      <c r="L216">
        <f t="shared" si="33"/>
        <v>1310.3441831758487</v>
      </c>
      <c r="M216">
        <f t="shared" si="34"/>
        <v>24396.674156249999</v>
      </c>
      <c r="N216">
        <f t="shared" si="35"/>
        <v>611.13296649579468</v>
      </c>
      <c r="O216">
        <f t="shared" si="36"/>
        <v>26318.151305921645</v>
      </c>
      <c r="P216">
        <f t="shared" si="37"/>
        <v>1295.6549396045505</v>
      </c>
      <c r="Q216">
        <f t="shared" si="38"/>
        <v>24123.182127505166</v>
      </c>
      <c r="R216">
        <f t="shared" si="39"/>
        <v>604.28203289028249</v>
      </c>
      <c r="S216">
        <f t="shared" si="40"/>
        <v>26023.1191</v>
      </c>
    </row>
    <row r="217" spans="1:19" x14ac:dyDescent="0.3">
      <c r="A217" t="s">
        <v>13</v>
      </c>
      <c r="B217" t="s">
        <v>24</v>
      </c>
      <c r="C217" t="s">
        <v>15</v>
      </c>
      <c r="D217">
        <v>19</v>
      </c>
      <c r="E217">
        <v>6</v>
      </c>
      <c r="F217">
        <v>0</v>
      </c>
      <c r="G217">
        <v>20260313</v>
      </c>
      <c r="H217">
        <v>20260406</v>
      </c>
      <c r="I217">
        <v>16606.425999999999</v>
      </c>
      <c r="J217">
        <f t="shared" si="31"/>
        <v>25</v>
      </c>
      <c r="K217">
        <f t="shared" si="32"/>
        <v>664.25703999999996</v>
      </c>
      <c r="L217">
        <f t="shared" si="33"/>
        <v>20336.011600029338</v>
      </c>
      <c r="M217">
        <f t="shared" si="34"/>
        <v>3985.5422399999998</v>
      </c>
      <c r="N217">
        <f t="shared" si="35"/>
        <v>0</v>
      </c>
      <c r="O217">
        <f t="shared" si="36"/>
        <v>24321.553840029337</v>
      </c>
      <c r="P217">
        <f t="shared" si="37"/>
        <v>13885.151992847404</v>
      </c>
      <c r="Q217">
        <f t="shared" si="38"/>
        <v>2721.2740071525959</v>
      </c>
      <c r="R217">
        <f t="shared" si="39"/>
        <v>0</v>
      </c>
      <c r="S217">
        <f t="shared" si="40"/>
        <v>16606.425999999999</v>
      </c>
    </row>
    <row r="218" spans="1:19" x14ac:dyDescent="0.3">
      <c r="A218" t="s">
        <v>13</v>
      </c>
      <c r="B218" t="s">
        <v>33</v>
      </c>
      <c r="C218" t="s">
        <v>15</v>
      </c>
      <c r="D218">
        <v>13</v>
      </c>
      <c r="E218">
        <v>7</v>
      </c>
      <c r="F218">
        <v>0</v>
      </c>
      <c r="G218">
        <v>20260319</v>
      </c>
      <c r="H218">
        <v>20260407</v>
      </c>
      <c r="I218">
        <v>221.2133</v>
      </c>
      <c r="J218">
        <f t="shared" si="31"/>
        <v>20</v>
      </c>
      <c r="K218">
        <f t="shared" si="32"/>
        <v>11.060665</v>
      </c>
      <c r="L218">
        <f t="shared" si="33"/>
        <v>231.68643403086858</v>
      </c>
      <c r="M218">
        <f t="shared" si="34"/>
        <v>77.424655000000001</v>
      </c>
      <c r="N218">
        <f t="shared" si="35"/>
        <v>0</v>
      </c>
      <c r="O218">
        <f t="shared" si="36"/>
        <v>309.11108903086858</v>
      </c>
      <c r="P218">
        <f t="shared" si="37"/>
        <v>165.80485934001086</v>
      </c>
      <c r="Q218">
        <f t="shared" si="38"/>
        <v>55.408440659989132</v>
      </c>
      <c r="R218">
        <f t="shared" si="39"/>
        <v>0</v>
      </c>
      <c r="S218">
        <f t="shared" si="40"/>
        <v>221.2133</v>
      </c>
    </row>
    <row r="219" spans="1:19" x14ac:dyDescent="0.3">
      <c r="A219" t="s">
        <v>13</v>
      </c>
      <c r="B219" t="s">
        <v>24</v>
      </c>
      <c r="C219" t="s">
        <v>15</v>
      </c>
      <c r="D219">
        <v>1</v>
      </c>
      <c r="E219">
        <v>30</v>
      </c>
      <c r="F219">
        <v>4</v>
      </c>
      <c r="G219">
        <v>20260331</v>
      </c>
      <c r="H219">
        <v>20260504</v>
      </c>
      <c r="I219">
        <v>272.30700000000002</v>
      </c>
      <c r="J219">
        <f t="shared" si="31"/>
        <v>35</v>
      </c>
      <c r="K219">
        <f t="shared" si="32"/>
        <v>7.7802000000000007</v>
      </c>
      <c r="L219">
        <f t="shared" si="33"/>
        <v>12.536224915722405</v>
      </c>
      <c r="M219">
        <f t="shared" si="34"/>
        <v>233.40600000000001</v>
      </c>
      <c r="N219">
        <f t="shared" si="35"/>
        <v>23.387138798404628</v>
      </c>
      <c r="O219">
        <f t="shared" si="36"/>
        <v>269.32936371412706</v>
      </c>
      <c r="P219">
        <f t="shared" si="37"/>
        <v>12.674822199294281</v>
      </c>
      <c r="Q219">
        <f t="shared" si="38"/>
        <v>235.98647680117847</v>
      </c>
      <c r="R219">
        <f t="shared" si="39"/>
        <v>23.645700999527236</v>
      </c>
      <c r="S219">
        <f t="shared" si="40"/>
        <v>272.30700000000002</v>
      </c>
    </row>
    <row r="220" spans="1:19" x14ac:dyDescent="0.3">
      <c r="A220" t="s">
        <v>13</v>
      </c>
      <c r="B220" t="s">
        <v>33</v>
      </c>
      <c r="C220" t="s">
        <v>15</v>
      </c>
      <c r="D220">
        <v>0</v>
      </c>
      <c r="E220">
        <v>9</v>
      </c>
      <c r="F220">
        <v>4</v>
      </c>
      <c r="G220">
        <v>20260422</v>
      </c>
      <c r="H220">
        <v>20260504</v>
      </c>
      <c r="I220">
        <v>337.5455</v>
      </c>
      <c r="J220">
        <f t="shared" si="31"/>
        <v>13</v>
      </c>
      <c r="K220">
        <f t="shared" si="32"/>
        <v>25.965038461538462</v>
      </c>
      <c r="L220">
        <f t="shared" si="33"/>
        <v>0</v>
      </c>
      <c r="M220">
        <f t="shared" si="34"/>
        <v>233.68534615384615</v>
      </c>
      <c r="N220">
        <f t="shared" si="35"/>
        <v>78.050430375300706</v>
      </c>
      <c r="O220">
        <f t="shared" si="36"/>
        <v>311.73577652914685</v>
      </c>
      <c r="P220">
        <f t="shared" si="37"/>
        <v>0</v>
      </c>
      <c r="Q220">
        <f t="shared" si="38"/>
        <v>253.03299444296528</v>
      </c>
      <c r="R220">
        <f t="shared" si="39"/>
        <v>84.512505557034743</v>
      </c>
      <c r="S220">
        <f t="shared" si="40"/>
        <v>337.5455</v>
      </c>
    </row>
    <row r="221" spans="1:19" x14ac:dyDescent="0.3">
      <c r="A221" t="s">
        <v>13</v>
      </c>
      <c r="B221" t="s">
        <v>33</v>
      </c>
      <c r="C221" t="s">
        <v>15</v>
      </c>
      <c r="D221">
        <v>0</v>
      </c>
      <c r="E221">
        <v>10</v>
      </c>
      <c r="F221">
        <v>1</v>
      </c>
      <c r="G221">
        <v>20260421</v>
      </c>
      <c r="H221">
        <v>20260501</v>
      </c>
      <c r="I221">
        <v>9707.3850999999995</v>
      </c>
      <c r="J221">
        <f t="shared" si="31"/>
        <v>11</v>
      </c>
      <c r="K221">
        <f t="shared" si="32"/>
        <v>882.48955454545455</v>
      </c>
      <c r="L221">
        <f t="shared" si="33"/>
        <v>0</v>
      </c>
      <c r="M221">
        <f t="shared" si="34"/>
        <v>8824.8955454545448</v>
      </c>
      <c r="N221">
        <f t="shared" si="35"/>
        <v>663.18686217246398</v>
      </c>
      <c r="O221">
        <f t="shared" si="36"/>
        <v>9488.0824076270092</v>
      </c>
      <c r="P221">
        <f t="shared" si="37"/>
        <v>0</v>
      </c>
      <c r="Q221">
        <f t="shared" si="38"/>
        <v>9028.8696753032564</v>
      </c>
      <c r="R221">
        <f t="shared" si="39"/>
        <v>678.51542469674234</v>
      </c>
      <c r="S221">
        <f t="shared" si="40"/>
        <v>9707.3850999999995</v>
      </c>
    </row>
    <row r="222" spans="1:19" x14ac:dyDescent="0.3">
      <c r="A222" t="s">
        <v>13</v>
      </c>
      <c r="B222" t="s">
        <v>33</v>
      </c>
      <c r="C222" t="s">
        <v>15</v>
      </c>
      <c r="D222">
        <v>8</v>
      </c>
      <c r="E222">
        <v>3</v>
      </c>
      <c r="F222">
        <v>0</v>
      </c>
      <c r="G222">
        <v>20260324</v>
      </c>
      <c r="H222">
        <v>20260403</v>
      </c>
      <c r="I222">
        <v>2166.0446000000002</v>
      </c>
      <c r="J222">
        <f t="shared" si="31"/>
        <v>11</v>
      </c>
      <c r="K222">
        <f t="shared" si="32"/>
        <v>196.91314545454546</v>
      </c>
      <c r="L222">
        <f t="shared" si="33"/>
        <v>2538.2869132212977</v>
      </c>
      <c r="M222">
        <f t="shared" si="34"/>
        <v>590.7394363636364</v>
      </c>
      <c r="N222">
        <f t="shared" si="35"/>
        <v>0</v>
      </c>
      <c r="O222">
        <f t="shared" si="36"/>
        <v>3129.026349584934</v>
      </c>
      <c r="P222">
        <f t="shared" si="37"/>
        <v>1757.1097355453646</v>
      </c>
      <c r="Q222">
        <f t="shared" si="38"/>
        <v>408.93486445463566</v>
      </c>
      <c r="R222">
        <f t="shared" si="39"/>
        <v>0</v>
      </c>
      <c r="S222">
        <f t="shared" si="40"/>
        <v>2166.0446000000002</v>
      </c>
    </row>
    <row r="223" spans="1:19" x14ac:dyDescent="0.3">
      <c r="A223" t="s">
        <v>13</v>
      </c>
      <c r="B223" t="s">
        <v>33</v>
      </c>
      <c r="C223" t="s">
        <v>15</v>
      </c>
      <c r="D223">
        <v>0</v>
      </c>
      <c r="E223">
        <v>2</v>
      </c>
      <c r="F223">
        <v>0</v>
      </c>
      <c r="G223">
        <v>20260402</v>
      </c>
      <c r="H223">
        <v>20260403</v>
      </c>
      <c r="I223">
        <v>7144.4488000000001</v>
      </c>
      <c r="J223">
        <f t="shared" si="31"/>
        <v>2</v>
      </c>
      <c r="K223">
        <f t="shared" si="32"/>
        <v>3572.2244000000001</v>
      </c>
      <c r="L223">
        <f t="shared" si="33"/>
        <v>0</v>
      </c>
      <c r="M223">
        <f t="shared" si="34"/>
        <v>7144.4488000000001</v>
      </c>
      <c r="N223">
        <f t="shared" si="35"/>
        <v>0</v>
      </c>
      <c r="O223">
        <f t="shared" si="36"/>
        <v>7144.4488000000001</v>
      </c>
      <c r="P223">
        <f t="shared" si="37"/>
        <v>0</v>
      </c>
      <c r="Q223">
        <f t="shared" si="38"/>
        <v>7144.4488000000001</v>
      </c>
      <c r="R223">
        <f t="shared" si="39"/>
        <v>0</v>
      </c>
      <c r="S223">
        <f t="shared" si="40"/>
        <v>7144.4488000000001</v>
      </c>
    </row>
    <row r="224" spans="1:19" x14ac:dyDescent="0.3">
      <c r="A224" t="s">
        <v>13</v>
      </c>
      <c r="B224" t="s">
        <v>33</v>
      </c>
      <c r="C224" t="s">
        <v>15</v>
      </c>
      <c r="D224">
        <v>2</v>
      </c>
      <c r="E224">
        <v>30</v>
      </c>
      <c r="F224">
        <v>2</v>
      </c>
      <c r="G224">
        <v>20260330</v>
      </c>
      <c r="H224">
        <v>20260502</v>
      </c>
      <c r="I224">
        <v>17266.290799999999</v>
      </c>
      <c r="J224">
        <f t="shared" si="31"/>
        <v>34</v>
      </c>
      <c r="K224">
        <f t="shared" si="32"/>
        <v>507.83208235294114</v>
      </c>
      <c r="L224">
        <f t="shared" si="33"/>
        <v>1636.5381876548502</v>
      </c>
      <c r="M224">
        <f t="shared" si="34"/>
        <v>15234.962470588234</v>
      </c>
      <c r="N224">
        <f t="shared" si="35"/>
        <v>763.26697233175776</v>
      </c>
      <c r="O224">
        <f t="shared" si="36"/>
        <v>17634.767630574843</v>
      </c>
      <c r="P224">
        <f t="shared" si="37"/>
        <v>1602.3428743320796</v>
      </c>
      <c r="Q224">
        <f t="shared" si="38"/>
        <v>14916.629345781073</v>
      </c>
      <c r="R224">
        <f t="shared" si="39"/>
        <v>747.31857988684442</v>
      </c>
      <c r="S224">
        <f t="shared" si="40"/>
        <v>17266.290799999995</v>
      </c>
    </row>
    <row r="225" spans="1:19" x14ac:dyDescent="0.3">
      <c r="A225" t="s">
        <v>13</v>
      </c>
      <c r="B225" t="s">
        <v>33</v>
      </c>
      <c r="C225" t="s">
        <v>15</v>
      </c>
      <c r="D225">
        <v>5</v>
      </c>
      <c r="E225">
        <v>30</v>
      </c>
      <c r="F225">
        <v>2</v>
      </c>
      <c r="G225">
        <v>20260327</v>
      </c>
      <c r="H225">
        <v>20260502</v>
      </c>
      <c r="I225">
        <v>22510.444800000001</v>
      </c>
      <c r="J225">
        <f t="shared" si="31"/>
        <v>37</v>
      </c>
      <c r="K225">
        <f t="shared" si="32"/>
        <v>608.3904</v>
      </c>
      <c r="L225">
        <f t="shared" si="33"/>
        <v>4901.4928221423106</v>
      </c>
      <c r="M225">
        <f t="shared" si="34"/>
        <v>18251.712</v>
      </c>
      <c r="N225">
        <f t="shared" si="35"/>
        <v>914.4052034919996</v>
      </c>
      <c r="O225">
        <f t="shared" si="36"/>
        <v>24067.610025634309</v>
      </c>
      <c r="P225">
        <f t="shared" si="37"/>
        <v>4584.3680985737092</v>
      </c>
      <c r="Q225">
        <f t="shared" si="38"/>
        <v>17070.833167227596</v>
      </c>
      <c r="R225">
        <f t="shared" si="39"/>
        <v>855.24353419869476</v>
      </c>
      <c r="S225">
        <f t="shared" si="40"/>
        <v>22510.444799999997</v>
      </c>
    </row>
    <row r="226" spans="1:19" x14ac:dyDescent="0.3">
      <c r="A226" t="s">
        <v>13</v>
      </c>
      <c r="B226" t="s">
        <v>33</v>
      </c>
      <c r="C226" t="s">
        <v>15</v>
      </c>
      <c r="D226">
        <v>0</v>
      </c>
      <c r="E226">
        <v>15</v>
      </c>
      <c r="F226">
        <v>3</v>
      </c>
      <c r="G226">
        <v>20260416</v>
      </c>
      <c r="H226">
        <v>20260503</v>
      </c>
      <c r="I226">
        <v>25293.245800000001</v>
      </c>
      <c r="J226">
        <f t="shared" si="31"/>
        <v>18</v>
      </c>
      <c r="K226">
        <f t="shared" si="32"/>
        <v>1405.1803222222222</v>
      </c>
      <c r="L226">
        <f t="shared" si="33"/>
        <v>0</v>
      </c>
      <c r="M226">
        <f t="shared" si="34"/>
        <v>21077.704833333333</v>
      </c>
      <c r="N226">
        <f t="shared" si="35"/>
        <v>3167.959747107855</v>
      </c>
      <c r="O226">
        <f t="shared" si="36"/>
        <v>24245.664580441189</v>
      </c>
      <c r="P226">
        <f t="shared" si="37"/>
        <v>0</v>
      </c>
      <c r="Q226">
        <f t="shared" si="38"/>
        <v>21988.408174194374</v>
      </c>
      <c r="R226">
        <f t="shared" si="39"/>
        <v>3304.837625805626</v>
      </c>
      <c r="S226">
        <f t="shared" si="40"/>
        <v>25293.245800000001</v>
      </c>
    </row>
    <row r="227" spans="1:19" x14ac:dyDescent="0.3">
      <c r="A227" t="s">
        <v>13</v>
      </c>
      <c r="B227" t="s">
        <v>24</v>
      </c>
      <c r="C227" t="s">
        <v>15</v>
      </c>
      <c r="D227">
        <v>6</v>
      </c>
      <c r="E227">
        <v>30</v>
      </c>
      <c r="F227">
        <v>6</v>
      </c>
      <c r="G227">
        <v>20260326</v>
      </c>
      <c r="H227">
        <v>20260506</v>
      </c>
      <c r="I227">
        <v>72.320999999999998</v>
      </c>
      <c r="J227">
        <f t="shared" si="31"/>
        <v>42</v>
      </c>
      <c r="K227">
        <f t="shared" si="32"/>
        <v>1.7219285714285715</v>
      </c>
      <c r="L227">
        <f t="shared" si="33"/>
        <v>16.647245978435372</v>
      </c>
      <c r="M227">
        <f t="shared" si="34"/>
        <v>51.657857142857146</v>
      </c>
      <c r="N227">
        <f t="shared" si="35"/>
        <v>7.7641286536860097</v>
      </c>
      <c r="O227">
        <f t="shared" si="36"/>
        <v>76.069231774978533</v>
      </c>
      <c r="P227">
        <f t="shared" si="37"/>
        <v>15.826970357316512</v>
      </c>
      <c r="Q227">
        <f t="shared" si="38"/>
        <v>49.11247030178945</v>
      </c>
      <c r="R227">
        <f t="shared" si="39"/>
        <v>7.3815593408940323</v>
      </c>
      <c r="S227">
        <f t="shared" si="40"/>
        <v>72.320999999999998</v>
      </c>
    </row>
    <row r="228" spans="1:19" x14ac:dyDescent="0.3">
      <c r="A228" t="s">
        <v>13</v>
      </c>
      <c r="B228" t="s">
        <v>33</v>
      </c>
      <c r="C228" t="s">
        <v>15</v>
      </c>
      <c r="D228">
        <v>15</v>
      </c>
      <c r="E228">
        <v>3</v>
      </c>
      <c r="F228">
        <v>0</v>
      </c>
      <c r="G228">
        <v>20260317</v>
      </c>
      <c r="H228">
        <v>20260403</v>
      </c>
      <c r="I228">
        <v>3329.0450999999998</v>
      </c>
      <c r="J228">
        <f t="shared" si="31"/>
        <v>18</v>
      </c>
      <c r="K228">
        <f t="shared" si="32"/>
        <v>184.94694999999999</v>
      </c>
      <c r="L228">
        <f t="shared" si="33"/>
        <v>4470.0712629692016</v>
      </c>
      <c r="M228">
        <f t="shared" si="34"/>
        <v>554.84084999999993</v>
      </c>
      <c r="N228">
        <f t="shared" si="35"/>
        <v>0</v>
      </c>
      <c r="O228">
        <f t="shared" si="36"/>
        <v>5024.9121129692012</v>
      </c>
      <c r="P228">
        <f t="shared" si="37"/>
        <v>2961.4585290418672</v>
      </c>
      <c r="Q228">
        <f t="shared" si="38"/>
        <v>367.58657095813288</v>
      </c>
      <c r="R228">
        <f t="shared" si="39"/>
        <v>0</v>
      </c>
      <c r="S228">
        <f t="shared" si="40"/>
        <v>3329.0451000000003</v>
      </c>
    </row>
    <row r="229" spans="1:19" x14ac:dyDescent="0.3">
      <c r="A229" t="s">
        <v>13</v>
      </c>
      <c r="B229" t="s">
        <v>33</v>
      </c>
      <c r="C229" t="s">
        <v>15</v>
      </c>
      <c r="D229">
        <v>5</v>
      </c>
      <c r="E229">
        <v>30</v>
      </c>
      <c r="F229">
        <v>5</v>
      </c>
      <c r="G229">
        <v>20260327</v>
      </c>
      <c r="H229">
        <v>20260505</v>
      </c>
      <c r="I229">
        <v>123465.2268</v>
      </c>
      <c r="J229">
        <f t="shared" si="31"/>
        <v>40</v>
      </c>
      <c r="K229">
        <f t="shared" si="32"/>
        <v>3086.63067</v>
      </c>
      <c r="L229">
        <f t="shared" si="33"/>
        <v>24867.417489837626</v>
      </c>
      <c r="M229">
        <f t="shared" si="34"/>
        <v>92598.920100000003</v>
      </c>
      <c r="N229">
        <f t="shared" si="35"/>
        <v>11597.944123978605</v>
      </c>
      <c r="O229">
        <f t="shared" si="36"/>
        <v>129064.28171381624</v>
      </c>
      <c r="P229">
        <f t="shared" si="37"/>
        <v>23788.6214492791</v>
      </c>
      <c r="Q229">
        <f t="shared" si="38"/>
        <v>88581.802182359432</v>
      </c>
      <c r="R229">
        <f t="shared" si="39"/>
        <v>11094.80316836147</v>
      </c>
      <c r="S229">
        <f t="shared" si="40"/>
        <v>123465.2268</v>
      </c>
    </row>
    <row r="230" spans="1:19" x14ac:dyDescent="0.3">
      <c r="A230" t="s">
        <v>13</v>
      </c>
      <c r="B230" t="s">
        <v>24</v>
      </c>
      <c r="C230" t="s">
        <v>15</v>
      </c>
      <c r="D230">
        <v>8</v>
      </c>
      <c r="E230">
        <v>1</v>
      </c>
      <c r="F230">
        <v>0</v>
      </c>
      <c r="G230">
        <v>20260324</v>
      </c>
      <c r="H230">
        <v>20260401</v>
      </c>
      <c r="I230">
        <v>11917.5013</v>
      </c>
      <c r="J230">
        <f t="shared" si="31"/>
        <v>9</v>
      </c>
      <c r="K230">
        <f t="shared" si="32"/>
        <v>1324.1668111111112</v>
      </c>
      <c r="L230">
        <f t="shared" si="33"/>
        <v>17069.024415849253</v>
      </c>
      <c r="M230">
        <f t="shared" si="34"/>
        <v>1324.1668111111112</v>
      </c>
      <c r="N230">
        <f t="shared" si="35"/>
        <v>0</v>
      </c>
      <c r="O230">
        <f t="shared" si="36"/>
        <v>18393.191226960364</v>
      </c>
      <c r="P230">
        <f t="shared" si="37"/>
        <v>11059.533832685116</v>
      </c>
      <c r="Q230">
        <f t="shared" si="38"/>
        <v>857.96746731488372</v>
      </c>
      <c r="R230">
        <f t="shared" si="39"/>
        <v>0</v>
      </c>
      <c r="S230">
        <f t="shared" si="40"/>
        <v>11917.5013</v>
      </c>
    </row>
    <row r="231" spans="1:19" x14ac:dyDescent="0.3">
      <c r="A231" t="s">
        <v>13</v>
      </c>
      <c r="B231" t="s">
        <v>33</v>
      </c>
      <c r="C231" t="s">
        <v>15</v>
      </c>
      <c r="D231">
        <v>0</v>
      </c>
      <c r="E231">
        <v>2</v>
      </c>
      <c r="F231">
        <v>0</v>
      </c>
      <c r="G231">
        <v>20260420</v>
      </c>
      <c r="H231">
        <v>20260421</v>
      </c>
      <c r="I231">
        <v>931.77179999999998</v>
      </c>
      <c r="J231">
        <f t="shared" si="31"/>
        <v>2</v>
      </c>
      <c r="K231">
        <f t="shared" si="32"/>
        <v>465.88589999999999</v>
      </c>
      <c r="L231">
        <f t="shared" si="33"/>
        <v>0</v>
      </c>
      <c r="M231">
        <f t="shared" si="34"/>
        <v>931.77179999999998</v>
      </c>
      <c r="N231">
        <f t="shared" si="35"/>
        <v>0</v>
      </c>
      <c r="O231">
        <f t="shared" si="36"/>
        <v>931.77179999999998</v>
      </c>
      <c r="P231">
        <f t="shared" si="37"/>
        <v>0</v>
      </c>
      <c r="Q231">
        <f t="shared" si="38"/>
        <v>931.77179999999998</v>
      </c>
      <c r="R231">
        <f t="shared" si="39"/>
        <v>0</v>
      </c>
      <c r="S231">
        <f t="shared" si="40"/>
        <v>931.77179999999998</v>
      </c>
    </row>
    <row r="232" spans="1:19" x14ac:dyDescent="0.3">
      <c r="A232" t="s">
        <v>13</v>
      </c>
      <c r="B232" t="s">
        <v>24</v>
      </c>
      <c r="C232" t="s">
        <v>15</v>
      </c>
      <c r="D232">
        <v>4</v>
      </c>
      <c r="E232">
        <v>30</v>
      </c>
      <c r="F232">
        <v>5</v>
      </c>
      <c r="G232">
        <v>20260328</v>
      </c>
      <c r="H232">
        <v>20260505</v>
      </c>
      <c r="I232">
        <v>95.173900000000003</v>
      </c>
      <c r="J232">
        <f t="shared" si="31"/>
        <v>39</v>
      </c>
      <c r="K232">
        <f t="shared" si="32"/>
        <v>2.4403564102564101</v>
      </c>
      <c r="L232">
        <f t="shared" si="33"/>
        <v>15.728570902290066</v>
      </c>
      <c r="M232">
        <f t="shared" si="34"/>
        <v>73.210692307692298</v>
      </c>
      <c r="N232">
        <f t="shared" si="35"/>
        <v>9.1695833790010415</v>
      </c>
      <c r="O232">
        <f t="shared" si="36"/>
        <v>98.108846588983397</v>
      </c>
      <c r="P232">
        <f t="shared" si="37"/>
        <v>15.258047426332258</v>
      </c>
      <c r="Q232">
        <f t="shared" si="38"/>
        <v>71.020579192146798</v>
      </c>
      <c r="R232">
        <f t="shared" si="39"/>
        <v>8.8952733815209584</v>
      </c>
      <c r="S232">
        <f t="shared" si="40"/>
        <v>95.173900000000003</v>
      </c>
    </row>
    <row r="233" spans="1:19" x14ac:dyDescent="0.3">
      <c r="A233" t="s">
        <v>13</v>
      </c>
      <c r="B233" t="s">
        <v>33</v>
      </c>
      <c r="C233" t="s">
        <v>15</v>
      </c>
      <c r="D233">
        <v>0</v>
      </c>
      <c r="E233">
        <v>21</v>
      </c>
      <c r="F233">
        <v>11</v>
      </c>
      <c r="G233">
        <v>20260410</v>
      </c>
      <c r="H233">
        <v>20260511</v>
      </c>
      <c r="I233">
        <v>15198.081200000001</v>
      </c>
      <c r="J233">
        <f t="shared" si="31"/>
        <v>32</v>
      </c>
      <c r="K233">
        <f t="shared" si="32"/>
        <v>474.94003750000002</v>
      </c>
      <c r="L233">
        <f t="shared" si="33"/>
        <v>0</v>
      </c>
      <c r="M233">
        <f t="shared" si="34"/>
        <v>9973.7407875000008</v>
      </c>
      <c r="N233">
        <f t="shared" si="35"/>
        <v>3926.0679146182611</v>
      </c>
      <c r="O233">
        <f t="shared" si="36"/>
        <v>13899.808702118262</v>
      </c>
      <c r="P233">
        <f t="shared" si="37"/>
        <v>0</v>
      </c>
      <c r="Q233">
        <f t="shared" si="38"/>
        <v>10905.30996538655</v>
      </c>
      <c r="R233">
        <f t="shared" si="39"/>
        <v>4292.7712346134513</v>
      </c>
      <c r="S233">
        <f t="shared" si="40"/>
        <v>15198.081200000001</v>
      </c>
    </row>
    <row r="234" spans="1:19" x14ac:dyDescent="0.3">
      <c r="A234" t="s">
        <v>13</v>
      </c>
      <c r="B234" t="s">
        <v>33</v>
      </c>
      <c r="C234" t="s">
        <v>15</v>
      </c>
      <c r="D234">
        <v>0</v>
      </c>
      <c r="E234">
        <v>27</v>
      </c>
      <c r="F234">
        <v>2</v>
      </c>
      <c r="G234">
        <v>20260404</v>
      </c>
      <c r="H234">
        <v>20260502</v>
      </c>
      <c r="I234">
        <v>2415413.2935000001</v>
      </c>
      <c r="J234">
        <f t="shared" si="31"/>
        <v>29</v>
      </c>
      <c r="K234">
        <f t="shared" si="32"/>
        <v>83290.11356896552</v>
      </c>
      <c r="L234">
        <f t="shared" si="33"/>
        <v>0</v>
      </c>
      <c r="M234">
        <f t="shared" si="34"/>
        <v>2248833.066362069</v>
      </c>
      <c r="N234">
        <f t="shared" si="35"/>
        <v>125184.2784614972</v>
      </c>
      <c r="O234">
        <f t="shared" si="36"/>
        <v>2374017.3448235663</v>
      </c>
      <c r="P234">
        <f t="shared" si="37"/>
        <v>0</v>
      </c>
      <c r="Q234">
        <f t="shared" si="38"/>
        <v>2288046.1657945463</v>
      </c>
      <c r="R234">
        <f t="shared" si="39"/>
        <v>127367.12770545406</v>
      </c>
      <c r="S234">
        <f t="shared" si="40"/>
        <v>2415413.2935000001</v>
      </c>
    </row>
    <row r="235" spans="1:19" x14ac:dyDescent="0.3">
      <c r="A235" t="s">
        <v>13</v>
      </c>
      <c r="B235" t="s">
        <v>24</v>
      </c>
      <c r="C235" t="s">
        <v>15</v>
      </c>
      <c r="D235">
        <v>28</v>
      </c>
      <c r="E235">
        <v>1</v>
      </c>
      <c r="F235">
        <v>0</v>
      </c>
      <c r="G235">
        <v>20260304</v>
      </c>
      <c r="H235">
        <v>20260401</v>
      </c>
      <c r="I235">
        <v>11026419.1259</v>
      </c>
      <c r="J235">
        <f t="shared" si="31"/>
        <v>29</v>
      </c>
      <c r="K235">
        <f t="shared" si="32"/>
        <v>380221.34916896553</v>
      </c>
      <c r="L235">
        <f t="shared" si="33"/>
        <v>17154202.954469558</v>
      </c>
      <c r="M235">
        <f t="shared" si="34"/>
        <v>380221.34916896553</v>
      </c>
      <c r="N235">
        <f t="shared" si="35"/>
        <v>0</v>
      </c>
      <c r="O235">
        <f t="shared" si="36"/>
        <v>17534424.303638522</v>
      </c>
      <c r="P235">
        <f t="shared" si="37"/>
        <v>10787319.176910959</v>
      </c>
      <c r="Q235">
        <f t="shared" si="38"/>
        <v>239099.9489890417</v>
      </c>
      <c r="R235">
        <f t="shared" si="39"/>
        <v>0</v>
      </c>
      <c r="S235">
        <f t="shared" si="40"/>
        <v>11026419.1259</v>
      </c>
    </row>
    <row r="236" spans="1:19" x14ac:dyDescent="0.3">
      <c r="A236" t="s">
        <v>13</v>
      </c>
      <c r="B236" t="s">
        <v>33</v>
      </c>
      <c r="C236" t="s">
        <v>15</v>
      </c>
      <c r="D236">
        <v>0</v>
      </c>
      <c r="E236">
        <v>24</v>
      </c>
      <c r="F236">
        <v>7</v>
      </c>
      <c r="G236">
        <v>20260407</v>
      </c>
      <c r="H236">
        <v>20260507</v>
      </c>
      <c r="I236">
        <v>888123.95849999995</v>
      </c>
      <c r="J236">
        <f t="shared" si="31"/>
        <v>31</v>
      </c>
      <c r="K236">
        <f t="shared" si="32"/>
        <v>28649.159951612903</v>
      </c>
      <c r="L236">
        <f t="shared" si="33"/>
        <v>0</v>
      </c>
      <c r="M236">
        <f t="shared" si="34"/>
        <v>687579.83883870963</v>
      </c>
      <c r="N236">
        <f t="shared" si="35"/>
        <v>150707.98828187137</v>
      </c>
      <c r="O236">
        <f t="shared" si="36"/>
        <v>838287.82712058094</v>
      </c>
      <c r="P236">
        <f t="shared" si="37"/>
        <v>0</v>
      </c>
      <c r="Q236">
        <f t="shared" si="38"/>
        <v>728456.39468696341</v>
      </c>
      <c r="R236">
        <f t="shared" si="39"/>
        <v>159667.56381303669</v>
      </c>
      <c r="S236">
        <f t="shared" si="40"/>
        <v>888123.95850000007</v>
      </c>
    </row>
    <row r="237" spans="1:19" x14ac:dyDescent="0.3">
      <c r="A237" t="s">
        <v>13</v>
      </c>
      <c r="B237" t="s">
        <v>33</v>
      </c>
      <c r="C237" t="s">
        <v>15</v>
      </c>
      <c r="D237">
        <v>30</v>
      </c>
      <c r="E237">
        <v>1</v>
      </c>
      <c r="F237">
        <v>0</v>
      </c>
      <c r="G237">
        <v>20260302</v>
      </c>
      <c r="H237">
        <v>20260401</v>
      </c>
      <c r="I237">
        <v>794553.05900000001</v>
      </c>
      <c r="J237">
        <f t="shared" si="31"/>
        <v>31</v>
      </c>
      <c r="K237">
        <f t="shared" si="32"/>
        <v>25630.743838709677</v>
      </c>
      <c r="L237">
        <f t="shared" si="33"/>
        <v>1238963.4052569245</v>
      </c>
      <c r="M237">
        <f t="shared" si="34"/>
        <v>25630.743838709677</v>
      </c>
      <c r="N237">
        <f t="shared" si="35"/>
        <v>0</v>
      </c>
      <c r="O237">
        <f t="shared" si="36"/>
        <v>1264594.1490956342</v>
      </c>
      <c r="P237">
        <f t="shared" si="37"/>
        <v>778449.08925124223</v>
      </c>
      <c r="Q237">
        <f t="shared" si="38"/>
        <v>16103.969748757778</v>
      </c>
      <c r="R237">
        <f t="shared" si="39"/>
        <v>0</v>
      </c>
      <c r="S237">
        <f t="shared" si="40"/>
        <v>794553.05900000001</v>
      </c>
    </row>
    <row r="238" spans="1:19" x14ac:dyDescent="0.3">
      <c r="A238" t="s">
        <v>13</v>
      </c>
      <c r="B238" t="s">
        <v>33</v>
      </c>
      <c r="C238" t="s">
        <v>14</v>
      </c>
      <c r="D238">
        <v>27</v>
      </c>
      <c r="E238">
        <v>3</v>
      </c>
      <c r="F238">
        <v>0</v>
      </c>
      <c r="G238">
        <v>20260305</v>
      </c>
      <c r="H238">
        <v>20260403</v>
      </c>
      <c r="I238">
        <v>190089.66889999999</v>
      </c>
      <c r="J238">
        <f t="shared" si="31"/>
        <v>30</v>
      </c>
      <c r="K238">
        <f t="shared" si="32"/>
        <v>6336.3222966666663</v>
      </c>
      <c r="L238">
        <f t="shared" si="33"/>
        <v>275662.08569664555</v>
      </c>
      <c r="M238">
        <f t="shared" si="34"/>
        <v>19008.96689</v>
      </c>
      <c r="N238">
        <f t="shared" si="35"/>
        <v>0</v>
      </c>
      <c r="O238">
        <f t="shared" si="36"/>
        <v>294671.05258664553</v>
      </c>
      <c r="P238">
        <f t="shared" si="37"/>
        <v>177827.15383266515</v>
      </c>
      <c r="Q238">
        <f t="shared" si="38"/>
        <v>12262.515067334854</v>
      </c>
      <c r="R238">
        <f t="shared" si="39"/>
        <v>0</v>
      </c>
      <c r="S238">
        <f t="shared" si="40"/>
        <v>190089.66889999999</v>
      </c>
    </row>
    <row r="239" spans="1:19" x14ac:dyDescent="0.3">
      <c r="A239" t="s">
        <v>13</v>
      </c>
      <c r="B239" t="s">
        <v>33</v>
      </c>
      <c r="C239" t="s">
        <v>15</v>
      </c>
      <c r="D239">
        <v>29</v>
      </c>
      <c r="E239">
        <v>2</v>
      </c>
      <c r="F239">
        <v>0</v>
      </c>
      <c r="G239">
        <v>20260303</v>
      </c>
      <c r="H239">
        <v>20260402</v>
      </c>
      <c r="I239">
        <v>275707.554</v>
      </c>
      <c r="J239">
        <f t="shared" si="31"/>
        <v>31</v>
      </c>
      <c r="K239">
        <f t="shared" si="32"/>
        <v>8893.7920645161284</v>
      </c>
      <c r="L239">
        <f t="shared" si="33"/>
        <v>415586.07138104388</v>
      </c>
      <c r="M239">
        <f t="shared" si="34"/>
        <v>17787.584129032257</v>
      </c>
      <c r="N239">
        <f t="shared" si="35"/>
        <v>0</v>
      </c>
      <c r="O239">
        <f t="shared" si="36"/>
        <v>433373.65551007615</v>
      </c>
      <c r="P239">
        <f t="shared" si="37"/>
        <v>264391.2885800068</v>
      </c>
      <c r="Q239">
        <f t="shared" si="38"/>
        <v>11316.265419993162</v>
      </c>
      <c r="R239">
        <f t="shared" si="39"/>
        <v>0</v>
      </c>
      <c r="S239">
        <f t="shared" si="40"/>
        <v>275707.55399999995</v>
      </c>
    </row>
    <row r="240" spans="1:19" x14ac:dyDescent="0.3">
      <c r="A240" t="s">
        <v>13</v>
      </c>
      <c r="B240" t="s">
        <v>33</v>
      </c>
      <c r="C240" t="s">
        <v>15</v>
      </c>
      <c r="D240">
        <v>0</v>
      </c>
      <c r="E240">
        <v>28</v>
      </c>
      <c r="F240">
        <v>1</v>
      </c>
      <c r="G240">
        <v>20260403</v>
      </c>
      <c r="H240">
        <v>20260501</v>
      </c>
      <c r="I240">
        <v>7523288.3858000003</v>
      </c>
      <c r="J240">
        <f t="shared" si="31"/>
        <v>29</v>
      </c>
      <c r="K240">
        <f t="shared" si="32"/>
        <v>259423.73744137931</v>
      </c>
      <c r="L240">
        <f t="shared" si="33"/>
        <v>0</v>
      </c>
      <c r="M240">
        <f t="shared" si="34"/>
        <v>7263864.6483586207</v>
      </c>
      <c r="N240">
        <f t="shared" si="35"/>
        <v>194955.75162407191</v>
      </c>
      <c r="O240">
        <f t="shared" si="36"/>
        <v>7458820.3999826927</v>
      </c>
      <c r="P240">
        <f t="shared" si="37"/>
        <v>0</v>
      </c>
      <c r="Q240">
        <f t="shared" si="38"/>
        <v>7326647.5949932272</v>
      </c>
      <c r="R240">
        <f t="shared" si="39"/>
        <v>196640.79080677329</v>
      </c>
      <c r="S240">
        <f t="shared" si="40"/>
        <v>7523288.3858000003</v>
      </c>
    </row>
    <row r="241" spans="1:19" x14ac:dyDescent="0.3">
      <c r="A241" t="s">
        <v>13</v>
      </c>
      <c r="B241" t="s">
        <v>33</v>
      </c>
      <c r="C241" t="s">
        <v>15</v>
      </c>
      <c r="D241">
        <v>30</v>
      </c>
      <c r="E241">
        <v>2</v>
      </c>
      <c r="F241">
        <v>0</v>
      </c>
      <c r="G241">
        <v>20260302</v>
      </c>
      <c r="H241">
        <v>20260402</v>
      </c>
      <c r="I241">
        <v>371743.23489999998</v>
      </c>
      <c r="J241">
        <f t="shared" si="31"/>
        <v>32</v>
      </c>
      <c r="K241">
        <f t="shared" si="32"/>
        <v>11616.976090624999</v>
      </c>
      <c r="L241">
        <f t="shared" si="33"/>
        <v>561552.49908477126</v>
      </c>
      <c r="M241">
        <f t="shared" si="34"/>
        <v>23233.952181249999</v>
      </c>
      <c r="N241">
        <f t="shared" si="35"/>
        <v>0</v>
      </c>
      <c r="O241">
        <f t="shared" si="36"/>
        <v>584786.45126602123</v>
      </c>
      <c r="P241">
        <f t="shared" si="37"/>
        <v>356973.63050052879</v>
      </c>
      <c r="Q241">
        <f t="shared" si="38"/>
        <v>14769.604399471214</v>
      </c>
      <c r="R241">
        <f t="shared" si="39"/>
        <v>0</v>
      </c>
      <c r="S241">
        <f t="shared" si="40"/>
        <v>371743.23489999998</v>
      </c>
    </row>
    <row r="242" spans="1:19" x14ac:dyDescent="0.3">
      <c r="A242" t="s">
        <v>13</v>
      </c>
      <c r="B242" t="s">
        <v>24</v>
      </c>
      <c r="C242" t="s">
        <v>14</v>
      </c>
      <c r="D242">
        <v>28</v>
      </c>
      <c r="E242">
        <v>2</v>
      </c>
      <c r="F242">
        <v>0</v>
      </c>
      <c r="G242">
        <v>20260304</v>
      </c>
      <c r="H242">
        <v>20260402</v>
      </c>
      <c r="I242">
        <v>2776047.5825999998</v>
      </c>
      <c r="J242">
        <f t="shared" si="31"/>
        <v>30</v>
      </c>
      <c r="K242">
        <f t="shared" si="32"/>
        <v>92534.919419999991</v>
      </c>
      <c r="L242">
        <f t="shared" si="33"/>
        <v>4174838.6606265046</v>
      </c>
      <c r="M242">
        <f t="shared" si="34"/>
        <v>185069.83883999998</v>
      </c>
      <c r="N242">
        <f t="shared" si="35"/>
        <v>0</v>
      </c>
      <c r="O242">
        <f t="shared" si="36"/>
        <v>4359908.4994665049</v>
      </c>
      <c r="P242">
        <f t="shared" si="37"/>
        <v>2658209.6328387102</v>
      </c>
      <c r="Q242">
        <f t="shared" si="38"/>
        <v>117837.94976128959</v>
      </c>
      <c r="R242">
        <f t="shared" si="39"/>
        <v>0</v>
      </c>
      <c r="S242">
        <f t="shared" si="40"/>
        <v>2776047.5825999998</v>
      </c>
    </row>
    <row r="243" spans="1:19" x14ac:dyDescent="0.3">
      <c r="A243" t="s">
        <v>13</v>
      </c>
      <c r="B243" t="s">
        <v>33</v>
      </c>
      <c r="C243" t="s">
        <v>15</v>
      </c>
      <c r="D243">
        <v>0</v>
      </c>
      <c r="E243">
        <v>28</v>
      </c>
      <c r="F243">
        <v>4</v>
      </c>
      <c r="G243">
        <v>20260403</v>
      </c>
      <c r="H243">
        <v>20260504</v>
      </c>
      <c r="I243">
        <v>8918365.0826999992</v>
      </c>
      <c r="J243">
        <f t="shared" si="31"/>
        <v>32</v>
      </c>
      <c r="K243">
        <f t="shared" si="32"/>
        <v>278698.90883437498</v>
      </c>
      <c r="L243">
        <f t="shared" si="33"/>
        <v>0</v>
      </c>
      <c r="M243">
        <f t="shared" si="34"/>
        <v>7803569.4473624993</v>
      </c>
      <c r="N243">
        <f t="shared" si="35"/>
        <v>837763.81890869699</v>
      </c>
      <c r="O243">
        <f t="shared" si="36"/>
        <v>8641333.2662711963</v>
      </c>
      <c r="P243">
        <f t="shared" si="37"/>
        <v>0</v>
      </c>
      <c r="Q243">
        <f t="shared" si="38"/>
        <v>8053743.4601006974</v>
      </c>
      <c r="R243">
        <f t="shared" si="39"/>
        <v>864621.62259930198</v>
      </c>
      <c r="S243">
        <f t="shared" si="40"/>
        <v>8918365.0826999992</v>
      </c>
    </row>
    <row r="244" spans="1:19" x14ac:dyDescent="0.3">
      <c r="A244" t="s">
        <v>13</v>
      </c>
      <c r="B244" t="s">
        <v>33</v>
      </c>
      <c r="C244" t="s">
        <v>15</v>
      </c>
      <c r="D244">
        <v>26</v>
      </c>
      <c r="E244">
        <v>2</v>
      </c>
      <c r="F244">
        <v>0</v>
      </c>
      <c r="G244">
        <v>20260306</v>
      </c>
      <c r="H244">
        <v>20260402</v>
      </c>
      <c r="I244">
        <v>247830.47700000001</v>
      </c>
      <c r="J244">
        <f t="shared" si="31"/>
        <v>28</v>
      </c>
      <c r="K244">
        <f t="shared" si="32"/>
        <v>8851.0884642857145</v>
      </c>
      <c r="L244">
        <f t="shared" si="33"/>
        <v>370805.39435596578</v>
      </c>
      <c r="M244">
        <f t="shared" si="34"/>
        <v>17702.176928571429</v>
      </c>
      <c r="N244">
        <f t="shared" si="35"/>
        <v>0</v>
      </c>
      <c r="O244">
        <f t="shared" si="36"/>
        <v>388507.5712845372</v>
      </c>
      <c r="P244">
        <f t="shared" si="37"/>
        <v>236538.19011446805</v>
      </c>
      <c r="Q244">
        <f t="shared" si="38"/>
        <v>11292.286885531959</v>
      </c>
      <c r="R244">
        <f t="shared" si="39"/>
        <v>0</v>
      </c>
      <c r="S244">
        <f t="shared" si="40"/>
        <v>247830.47700000001</v>
      </c>
    </row>
    <row r="245" spans="1:19" x14ac:dyDescent="0.3">
      <c r="A245" t="s">
        <v>13</v>
      </c>
      <c r="B245" t="s">
        <v>24</v>
      </c>
      <c r="C245" t="s">
        <v>15</v>
      </c>
      <c r="D245">
        <v>26</v>
      </c>
      <c r="E245">
        <v>2</v>
      </c>
      <c r="F245">
        <v>0</v>
      </c>
      <c r="G245">
        <v>20260306</v>
      </c>
      <c r="H245">
        <v>20260402</v>
      </c>
      <c r="I245">
        <v>3221796.2126000002</v>
      </c>
      <c r="J245">
        <f t="shared" si="31"/>
        <v>28</v>
      </c>
      <c r="K245">
        <f t="shared" si="32"/>
        <v>115064.15045</v>
      </c>
      <c r="L245">
        <f t="shared" si="33"/>
        <v>4820470.143983542</v>
      </c>
      <c r="M245">
        <f t="shared" si="34"/>
        <v>230128.3009</v>
      </c>
      <c r="N245">
        <f t="shared" si="35"/>
        <v>0</v>
      </c>
      <c r="O245">
        <f t="shared" si="36"/>
        <v>5050598.4448835421</v>
      </c>
      <c r="P245">
        <f t="shared" si="37"/>
        <v>3074996.4825595357</v>
      </c>
      <c r="Q245">
        <f t="shared" si="38"/>
        <v>146799.73004046438</v>
      </c>
      <c r="R245">
        <f t="shared" si="39"/>
        <v>0</v>
      </c>
      <c r="S245">
        <f t="shared" si="40"/>
        <v>3221796.2126000002</v>
      </c>
    </row>
    <row r="246" spans="1:19" x14ac:dyDescent="0.3">
      <c r="A246" t="s">
        <v>13</v>
      </c>
      <c r="B246" t="s">
        <v>33</v>
      </c>
      <c r="C246" t="s">
        <v>15</v>
      </c>
      <c r="D246">
        <v>0</v>
      </c>
      <c r="E246">
        <v>29</v>
      </c>
      <c r="F246">
        <v>3</v>
      </c>
      <c r="G246">
        <v>20260402</v>
      </c>
      <c r="H246">
        <v>20260503</v>
      </c>
      <c r="I246">
        <v>1013851.1821</v>
      </c>
      <c r="J246">
        <f t="shared" si="31"/>
        <v>32</v>
      </c>
      <c r="K246">
        <f t="shared" si="32"/>
        <v>31682.849440624999</v>
      </c>
      <c r="L246">
        <f t="shared" si="33"/>
        <v>0</v>
      </c>
      <c r="M246">
        <f t="shared" si="34"/>
        <v>918802.63377812493</v>
      </c>
      <c r="N246">
        <f t="shared" si="35"/>
        <v>71428.549143677534</v>
      </c>
      <c r="O246">
        <f t="shared" si="36"/>
        <v>990231.18292180251</v>
      </c>
      <c r="P246">
        <f t="shared" si="37"/>
        <v>0</v>
      </c>
      <c r="Q246">
        <f t="shared" si="38"/>
        <v>940718.84670804918</v>
      </c>
      <c r="R246">
        <f t="shared" si="39"/>
        <v>73132.335391950764</v>
      </c>
      <c r="S246">
        <f t="shared" si="40"/>
        <v>1013851.1821</v>
      </c>
    </row>
    <row r="247" spans="1:19" x14ac:dyDescent="0.3">
      <c r="A247" t="s">
        <v>13</v>
      </c>
      <c r="B247" t="s">
        <v>24</v>
      </c>
      <c r="C247" t="s">
        <v>15</v>
      </c>
      <c r="D247">
        <v>16</v>
      </c>
      <c r="E247">
        <v>15</v>
      </c>
      <c r="F247">
        <v>0</v>
      </c>
      <c r="G247">
        <v>20260316</v>
      </c>
      <c r="H247">
        <v>20260415</v>
      </c>
      <c r="I247">
        <v>2793948.2349</v>
      </c>
      <c r="J247">
        <f t="shared" si="31"/>
        <v>31</v>
      </c>
      <c r="K247">
        <f t="shared" si="32"/>
        <v>90127.362416129035</v>
      </c>
      <c r="L247">
        <f t="shared" si="33"/>
        <v>2323553.402348361</v>
      </c>
      <c r="M247">
        <f t="shared" si="34"/>
        <v>1351910.4362419355</v>
      </c>
      <c r="N247">
        <f t="shared" si="35"/>
        <v>0</v>
      </c>
      <c r="O247">
        <f t="shared" si="36"/>
        <v>3675463.8385902965</v>
      </c>
      <c r="P247">
        <f t="shared" si="37"/>
        <v>1766277.186303925</v>
      </c>
      <c r="Q247">
        <f t="shared" si="38"/>
        <v>1027671.0485960749</v>
      </c>
      <c r="R247">
        <f t="shared" si="39"/>
        <v>0</v>
      </c>
      <c r="S247">
        <f t="shared" si="40"/>
        <v>2793948.2349</v>
      </c>
    </row>
    <row r="248" spans="1:19" x14ac:dyDescent="0.3">
      <c r="A248" t="s">
        <v>13</v>
      </c>
      <c r="B248" t="s">
        <v>33</v>
      </c>
      <c r="C248" t="s">
        <v>14</v>
      </c>
      <c r="D248">
        <v>29</v>
      </c>
      <c r="E248">
        <v>6</v>
      </c>
      <c r="F248">
        <v>0</v>
      </c>
      <c r="G248">
        <v>20260303</v>
      </c>
      <c r="H248">
        <v>20260406</v>
      </c>
      <c r="I248">
        <v>13318.0944</v>
      </c>
      <c r="J248">
        <f t="shared" si="31"/>
        <v>35</v>
      </c>
      <c r="K248">
        <f t="shared" si="32"/>
        <v>380.51698285714286</v>
      </c>
      <c r="L248">
        <f t="shared" si="33"/>
        <v>17780.667329776566</v>
      </c>
      <c r="M248">
        <f t="shared" si="34"/>
        <v>2283.1018971428571</v>
      </c>
      <c r="N248">
        <f t="shared" si="35"/>
        <v>0</v>
      </c>
      <c r="O248">
        <f t="shared" si="36"/>
        <v>20063.769226919423</v>
      </c>
      <c r="P248">
        <f t="shared" si="37"/>
        <v>11802.598171595848</v>
      </c>
      <c r="Q248">
        <f t="shared" si="38"/>
        <v>1515.4962284041512</v>
      </c>
      <c r="R248">
        <f t="shared" si="39"/>
        <v>0</v>
      </c>
      <c r="S248">
        <f t="shared" si="40"/>
        <v>13318.094399999998</v>
      </c>
    </row>
    <row r="249" spans="1:19" x14ac:dyDescent="0.3">
      <c r="A249" t="s">
        <v>13</v>
      </c>
      <c r="B249" t="s">
        <v>24</v>
      </c>
      <c r="C249" t="s">
        <v>14</v>
      </c>
      <c r="D249">
        <v>25</v>
      </c>
      <c r="E249">
        <v>2</v>
      </c>
      <c r="F249">
        <v>0</v>
      </c>
      <c r="G249">
        <v>20260307</v>
      </c>
      <c r="H249">
        <v>20260402</v>
      </c>
      <c r="I249">
        <v>100210.8587</v>
      </c>
      <c r="J249">
        <f t="shared" si="31"/>
        <v>27</v>
      </c>
      <c r="K249">
        <f t="shared" si="32"/>
        <v>3711.5132851851849</v>
      </c>
      <c r="L249">
        <f t="shared" si="33"/>
        <v>149508.89861691609</v>
      </c>
      <c r="M249">
        <f t="shared" si="34"/>
        <v>7423.0265703703699</v>
      </c>
      <c r="N249">
        <f t="shared" si="35"/>
        <v>0</v>
      </c>
      <c r="O249">
        <f t="shared" si="36"/>
        <v>156931.92518728646</v>
      </c>
      <c r="P249">
        <f t="shared" si="37"/>
        <v>95470.791528314061</v>
      </c>
      <c r="Q249">
        <f t="shared" si="38"/>
        <v>4740.0671716859424</v>
      </c>
      <c r="R249">
        <f t="shared" si="39"/>
        <v>0</v>
      </c>
      <c r="S249">
        <f t="shared" si="40"/>
        <v>100210.8587</v>
      </c>
    </row>
    <row r="250" spans="1:19" x14ac:dyDescent="0.3">
      <c r="A250" t="s">
        <v>13</v>
      </c>
      <c r="B250" t="s">
        <v>33</v>
      </c>
      <c r="C250" t="s">
        <v>14</v>
      </c>
      <c r="D250">
        <v>0</v>
      </c>
      <c r="E250">
        <v>28</v>
      </c>
      <c r="F250">
        <v>6</v>
      </c>
      <c r="G250">
        <v>20260403</v>
      </c>
      <c r="H250">
        <v>20260506</v>
      </c>
      <c r="I250">
        <v>1804464.4609999999</v>
      </c>
      <c r="J250">
        <f t="shared" si="31"/>
        <v>34</v>
      </c>
      <c r="K250">
        <f t="shared" si="32"/>
        <v>53072.484147058822</v>
      </c>
      <c r="L250">
        <f t="shared" si="33"/>
        <v>0</v>
      </c>
      <c r="M250">
        <f t="shared" si="34"/>
        <v>1486029.5561176471</v>
      </c>
      <c r="N250">
        <f t="shared" si="35"/>
        <v>239302.37393448636</v>
      </c>
      <c r="O250">
        <f t="shared" si="36"/>
        <v>1725331.9300521335</v>
      </c>
      <c r="P250">
        <f t="shared" si="37"/>
        <v>0</v>
      </c>
      <c r="Q250">
        <f t="shared" si="38"/>
        <v>1554186.4584450563</v>
      </c>
      <c r="R250">
        <f t="shared" si="39"/>
        <v>250278.00255494341</v>
      </c>
      <c r="S250">
        <f t="shared" si="40"/>
        <v>1804464.4609999997</v>
      </c>
    </row>
    <row r="251" spans="1:19" x14ac:dyDescent="0.3">
      <c r="A251" t="s">
        <v>13</v>
      </c>
      <c r="B251" t="s">
        <v>24</v>
      </c>
      <c r="C251" t="s">
        <v>15</v>
      </c>
      <c r="D251">
        <v>28</v>
      </c>
      <c r="E251">
        <v>4</v>
      </c>
      <c r="F251">
        <v>0</v>
      </c>
      <c r="G251">
        <v>20260304</v>
      </c>
      <c r="H251">
        <v>20260404</v>
      </c>
      <c r="I251">
        <v>481922.34120000002</v>
      </c>
      <c r="J251">
        <f t="shared" si="31"/>
        <v>32</v>
      </c>
      <c r="K251">
        <f t="shared" si="32"/>
        <v>15060.073162500001</v>
      </c>
      <c r="L251">
        <f t="shared" si="33"/>
        <v>679455.66997575574</v>
      </c>
      <c r="M251">
        <f t="shared" si="34"/>
        <v>60240.292650000003</v>
      </c>
      <c r="N251">
        <f t="shared" si="35"/>
        <v>0</v>
      </c>
      <c r="O251">
        <f t="shared" si="36"/>
        <v>739695.9626257557</v>
      </c>
      <c r="P251">
        <f t="shared" si="37"/>
        <v>442674.94181524869</v>
      </c>
      <c r="Q251">
        <f t="shared" si="38"/>
        <v>39247.39938475137</v>
      </c>
      <c r="R251">
        <f t="shared" si="39"/>
        <v>0</v>
      </c>
      <c r="S251">
        <f t="shared" si="40"/>
        <v>481922.34120000008</v>
      </c>
    </row>
    <row r="252" spans="1:19" x14ac:dyDescent="0.3">
      <c r="A252" t="s">
        <v>13</v>
      </c>
      <c r="B252" t="s">
        <v>33</v>
      </c>
      <c r="C252" t="s">
        <v>15</v>
      </c>
      <c r="D252">
        <v>0</v>
      </c>
      <c r="E252">
        <v>24</v>
      </c>
      <c r="F252">
        <v>4</v>
      </c>
      <c r="G252">
        <v>20260407</v>
      </c>
      <c r="H252">
        <v>20260504</v>
      </c>
      <c r="I252">
        <v>1158404.598</v>
      </c>
      <c r="J252">
        <f t="shared" si="31"/>
        <v>28</v>
      </c>
      <c r="K252">
        <f t="shared" si="32"/>
        <v>41371.592785714289</v>
      </c>
      <c r="L252">
        <f t="shared" si="33"/>
        <v>0</v>
      </c>
      <c r="M252">
        <f t="shared" si="34"/>
        <v>992918.22685714299</v>
      </c>
      <c r="N252">
        <f t="shared" si="35"/>
        <v>124362.25068643165</v>
      </c>
      <c r="O252">
        <f t="shared" si="36"/>
        <v>1117280.4775435748</v>
      </c>
      <c r="P252">
        <f t="shared" si="37"/>
        <v>0</v>
      </c>
      <c r="Q252">
        <f t="shared" si="38"/>
        <v>1029464.903887093</v>
      </c>
      <c r="R252">
        <f t="shared" si="39"/>
        <v>128939.6941129069</v>
      </c>
      <c r="S252">
        <f t="shared" si="40"/>
        <v>1158404.5979999998</v>
      </c>
    </row>
    <row r="253" spans="1:19" x14ac:dyDescent="0.3">
      <c r="A253" t="s">
        <v>13</v>
      </c>
      <c r="B253" t="s">
        <v>24</v>
      </c>
      <c r="C253" t="s">
        <v>15</v>
      </c>
      <c r="D253">
        <v>28</v>
      </c>
      <c r="E253">
        <v>6</v>
      </c>
      <c r="F253">
        <v>0</v>
      </c>
      <c r="G253">
        <v>20260304</v>
      </c>
      <c r="H253">
        <v>20260406</v>
      </c>
      <c r="I253">
        <v>1400190.2390999999</v>
      </c>
      <c r="J253">
        <f t="shared" si="31"/>
        <v>34</v>
      </c>
      <c r="K253">
        <f t="shared" si="32"/>
        <v>41182.065855882349</v>
      </c>
      <c r="L253">
        <f t="shared" si="33"/>
        <v>1857984.8746531103</v>
      </c>
      <c r="M253">
        <f t="shared" si="34"/>
        <v>247092.39513529409</v>
      </c>
      <c r="N253">
        <f t="shared" si="35"/>
        <v>0</v>
      </c>
      <c r="O253">
        <f t="shared" si="36"/>
        <v>2105077.2697884045</v>
      </c>
      <c r="P253">
        <f t="shared" si="37"/>
        <v>1235836.9563062259</v>
      </c>
      <c r="Q253">
        <f t="shared" si="38"/>
        <v>164353.28279377389</v>
      </c>
      <c r="R253">
        <f t="shared" si="39"/>
        <v>0</v>
      </c>
      <c r="S253">
        <f t="shared" si="40"/>
        <v>1400190.2390999997</v>
      </c>
    </row>
    <row r="254" spans="1:19" x14ac:dyDescent="0.3">
      <c r="A254" t="s">
        <v>13</v>
      </c>
      <c r="B254" t="s">
        <v>33</v>
      </c>
      <c r="C254" t="s">
        <v>14</v>
      </c>
      <c r="D254">
        <v>0</v>
      </c>
      <c r="E254">
        <v>27</v>
      </c>
      <c r="F254">
        <v>6</v>
      </c>
      <c r="G254">
        <v>20260404</v>
      </c>
      <c r="H254">
        <v>20260506</v>
      </c>
      <c r="I254">
        <v>1316932.2792</v>
      </c>
      <c r="J254">
        <f t="shared" si="31"/>
        <v>33</v>
      </c>
      <c r="K254">
        <f t="shared" si="32"/>
        <v>39907.038763636367</v>
      </c>
      <c r="L254">
        <f t="shared" si="33"/>
        <v>0</v>
      </c>
      <c r="M254">
        <f t="shared" si="34"/>
        <v>1077490.046618182</v>
      </c>
      <c r="N254">
        <f t="shared" si="35"/>
        <v>179939.74215286446</v>
      </c>
      <c r="O254">
        <f t="shared" si="36"/>
        <v>1257429.7887710463</v>
      </c>
      <c r="P254">
        <f t="shared" si="37"/>
        <v>0</v>
      </c>
      <c r="Q254">
        <f t="shared" si="38"/>
        <v>1128477.6578221861</v>
      </c>
      <c r="R254">
        <f t="shared" si="39"/>
        <v>188454.62137781395</v>
      </c>
      <c r="S254">
        <f t="shared" si="40"/>
        <v>1316932.2792</v>
      </c>
    </row>
    <row r="255" spans="1:19" x14ac:dyDescent="0.3">
      <c r="A255" t="s">
        <v>13</v>
      </c>
      <c r="B255" t="s">
        <v>33</v>
      </c>
      <c r="C255" t="s">
        <v>15</v>
      </c>
      <c r="D255">
        <v>24</v>
      </c>
      <c r="E255">
        <v>3</v>
      </c>
      <c r="F255">
        <v>0</v>
      </c>
      <c r="G255">
        <v>20260308</v>
      </c>
      <c r="H255">
        <v>20260403</v>
      </c>
      <c r="I255">
        <v>33002.553</v>
      </c>
      <c r="J255">
        <f t="shared" si="31"/>
        <v>27</v>
      </c>
      <c r="K255">
        <f t="shared" si="32"/>
        <v>1222.3167777777778</v>
      </c>
      <c r="L255">
        <f t="shared" si="33"/>
        <v>47268.4138026785</v>
      </c>
      <c r="M255">
        <f t="shared" si="34"/>
        <v>3666.9503333333332</v>
      </c>
      <c r="N255">
        <f t="shared" si="35"/>
        <v>0</v>
      </c>
      <c r="O255">
        <f t="shared" si="36"/>
        <v>50935.364136011834</v>
      </c>
      <c r="P255">
        <f t="shared" si="37"/>
        <v>30626.625689437406</v>
      </c>
      <c r="Q255">
        <f t="shared" si="38"/>
        <v>2375.9273105625939</v>
      </c>
      <c r="R255">
        <f t="shared" si="39"/>
        <v>0</v>
      </c>
      <c r="S255">
        <f t="shared" si="40"/>
        <v>33002.553</v>
      </c>
    </row>
    <row r="256" spans="1:19" x14ac:dyDescent="0.3">
      <c r="A256" t="s">
        <v>13</v>
      </c>
      <c r="B256" t="s">
        <v>24</v>
      </c>
      <c r="C256" t="s">
        <v>14</v>
      </c>
      <c r="D256">
        <v>26</v>
      </c>
      <c r="E256">
        <v>1</v>
      </c>
      <c r="F256">
        <v>0</v>
      </c>
      <c r="G256">
        <v>20260306</v>
      </c>
      <c r="H256">
        <v>20260401</v>
      </c>
      <c r="I256">
        <v>248023.09349999999</v>
      </c>
      <c r="J256">
        <f t="shared" si="31"/>
        <v>27</v>
      </c>
      <c r="K256">
        <f t="shared" si="32"/>
        <v>9186.0404999999992</v>
      </c>
      <c r="L256">
        <f t="shared" si="33"/>
        <v>384837.79525157611</v>
      </c>
      <c r="M256">
        <f t="shared" si="34"/>
        <v>9186.0404999999992</v>
      </c>
      <c r="N256">
        <f t="shared" si="35"/>
        <v>0</v>
      </c>
      <c r="O256">
        <f t="shared" si="36"/>
        <v>394023.83575157612</v>
      </c>
      <c r="P256">
        <f t="shared" si="37"/>
        <v>242240.82863401674</v>
      </c>
      <c r="Q256">
        <f t="shared" si="38"/>
        <v>5782.264865983233</v>
      </c>
      <c r="R256">
        <f t="shared" si="39"/>
        <v>0</v>
      </c>
      <c r="S256">
        <f t="shared" si="40"/>
        <v>248023.09349999996</v>
      </c>
    </row>
    <row r="257" spans="1:19" x14ac:dyDescent="0.3">
      <c r="A257" t="s">
        <v>13</v>
      </c>
      <c r="B257" t="s">
        <v>33</v>
      </c>
      <c r="C257" t="s">
        <v>14</v>
      </c>
      <c r="D257">
        <v>30</v>
      </c>
      <c r="E257">
        <v>6</v>
      </c>
      <c r="F257">
        <v>0</v>
      </c>
      <c r="G257">
        <v>20260302</v>
      </c>
      <c r="H257">
        <v>20260406</v>
      </c>
      <c r="I257">
        <v>63014.543799999999</v>
      </c>
      <c r="J257">
        <f t="shared" si="31"/>
        <v>36</v>
      </c>
      <c r="K257">
        <f t="shared" si="32"/>
        <v>1750.4039944444444</v>
      </c>
      <c r="L257">
        <f t="shared" si="33"/>
        <v>84612.702119744208</v>
      </c>
      <c r="M257">
        <f t="shared" si="34"/>
        <v>10502.423966666665</v>
      </c>
      <c r="N257">
        <f t="shared" si="35"/>
        <v>0</v>
      </c>
      <c r="O257">
        <f t="shared" si="36"/>
        <v>95115.126086410877</v>
      </c>
      <c r="P257">
        <f t="shared" si="37"/>
        <v>56056.602594597563</v>
      </c>
      <c r="Q257">
        <f t="shared" si="38"/>
        <v>6957.9412054024351</v>
      </c>
      <c r="R257">
        <f t="shared" si="39"/>
        <v>0</v>
      </c>
      <c r="S257">
        <f t="shared" si="40"/>
        <v>63014.543799999999</v>
      </c>
    </row>
    <row r="258" spans="1:19" x14ac:dyDescent="0.3">
      <c r="A258" t="s">
        <v>13</v>
      </c>
      <c r="B258" t="s">
        <v>24</v>
      </c>
      <c r="C258" t="s">
        <v>15</v>
      </c>
      <c r="D258">
        <v>25</v>
      </c>
      <c r="E258">
        <v>7</v>
      </c>
      <c r="F258">
        <v>0</v>
      </c>
      <c r="G258">
        <v>20260307</v>
      </c>
      <c r="H258">
        <v>20260407</v>
      </c>
      <c r="I258">
        <v>1134241.9524000001</v>
      </c>
      <c r="J258">
        <f t="shared" si="31"/>
        <v>32</v>
      </c>
      <c r="K258">
        <f t="shared" si="32"/>
        <v>35445.061012500002</v>
      </c>
      <c r="L258">
        <f t="shared" si="33"/>
        <v>1427814.3781785923</v>
      </c>
      <c r="M258">
        <f t="shared" si="34"/>
        <v>248115.42708750002</v>
      </c>
      <c r="N258">
        <f t="shared" si="35"/>
        <v>0</v>
      </c>
      <c r="O258">
        <f t="shared" si="36"/>
        <v>1675929.8052660923</v>
      </c>
      <c r="P258">
        <f t="shared" si="37"/>
        <v>966321.4789076132</v>
      </c>
      <c r="Q258">
        <f t="shared" si="38"/>
        <v>167920.47349238684</v>
      </c>
      <c r="R258">
        <f t="shared" si="39"/>
        <v>0</v>
      </c>
      <c r="S258">
        <f t="shared" si="40"/>
        <v>1134241.9524000001</v>
      </c>
    </row>
    <row r="259" spans="1:19" x14ac:dyDescent="0.3">
      <c r="A259" t="s">
        <v>13</v>
      </c>
      <c r="B259" t="s">
        <v>33</v>
      </c>
      <c r="C259" t="s">
        <v>15</v>
      </c>
      <c r="D259">
        <v>0</v>
      </c>
      <c r="E259">
        <v>24</v>
      </c>
      <c r="F259">
        <v>8</v>
      </c>
      <c r="G259">
        <v>20260407</v>
      </c>
      <c r="H259">
        <v>20260508</v>
      </c>
      <c r="I259">
        <v>215377.33059999999</v>
      </c>
      <c r="J259">
        <f t="shared" si="31"/>
        <v>32</v>
      </c>
      <c r="K259">
        <f t="shared" si="32"/>
        <v>6730.5415812499996</v>
      </c>
      <c r="L259">
        <f t="shared" si="33"/>
        <v>0</v>
      </c>
      <c r="M259">
        <f t="shared" si="34"/>
        <v>161532.99794999999</v>
      </c>
      <c r="N259">
        <f t="shared" si="35"/>
        <v>40463.769607240814</v>
      </c>
      <c r="O259">
        <f t="shared" si="36"/>
        <v>201996.76755724079</v>
      </c>
      <c r="P259">
        <f t="shared" si="37"/>
        <v>0</v>
      </c>
      <c r="Q259">
        <f t="shared" si="38"/>
        <v>172233.18136725877</v>
      </c>
      <c r="R259">
        <f t="shared" si="39"/>
        <v>43144.14923274122</v>
      </c>
      <c r="S259">
        <f t="shared" si="40"/>
        <v>215377.33059999999</v>
      </c>
    </row>
    <row r="260" spans="1:19" x14ac:dyDescent="0.3">
      <c r="A260" t="s">
        <v>13</v>
      </c>
      <c r="B260" t="s">
        <v>33</v>
      </c>
      <c r="C260" t="s">
        <v>15</v>
      </c>
      <c r="D260">
        <v>0</v>
      </c>
      <c r="E260">
        <v>14</v>
      </c>
      <c r="F260">
        <v>15</v>
      </c>
      <c r="G260">
        <v>20260417</v>
      </c>
      <c r="H260">
        <v>20260515</v>
      </c>
      <c r="I260">
        <v>1171387.4750000001</v>
      </c>
      <c r="J260">
        <f t="shared" si="31"/>
        <v>29</v>
      </c>
      <c r="K260">
        <f t="shared" si="32"/>
        <v>40392.671551724139</v>
      </c>
      <c r="L260">
        <f t="shared" si="33"/>
        <v>0</v>
      </c>
      <c r="M260">
        <f t="shared" si="34"/>
        <v>565497.40172413795</v>
      </c>
      <c r="N260">
        <f t="shared" si="35"/>
        <v>455323.61765372788</v>
      </c>
      <c r="O260">
        <f t="shared" si="36"/>
        <v>1020821.0193778658</v>
      </c>
      <c r="P260">
        <f t="shared" si="37"/>
        <v>0</v>
      </c>
      <c r="Q260">
        <f t="shared" si="38"/>
        <v>648905.69546501408</v>
      </c>
      <c r="R260">
        <f t="shared" si="39"/>
        <v>522481.77953498601</v>
      </c>
      <c r="S260">
        <f t="shared" si="40"/>
        <v>1171387.4750000001</v>
      </c>
    </row>
    <row r="261" spans="1:19" x14ac:dyDescent="0.3">
      <c r="A261" t="s">
        <v>13</v>
      </c>
      <c r="B261" t="s">
        <v>24</v>
      </c>
      <c r="C261" t="s">
        <v>15</v>
      </c>
      <c r="D261">
        <v>15</v>
      </c>
      <c r="E261">
        <v>16</v>
      </c>
      <c r="F261">
        <v>0</v>
      </c>
      <c r="G261">
        <v>20260317</v>
      </c>
      <c r="H261">
        <v>20260416</v>
      </c>
      <c r="I261">
        <v>808922.4142</v>
      </c>
      <c r="J261">
        <f t="shared" si="31"/>
        <v>31</v>
      </c>
      <c r="K261">
        <f t="shared" si="32"/>
        <v>26094.271425806452</v>
      </c>
      <c r="L261">
        <f t="shared" si="33"/>
        <v>630684.92250678269</v>
      </c>
      <c r="M261">
        <f t="shared" si="34"/>
        <v>417508.34281290323</v>
      </c>
      <c r="N261">
        <f t="shared" si="35"/>
        <v>0</v>
      </c>
      <c r="O261">
        <f t="shared" si="36"/>
        <v>1048193.2653196859</v>
      </c>
      <c r="P261">
        <f t="shared" si="37"/>
        <v>486718.61095971602</v>
      </c>
      <c r="Q261">
        <f t="shared" si="38"/>
        <v>322203.80324028403</v>
      </c>
      <c r="R261">
        <f t="shared" si="39"/>
        <v>0</v>
      </c>
      <c r="S261">
        <f t="shared" si="40"/>
        <v>808922.4142</v>
      </c>
    </row>
    <row r="262" spans="1:19" x14ac:dyDescent="0.3">
      <c r="A262" t="s">
        <v>13</v>
      </c>
      <c r="B262" t="s">
        <v>33</v>
      </c>
      <c r="C262" t="s">
        <v>15</v>
      </c>
      <c r="D262">
        <v>30</v>
      </c>
      <c r="E262">
        <v>4</v>
      </c>
      <c r="F262">
        <v>0</v>
      </c>
      <c r="G262">
        <v>20260302</v>
      </c>
      <c r="H262">
        <v>20260404</v>
      </c>
      <c r="I262">
        <v>66210.088900000002</v>
      </c>
      <c r="J262">
        <f t="shared" si="31"/>
        <v>34</v>
      </c>
      <c r="K262">
        <f t="shared" si="32"/>
        <v>1947.355555882353</v>
      </c>
      <c r="L262">
        <f t="shared" si="33"/>
        <v>94133.135032863443</v>
      </c>
      <c r="M262">
        <f t="shared" si="34"/>
        <v>7789.4222235294119</v>
      </c>
      <c r="N262">
        <f t="shared" si="35"/>
        <v>0</v>
      </c>
      <c r="O262">
        <f t="shared" si="36"/>
        <v>101922.55725639286</v>
      </c>
      <c r="P262">
        <f t="shared" si="37"/>
        <v>61149.988841853461</v>
      </c>
      <c r="Q262">
        <f t="shared" si="38"/>
        <v>5060.1000581465441</v>
      </c>
      <c r="R262">
        <f t="shared" si="39"/>
        <v>0</v>
      </c>
      <c r="S262">
        <f t="shared" si="40"/>
        <v>66210.088900000002</v>
      </c>
    </row>
    <row r="263" spans="1:19" x14ac:dyDescent="0.3">
      <c r="A263" t="s">
        <v>13</v>
      </c>
      <c r="B263" t="s">
        <v>33</v>
      </c>
      <c r="C263" t="s">
        <v>15</v>
      </c>
      <c r="D263">
        <v>0</v>
      </c>
      <c r="E263">
        <v>14</v>
      </c>
      <c r="F263">
        <v>0</v>
      </c>
      <c r="G263">
        <v>20260403</v>
      </c>
      <c r="H263">
        <v>20260416</v>
      </c>
      <c r="I263">
        <v>926.48879999999997</v>
      </c>
      <c r="J263">
        <f t="shared" si="31"/>
        <v>14</v>
      </c>
      <c r="K263">
        <f t="shared" si="32"/>
        <v>66.177771428571432</v>
      </c>
      <c r="L263">
        <f t="shared" si="33"/>
        <v>0</v>
      </c>
      <c r="M263">
        <f t="shared" si="34"/>
        <v>926.48880000000008</v>
      </c>
      <c r="N263">
        <f t="shared" si="35"/>
        <v>0</v>
      </c>
      <c r="O263">
        <f t="shared" si="36"/>
        <v>926.48880000000008</v>
      </c>
      <c r="P263">
        <f t="shared" si="37"/>
        <v>0</v>
      </c>
      <c r="Q263">
        <f t="shared" si="38"/>
        <v>926.48879999999997</v>
      </c>
      <c r="R263">
        <f t="shared" si="39"/>
        <v>0</v>
      </c>
      <c r="S263">
        <f t="shared" si="40"/>
        <v>926.48879999999997</v>
      </c>
    </row>
    <row r="264" spans="1:19" x14ac:dyDescent="0.3">
      <c r="A264" t="s">
        <v>13</v>
      </c>
      <c r="B264" t="s">
        <v>33</v>
      </c>
      <c r="C264" t="s">
        <v>14</v>
      </c>
      <c r="D264">
        <v>0</v>
      </c>
      <c r="E264">
        <v>26</v>
      </c>
      <c r="F264">
        <v>2</v>
      </c>
      <c r="G264">
        <v>20260405</v>
      </c>
      <c r="H264">
        <v>20260502</v>
      </c>
      <c r="I264">
        <v>113686.63890000001</v>
      </c>
      <c r="J264">
        <f t="shared" si="31"/>
        <v>28</v>
      </c>
      <c r="K264">
        <f t="shared" si="32"/>
        <v>4060.2371035714286</v>
      </c>
      <c r="L264">
        <f t="shared" si="33"/>
        <v>0</v>
      </c>
      <c r="M264">
        <f t="shared" si="34"/>
        <v>105566.16469285714</v>
      </c>
      <c r="N264">
        <f t="shared" si="35"/>
        <v>6102.4992092528073</v>
      </c>
      <c r="O264">
        <f t="shared" si="36"/>
        <v>111668.66390210995</v>
      </c>
      <c r="P264">
        <f t="shared" si="37"/>
        <v>0</v>
      </c>
      <c r="Q264">
        <f t="shared" si="38"/>
        <v>107473.86084976714</v>
      </c>
      <c r="R264">
        <f t="shared" si="39"/>
        <v>6212.7780502328624</v>
      </c>
      <c r="S264">
        <f t="shared" si="40"/>
        <v>113686.63890000001</v>
      </c>
    </row>
    <row r="265" spans="1:19" x14ac:dyDescent="0.3">
      <c r="A265" t="s">
        <v>13</v>
      </c>
      <c r="B265" t="s">
        <v>33</v>
      </c>
      <c r="C265" t="s">
        <v>14</v>
      </c>
      <c r="D265">
        <v>29</v>
      </c>
      <c r="E265">
        <v>4</v>
      </c>
      <c r="F265">
        <v>0</v>
      </c>
      <c r="G265">
        <v>20260303</v>
      </c>
      <c r="H265">
        <v>20260404</v>
      </c>
      <c r="I265">
        <v>14082.2102</v>
      </c>
      <c r="J265">
        <f t="shared" si="31"/>
        <v>33</v>
      </c>
      <c r="K265">
        <f t="shared" si="32"/>
        <v>426.73364242424242</v>
      </c>
      <c r="L265">
        <f t="shared" si="33"/>
        <v>19940.263578768816</v>
      </c>
      <c r="M265">
        <f t="shared" si="34"/>
        <v>1706.9345696969697</v>
      </c>
      <c r="N265">
        <f t="shared" si="35"/>
        <v>0</v>
      </c>
      <c r="O265">
        <f t="shared" si="36"/>
        <v>21647.198148465784</v>
      </c>
      <c r="P265">
        <f t="shared" si="37"/>
        <v>12971.793450300553</v>
      </c>
      <c r="Q265">
        <f t="shared" si="38"/>
        <v>1110.4167496994476</v>
      </c>
      <c r="R265">
        <f t="shared" si="39"/>
        <v>0</v>
      </c>
      <c r="S265">
        <f t="shared" si="40"/>
        <v>14082.2102</v>
      </c>
    </row>
    <row r="266" spans="1:19" x14ac:dyDescent="0.3">
      <c r="A266" t="s">
        <v>13</v>
      </c>
      <c r="B266" t="s">
        <v>33</v>
      </c>
      <c r="C266" t="s">
        <v>14</v>
      </c>
      <c r="D266">
        <v>26</v>
      </c>
      <c r="E266">
        <v>8</v>
      </c>
      <c r="F266">
        <v>0</v>
      </c>
      <c r="G266">
        <v>20260306</v>
      </c>
      <c r="H266">
        <v>20260408</v>
      </c>
      <c r="I266">
        <v>7625.3636999999999</v>
      </c>
      <c r="J266">
        <f t="shared" si="31"/>
        <v>34</v>
      </c>
      <c r="K266">
        <f t="shared" si="32"/>
        <v>224.27540294117648</v>
      </c>
      <c r="L266">
        <f t="shared" si="33"/>
        <v>9395.7403733459705</v>
      </c>
      <c r="M266">
        <f t="shared" si="34"/>
        <v>1794.2032235294118</v>
      </c>
      <c r="N266">
        <f t="shared" si="35"/>
        <v>0</v>
      </c>
      <c r="O266">
        <f t="shared" si="36"/>
        <v>11189.943596875382</v>
      </c>
      <c r="P266">
        <f t="shared" si="37"/>
        <v>6402.7076595401986</v>
      </c>
      <c r="Q266">
        <f t="shared" si="38"/>
        <v>1222.6560404598015</v>
      </c>
      <c r="R266">
        <f t="shared" si="39"/>
        <v>0</v>
      </c>
      <c r="S266">
        <f t="shared" si="40"/>
        <v>7625.3636999999999</v>
      </c>
    </row>
    <row r="267" spans="1:19" x14ac:dyDescent="0.3">
      <c r="A267" t="s">
        <v>13</v>
      </c>
      <c r="B267" t="s">
        <v>24</v>
      </c>
      <c r="C267" t="s">
        <v>14</v>
      </c>
      <c r="D267">
        <v>26</v>
      </c>
      <c r="E267">
        <v>8</v>
      </c>
      <c r="F267">
        <v>0</v>
      </c>
      <c r="G267">
        <v>20260306</v>
      </c>
      <c r="H267">
        <v>20260408</v>
      </c>
      <c r="I267">
        <v>24782.432000000001</v>
      </c>
      <c r="J267">
        <f t="shared" ref="J267:J330" si="41">IF(D267&lt;0,0,D267)+E267+F267</f>
        <v>34</v>
      </c>
      <c r="K267">
        <f t="shared" ref="K267:K330" si="42">I267/J267</f>
        <v>728.89505882352944</v>
      </c>
      <c r="L267">
        <f t="shared" ref="L267:L330" si="43">IF(D267&lt;0,0,D267)*$K267*$B$6</f>
        <v>30536.156182570168</v>
      </c>
      <c r="M267">
        <f t="shared" ref="M267:M330" si="44">IF(E267&lt;0,0,E267)*$K267*$C$6</f>
        <v>5831.1604705882355</v>
      </c>
      <c r="N267">
        <f t="shared" ref="N267:N330" si="45">IF(F267&lt;0,0,F267)*$K267*$D$6</f>
        <v>0</v>
      </c>
      <c r="O267">
        <f t="shared" ref="O267:O330" si="46">L267+M267+N267</f>
        <v>36367.316653158407</v>
      </c>
      <c r="P267">
        <f t="shared" ref="P267:P330" si="47">L267/$O267*$I267</f>
        <v>20808.799872514162</v>
      </c>
      <c r="Q267">
        <f t="shared" ref="Q267:Q330" si="48">M267/$O267*$I267</f>
        <v>3973.6321274858369</v>
      </c>
      <c r="R267">
        <f t="shared" ref="R267:R330" si="49">N267/$O267*$I267</f>
        <v>0</v>
      </c>
      <c r="S267">
        <f t="shared" ref="S267:S330" si="50">P267+Q267+R267</f>
        <v>24782.432000000001</v>
      </c>
    </row>
    <row r="268" spans="1:19" x14ac:dyDescent="0.3">
      <c r="A268" t="s">
        <v>13</v>
      </c>
      <c r="B268" t="s">
        <v>24</v>
      </c>
      <c r="C268" t="s">
        <v>14</v>
      </c>
      <c r="D268">
        <v>26</v>
      </c>
      <c r="E268">
        <v>6</v>
      </c>
      <c r="F268">
        <v>0</v>
      </c>
      <c r="G268">
        <v>20260306</v>
      </c>
      <c r="H268">
        <v>20260406</v>
      </c>
      <c r="I268">
        <v>343824.08020000003</v>
      </c>
      <c r="J268">
        <f t="shared" si="41"/>
        <v>32</v>
      </c>
      <c r="K268">
        <f t="shared" si="42"/>
        <v>10744.502506250001</v>
      </c>
      <c r="L268">
        <f t="shared" si="43"/>
        <v>450127.63176694943</v>
      </c>
      <c r="M268">
        <f t="shared" si="44"/>
        <v>64467.015037500008</v>
      </c>
      <c r="N268">
        <f t="shared" si="45"/>
        <v>0</v>
      </c>
      <c r="O268">
        <f t="shared" si="46"/>
        <v>514594.64680444944</v>
      </c>
      <c r="P268">
        <f t="shared" si="47"/>
        <v>300750.73638239317</v>
      </c>
      <c r="Q268">
        <f t="shared" si="48"/>
        <v>43073.343817606845</v>
      </c>
      <c r="R268">
        <f t="shared" si="49"/>
        <v>0</v>
      </c>
      <c r="S268">
        <f t="shared" si="50"/>
        <v>343824.08020000003</v>
      </c>
    </row>
    <row r="269" spans="1:19" x14ac:dyDescent="0.3">
      <c r="A269" t="s">
        <v>13</v>
      </c>
      <c r="B269" t="s">
        <v>24</v>
      </c>
      <c r="C269" t="s">
        <v>15</v>
      </c>
      <c r="D269">
        <v>24</v>
      </c>
      <c r="E269">
        <v>7</v>
      </c>
      <c r="F269">
        <v>0</v>
      </c>
      <c r="G269">
        <v>20260308</v>
      </c>
      <c r="H269">
        <v>20260407</v>
      </c>
      <c r="I269">
        <v>212470.72880000001</v>
      </c>
      <c r="J269">
        <f t="shared" si="41"/>
        <v>31</v>
      </c>
      <c r="K269">
        <f t="shared" si="42"/>
        <v>6853.8944774193551</v>
      </c>
      <c r="L269">
        <f t="shared" si="43"/>
        <v>265048.08426793152</v>
      </c>
      <c r="M269">
        <f t="shared" si="44"/>
        <v>47977.261341935489</v>
      </c>
      <c r="N269">
        <f t="shared" si="45"/>
        <v>0</v>
      </c>
      <c r="O269">
        <f t="shared" si="46"/>
        <v>313025.34560986701</v>
      </c>
      <c r="P269">
        <f t="shared" si="47"/>
        <v>179905.43073032261</v>
      </c>
      <c r="Q269">
        <f t="shared" si="48"/>
        <v>32565.298069677392</v>
      </c>
      <c r="R269">
        <f t="shared" si="49"/>
        <v>0</v>
      </c>
      <c r="S269">
        <f t="shared" si="50"/>
        <v>212470.72880000001</v>
      </c>
    </row>
    <row r="270" spans="1:19" x14ac:dyDescent="0.3">
      <c r="A270" t="s">
        <v>13</v>
      </c>
      <c r="B270" t="s">
        <v>24</v>
      </c>
      <c r="C270" t="s">
        <v>14</v>
      </c>
      <c r="D270">
        <v>27</v>
      </c>
      <c r="E270">
        <v>6</v>
      </c>
      <c r="F270">
        <v>0</v>
      </c>
      <c r="G270">
        <v>20260305</v>
      </c>
      <c r="H270">
        <v>20260406</v>
      </c>
      <c r="I270">
        <v>488749.40059999999</v>
      </c>
      <c r="J270">
        <f t="shared" si="41"/>
        <v>33</v>
      </c>
      <c r="K270">
        <f t="shared" si="42"/>
        <v>14810.587896969697</v>
      </c>
      <c r="L270">
        <f t="shared" si="43"/>
        <v>644335.52444451069</v>
      </c>
      <c r="M270">
        <f t="shared" si="44"/>
        <v>88863.527381818189</v>
      </c>
      <c r="N270">
        <f t="shared" si="45"/>
        <v>0</v>
      </c>
      <c r="O270">
        <f t="shared" si="46"/>
        <v>733199.05182632885</v>
      </c>
      <c r="P270">
        <f t="shared" si="47"/>
        <v>429513.10503349546</v>
      </c>
      <c r="Q270">
        <f t="shared" si="48"/>
        <v>59236.295566504581</v>
      </c>
      <c r="R270">
        <f t="shared" si="49"/>
        <v>0</v>
      </c>
      <c r="S270">
        <f t="shared" si="50"/>
        <v>488749.40060000005</v>
      </c>
    </row>
    <row r="271" spans="1:19" x14ac:dyDescent="0.3">
      <c r="A271" t="s">
        <v>13</v>
      </c>
      <c r="B271" t="s">
        <v>33</v>
      </c>
      <c r="C271" t="s">
        <v>15</v>
      </c>
      <c r="D271">
        <v>14</v>
      </c>
      <c r="E271">
        <v>15</v>
      </c>
      <c r="F271">
        <v>0</v>
      </c>
      <c r="G271">
        <v>20260318</v>
      </c>
      <c r="H271">
        <v>20260415</v>
      </c>
      <c r="I271">
        <v>240728.89259999999</v>
      </c>
      <c r="J271">
        <f t="shared" si="41"/>
        <v>29</v>
      </c>
      <c r="K271">
        <f t="shared" si="42"/>
        <v>8300.9962965517243</v>
      </c>
      <c r="L271">
        <f t="shared" si="43"/>
        <v>187255.36520579364</v>
      </c>
      <c r="M271">
        <f t="shared" si="44"/>
        <v>124514.94444827587</v>
      </c>
      <c r="N271">
        <f t="shared" si="45"/>
        <v>0</v>
      </c>
      <c r="O271">
        <f t="shared" si="46"/>
        <v>311770.30965406948</v>
      </c>
      <c r="P271">
        <f t="shared" si="47"/>
        <v>144586.49622350556</v>
      </c>
      <c r="Q271">
        <f t="shared" si="48"/>
        <v>96142.396376494464</v>
      </c>
      <c r="R271">
        <f t="shared" si="49"/>
        <v>0</v>
      </c>
      <c r="S271">
        <f t="shared" si="50"/>
        <v>240728.89260000002</v>
      </c>
    </row>
    <row r="272" spans="1:19" x14ac:dyDescent="0.3">
      <c r="A272" t="s">
        <v>13</v>
      </c>
      <c r="B272" t="s">
        <v>33</v>
      </c>
      <c r="C272" t="s">
        <v>14</v>
      </c>
      <c r="D272">
        <v>0</v>
      </c>
      <c r="E272">
        <v>13</v>
      </c>
      <c r="F272">
        <v>19</v>
      </c>
      <c r="G272">
        <v>20260418</v>
      </c>
      <c r="H272">
        <v>20260519</v>
      </c>
      <c r="I272">
        <v>303372.4975</v>
      </c>
      <c r="J272">
        <f t="shared" si="41"/>
        <v>32</v>
      </c>
      <c r="K272">
        <f t="shared" si="42"/>
        <v>9480.3905468749999</v>
      </c>
      <c r="L272">
        <f t="shared" si="43"/>
        <v>0</v>
      </c>
      <c r="M272">
        <f t="shared" si="44"/>
        <v>123245.07710937499</v>
      </c>
      <c r="N272">
        <f t="shared" si="45"/>
        <v>135364.93220206827</v>
      </c>
      <c r="O272">
        <f t="shared" si="46"/>
        <v>258610.00931144325</v>
      </c>
      <c r="P272">
        <f t="shared" si="47"/>
        <v>0</v>
      </c>
      <c r="Q272">
        <f t="shared" si="48"/>
        <v>144577.41580382339</v>
      </c>
      <c r="R272">
        <f t="shared" si="49"/>
        <v>158795.08169617661</v>
      </c>
      <c r="S272">
        <f t="shared" si="50"/>
        <v>303372.4975</v>
      </c>
    </row>
    <row r="273" spans="1:19" x14ac:dyDescent="0.3">
      <c r="A273" t="s">
        <v>13</v>
      </c>
      <c r="B273" t="s">
        <v>33</v>
      </c>
      <c r="C273" t="s">
        <v>14</v>
      </c>
      <c r="D273">
        <v>29</v>
      </c>
      <c r="E273">
        <v>3</v>
      </c>
      <c r="F273">
        <v>0</v>
      </c>
      <c r="G273">
        <v>20260303</v>
      </c>
      <c r="H273">
        <v>20260403</v>
      </c>
      <c r="I273">
        <v>34102.076000000001</v>
      </c>
      <c r="J273">
        <f t="shared" si="41"/>
        <v>32</v>
      </c>
      <c r="K273">
        <f t="shared" si="42"/>
        <v>1065.689875</v>
      </c>
      <c r="L273">
        <f t="shared" si="43"/>
        <v>49797.191709574916</v>
      </c>
      <c r="M273">
        <f t="shared" si="44"/>
        <v>3197.0696250000001</v>
      </c>
      <c r="N273">
        <f t="shared" si="45"/>
        <v>0</v>
      </c>
      <c r="O273">
        <f t="shared" si="46"/>
        <v>52994.261334574912</v>
      </c>
      <c r="P273">
        <f t="shared" si="47"/>
        <v>32044.745478102352</v>
      </c>
      <c r="Q273">
        <f t="shared" si="48"/>
        <v>2057.3305218976507</v>
      </c>
      <c r="R273">
        <f t="shared" si="49"/>
        <v>0</v>
      </c>
      <c r="S273">
        <f t="shared" si="50"/>
        <v>34102.076000000001</v>
      </c>
    </row>
    <row r="274" spans="1:19" x14ac:dyDescent="0.3">
      <c r="A274" t="s">
        <v>13</v>
      </c>
      <c r="B274" t="s">
        <v>24</v>
      </c>
      <c r="C274" t="s">
        <v>14</v>
      </c>
      <c r="D274">
        <v>29</v>
      </c>
      <c r="E274">
        <v>3</v>
      </c>
      <c r="F274">
        <v>0</v>
      </c>
      <c r="G274">
        <v>20260303</v>
      </c>
      <c r="H274">
        <v>20260403</v>
      </c>
      <c r="I274">
        <v>329653.40110000002</v>
      </c>
      <c r="J274">
        <f t="shared" si="41"/>
        <v>32</v>
      </c>
      <c r="K274">
        <f t="shared" si="42"/>
        <v>10301.668784375001</v>
      </c>
      <c r="L274">
        <f t="shared" si="43"/>
        <v>481372.85285183508</v>
      </c>
      <c r="M274">
        <f t="shared" si="44"/>
        <v>30905.006353125002</v>
      </c>
      <c r="N274">
        <f t="shared" si="45"/>
        <v>0</v>
      </c>
      <c r="O274">
        <f t="shared" si="46"/>
        <v>512277.85920496006</v>
      </c>
      <c r="P274">
        <f t="shared" si="47"/>
        <v>309765.87273573276</v>
      </c>
      <c r="Q274">
        <f t="shared" si="48"/>
        <v>19887.528364267284</v>
      </c>
      <c r="R274">
        <f t="shared" si="49"/>
        <v>0</v>
      </c>
      <c r="S274">
        <f t="shared" si="50"/>
        <v>329653.40110000002</v>
      </c>
    </row>
    <row r="275" spans="1:19" x14ac:dyDescent="0.3">
      <c r="A275" t="s">
        <v>13</v>
      </c>
      <c r="B275" t="s">
        <v>24</v>
      </c>
      <c r="C275" t="s">
        <v>14</v>
      </c>
      <c r="D275">
        <v>27</v>
      </c>
      <c r="E275">
        <v>7</v>
      </c>
      <c r="F275">
        <v>0</v>
      </c>
      <c r="G275">
        <v>20260305</v>
      </c>
      <c r="H275">
        <v>20260407</v>
      </c>
      <c r="I275">
        <v>516874.098</v>
      </c>
      <c r="J275">
        <f t="shared" si="41"/>
        <v>34</v>
      </c>
      <c r="K275">
        <f t="shared" si="42"/>
        <v>15202.179352941177</v>
      </c>
      <c r="L275">
        <f t="shared" si="43"/>
        <v>661371.73447929241</v>
      </c>
      <c r="M275">
        <f t="shared" si="44"/>
        <v>106415.25547058824</v>
      </c>
      <c r="N275">
        <f t="shared" si="45"/>
        <v>0</v>
      </c>
      <c r="O275">
        <f t="shared" si="46"/>
        <v>767786.98994988063</v>
      </c>
      <c r="P275">
        <f t="shared" si="47"/>
        <v>445235.36238090548</v>
      </c>
      <c r="Q275">
        <f t="shared" si="48"/>
        <v>71638.735619094499</v>
      </c>
      <c r="R275">
        <f t="shared" si="49"/>
        <v>0</v>
      </c>
      <c r="S275">
        <f t="shared" si="50"/>
        <v>516874.098</v>
      </c>
    </row>
    <row r="276" spans="1:19" x14ac:dyDescent="0.3">
      <c r="A276" t="s">
        <v>13</v>
      </c>
      <c r="B276" t="s">
        <v>33</v>
      </c>
      <c r="C276" t="s">
        <v>15</v>
      </c>
      <c r="D276">
        <v>28</v>
      </c>
      <c r="E276">
        <v>7</v>
      </c>
      <c r="F276">
        <v>0</v>
      </c>
      <c r="G276">
        <v>20260304</v>
      </c>
      <c r="H276">
        <v>20260407</v>
      </c>
      <c r="I276">
        <v>110715.5901</v>
      </c>
      <c r="J276">
        <f t="shared" si="41"/>
        <v>35</v>
      </c>
      <c r="K276">
        <f t="shared" si="42"/>
        <v>3163.3025742857144</v>
      </c>
      <c r="L276">
        <f t="shared" si="43"/>
        <v>142716.69511534704</v>
      </c>
      <c r="M276">
        <f t="shared" si="44"/>
        <v>22143.118020000002</v>
      </c>
      <c r="N276">
        <f t="shared" si="45"/>
        <v>0</v>
      </c>
      <c r="O276">
        <f t="shared" si="46"/>
        <v>164859.81313534704</v>
      </c>
      <c r="P276">
        <f t="shared" si="47"/>
        <v>95844.844272904287</v>
      </c>
      <c r="Q276">
        <f t="shared" si="48"/>
        <v>14870.745827095732</v>
      </c>
      <c r="R276">
        <f t="shared" si="49"/>
        <v>0</v>
      </c>
      <c r="S276">
        <f t="shared" si="50"/>
        <v>110715.59010000002</v>
      </c>
    </row>
    <row r="277" spans="1:19" x14ac:dyDescent="0.3">
      <c r="A277" t="s">
        <v>13</v>
      </c>
      <c r="B277" t="s">
        <v>33</v>
      </c>
      <c r="C277" t="s">
        <v>14</v>
      </c>
      <c r="D277">
        <v>28</v>
      </c>
      <c r="E277">
        <v>7</v>
      </c>
      <c r="F277">
        <v>0</v>
      </c>
      <c r="G277">
        <v>20260304</v>
      </c>
      <c r="H277">
        <v>20260407</v>
      </c>
      <c r="I277">
        <v>33082.391499999998</v>
      </c>
      <c r="J277">
        <f t="shared" si="41"/>
        <v>35</v>
      </c>
      <c r="K277">
        <f t="shared" si="42"/>
        <v>945.21118571428565</v>
      </c>
      <c r="L277">
        <f t="shared" si="43"/>
        <v>42644.487349320902</v>
      </c>
      <c r="M277">
        <f t="shared" si="44"/>
        <v>6616.4782999999998</v>
      </c>
      <c r="N277">
        <f t="shared" si="45"/>
        <v>0</v>
      </c>
      <c r="O277">
        <f t="shared" si="46"/>
        <v>49260.965649320904</v>
      </c>
      <c r="P277">
        <f t="shared" si="47"/>
        <v>28638.935660541196</v>
      </c>
      <c r="Q277">
        <f t="shared" si="48"/>
        <v>4443.4558394588021</v>
      </c>
      <c r="R277">
        <f t="shared" si="49"/>
        <v>0</v>
      </c>
      <c r="S277">
        <f t="shared" si="50"/>
        <v>33082.391499999998</v>
      </c>
    </row>
    <row r="278" spans="1:19" x14ac:dyDescent="0.3">
      <c r="A278" t="s">
        <v>13</v>
      </c>
      <c r="B278" t="s">
        <v>24</v>
      </c>
      <c r="C278" t="s">
        <v>15</v>
      </c>
      <c r="D278">
        <v>25</v>
      </c>
      <c r="E278">
        <v>5</v>
      </c>
      <c r="F278">
        <v>0</v>
      </c>
      <c r="G278">
        <v>20260307</v>
      </c>
      <c r="H278">
        <v>20260405</v>
      </c>
      <c r="I278">
        <v>165652.5001</v>
      </c>
      <c r="J278">
        <f t="shared" si="41"/>
        <v>30</v>
      </c>
      <c r="K278">
        <f t="shared" si="42"/>
        <v>5521.7500033333336</v>
      </c>
      <c r="L278">
        <f t="shared" si="43"/>
        <v>222429.69322825124</v>
      </c>
      <c r="M278">
        <f t="shared" si="44"/>
        <v>27608.750016666669</v>
      </c>
      <c r="N278">
        <f t="shared" si="45"/>
        <v>0</v>
      </c>
      <c r="O278">
        <f t="shared" si="46"/>
        <v>250038.4432449179</v>
      </c>
      <c r="P278">
        <f t="shared" si="47"/>
        <v>147361.47890524336</v>
      </c>
      <c r="Q278">
        <f t="shared" si="48"/>
        <v>18291.021194756649</v>
      </c>
      <c r="R278">
        <f t="shared" si="49"/>
        <v>0</v>
      </c>
      <c r="S278">
        <f t="shared" si="50"/>
        <v>165652.5001</v>
      </c>
    </row>
    <row r="279" spans="1:19" x14ac:dyDescent="0.3">
      <c r="A279" t="s">
        <v>13</v>
      </c>
      <c r="B279" t="s">
        <v>33</v>
      </c>
      <c r="C279" t="s">
        <v>15</v>
      </c>
      <c r="D279">
        <v>30</v>
      </c>
      <c r="E279">
        <v>6</v>
      </c>
      <c r="F279">
        <v>0</v>
      </c>
      <c r="G279">
        <v>20260302</v>
      </c>
      <c r="H279">
        <v>20260406</v>
      </c>
      <c r="I279">
        <v>105739.8548</v>
      </c>
      <c r="J279">
        <f t="shared" si="41"/>
        <v>36</v>
      </c>
      <c r="K279">
        <f t="shared" si="42"/>
        <v>2937.218188888889</v>
      </c>
      <c r="L279">
        <f t="shared" si="43"/>
        <v>141982.06155032746</v>
      </c>
      <c r="M279">
        <f t="shared" si="44"/>
        <v>17623.309133333336</v>
      </c>
      <c r="N279">
        <f t="shared" si="45"/>
        <v>0</v>
      </c>
      <c r="O279">
        <f t="shared" si="46"/>
        <v>159605.37068366079</v>
      </c>
      <c r="P279">
        <f t="shared" si="47"/>
        <v>94064.269317681697</v>
      </c>
      <c r="Q279">
        <f t="shared" si="48"/>
        <v>11675.585482318302</v>
      </c>
      <c r="R279">
        <f t="shared" si="49"/>
        <v>0</v>
      </c>
      <c r="S279">
        <f t="shared" si="50"/>
        <v>105739.8548</v>
      </c>
    </row>
    <row r="280" spans="1:19" x14ac:dyDescent="0.3">
      <c r="A280" t="s">
        <v>13</v>
      </c>
      <c r="B280" t="s">
        <v>33</v>
      </c>
      <c r="C280" t="s">
        <v>15</v>
      </c>
      <c r="D280">
        <v>30</v>
      </c>
      <c r="E280">
        <v>8</v>
      </c>
      <c r="F280">
        <v>0</v>
      </c>
      <c r="G280">
        <v>20260302</v>
      </c>
      <c r="H280">
        <v>20260408</v>
      </c>
      <c r="I280">
        <v>6598.3553000000002</v>
      </c>
      <c r="J280">
        <f t="shared" si="41"/>
        <v>38</v>
      </c>
      <c r="K280">
        <f t="shared" si="42"/>
        <v>173.64092894736842</v>
      </c>
      <c r="L280">
        <f t="shared" si="43"/>
        <v>8393.6212688331289</v>
      </c>
      <c r="M280">
        <f t="shared" si="44"/>
        <v>1389.1274315789474</v>
      </c>
      <c r="N280">
        <f t="shared" si="45"/>
        <v>0</v>
      </c>
      <c r="O280">
        <f t="shared" si="46"/>
        <v>9782.7487004120758</v>
      </c>
      <c r="P280">
        <f t="shared" si="47"/>
        <v>5661.4042823225</v>
      </c>
      <c r="Q280">
        <f t="shared" si="48"/>
        <v>936.95101767749998</v>
      </c>
      <c r="R280">
        <f t="shared" si="49"/>
        <v>0</v>
      </c>
      <c r="S280">
        <f t="shared" si="50"/>
        <v>6598.3553000000002</v>
      </c>
    </row>
    <row r="281" spans="1:19" x14ac:dyDescent="0.3">
      <c r="A281" t="s">
        <v>13</v>
      </c>
      <c r="B281" t="s">
        <v>24</v>
      </c>
      <c r="C281" t="s">
        <v>14</v>
      </c>
      <c r="D281">
        <v>25</v>
      </c>
      <c r="E281">
        <v>4</v>
      </c>
      <c r="F281">
        <v>0</v>
      </c>
      <c r="G281">
        <v>20260307</v>
      </c>
      <c r="H281">
        <v>20260404</v>
      </c>
      <c r="I281">
        <v>3559.7539000000002</v>
      </c>
      <c r="J281">
        <f t="shared" si="41"/>
        <v>29</v>
      </c>
      <c r="K281">
        <f t="shared" si="42"/>
        <v>122.75013448275863</v>
      </c>
      <c r="L281">
        <f t="shared" si="43"/>
        <v>4944.6778177650785</v>
      </c>
      <c r="M281">
        <f t="shared" si="44"/>
        <v>491.0005379310345</v>
      </c>
      <c r="N281">
        <f t="shared" si="45"/>
        <v>0</v>
      </c>
      <c r="O281">
        <f t="shared" si="46"/>
        <v>5435.6783556961127</v>
      </c>
      <c r="P281">
        <f t="shared" si="47"/>
        <v>3238.2041383275655</v>
      </c>
      <c r="Q281">
        <f t="shared" si="48"/>
        <v>321.54976167243495</v>
      </c>
      <c r="R281">
        <f t="shared" si="49"/>
        <v>0</v>
      </c>
      <c r="S281">
        <f t="shared" si="50"/>
        <v>3559.7539000000006</v>
      </c>
    </row>
    <row r="282" spans="1:19" x14ac:dyDescent="0.3">
      <c r="A282" t="s">
        <v>13</v>
      </c>
      <c r="B282" t="s">
        <v>33</v>
      </c>
      <c r="C282" t="s">
        <v>15</v>
      </c>
      <c r="D282">
        <v>13</v>
      </c>
      <c r="E282">
        <v>2</v>
      </c>
      <c r="F282">
        <v>0</v>
      </c>
      <c r="G282">
        <v>20260319</v>
      </c>
      <c r="H282">
        <v>20260402</v>
      </c>
      <c r="I282">
        <v>151.83850000000001</v>
      </c>
      <c r="J282">
        <f t="shared" si="41"/>
        <v>15</v>
      </c>
      <c r="K282">
        <f t="shared" si="42"/>
        <v>10.122566666666668</v>
      </c>
      <c r="L282">
        <f t="shared" si="43"/>
        <v>212.03619983425372</v>
      </c>
      <c r="M282">
        <f t="shared" si="44"/>
        <v>20.245133333333335</v>
      </c>
      <c r="N282">
        <f t="shared" si="45"/>
        <v>0</v>
      </c>
      <c r="O282">
        <f t="shared" si="46"/>
        <v>232.28133316758706</v>
      </c>
      <c r="P282">
        <f t="shared" si="47"/>
        <v>138.60458819265085</v>
      </c>
      <c r="Q282">
        <f t="shared" si="48"/>
        <v>13.233911807349157</v>
      </c>
      <c r="R282">
        <f t="shared" si="49"/>
        <v>0</v>
      </c>
      <c r="S282">
        <f t="shared" si="50"/>
        <v>151.83850000000001</v>
      </c>
    </row>
    <row r="283" spans="1:19" x14ac:dyDescent="0.3">
      <c r="A283" t="s">
        <v>13</v>
      </c>
      <c r="B283" t="s">
        <v>24</v>
      </c>
      <c r="C283" t="s">
        <v>14</v>
      </c>
      <c r="D283">
        <v>22</v>
      </c>
      <c r="E283">
        <v>3</v>
      </c>
      <c r="F283">
        <v>0</v>
      </c>
      <c r="G283">
        <v>20260310</v>
      </c>
      <c r="H283">
        <v>20260403</v>
      </c>
      <c r="I283">
        <v>34683.674099999997</v>
      </c>
      <c r="J283">
        <f t="shared" si="41"/>
        <v>25</v>
      </c>
      <c r="K283">
        <f t="shared" si="42"/>
        <v>1387.3469639999998</v>
      </c>
      <c r="L283">
        <f t="shared" si="43"/>
        <v>49179.463084582647</v>
      </c>
      <c r="M283">
        <f t="shared" si="44"/>
        <v>4162.0408919999991</v>
      </c>
      <c r="N283">
        <f t="shared" si="45"/>
        <v>0</v>
      </c>
      <c r="O283">
        <f t="shared" si="46"/>
        <v>53341.503976582644</v>
      </c>
      <c r="P283">
        <f t="shared" si="47"/>
        <v>31977.434884240836</v>
      </c>
      <c r="Q283">
        <f t="shared" si="48"/>
        <v>2706.2392157591621</v>
      </c>
      <c r="R283">
        <f t="shared" si="49"/>
        <v>0</v>
      </c>
      <c r="S283">
        <f t="shared" si="50"/>
        <v>34683.674099999997</v>
      </c>
    </row>
    <row r="284" spans="1:19" x14ac:dyDescent="0.3">
      <c r="A284" t="s">
        <v>13</v>
      </c>
      <c r="B284" t="s">
        <v>33</v>
      </c>
      <c r="C284" t="s">
        <v>14</v>
      </c>
      <c r="D284">
        <v>0</v>
      </c>
      <c r="E284">
        <v>15</v>
      </c>
      <c r="F284">
        <v>19</v>
      </c>
      <c r="G284">
        <v>20260416</v>
      </c>
      <c r="H284">
        <v>20260519</v>
      </c>
      <c r="I284">
        <v>675.21730000000002</v>
      </c>
      <c r="J284">
        <f t="shared" si="41"/>
        <v>34</v>
      </c>
      <c r="K284">
        <f t="shared" si="42"/>
        <v>19.859332352941177</v>
      </c>
      <c r="L284">
        <f t="shared" si="43"/>
        <v>0</v>
      </c>
      <c r="M284">
        <f t="shared" si="44"/>
        <v>297.88998529411765</v>
      </c>
      <c r="N284">
        <f t="shared" si="45"/>
        <v>283.55975043879891</v>
      </c>
      <c r="O284">
        <f t="shared" si="46"/>
        <v>581.44973573291657</v>
      </c>
      <c r="P284">
        <f t="shared" si="47"/>
        <v>0</v>
      </c>
      <c r="Q284">
        <f t="shared" si="48"/>
        <v>345.9292509846901</v>
      </c>
      <c r="R284">
        <f t="shared" si="49"/>
        <v>329.28804901530992</v>
      </c>
      <c r="S284">
        <f t="shared" si="50"/>
        <v>675.21730000000002</v>
      </c>
    </row>
    <row r="285" spans="1:19" x14ac:dyDescent="0.3">
      <c r="A285" t="s">
        <v>13</v>
      </c>
      <c r="B285" t="s">
        <v>33</v>
      </c>
      <c r="C285" t="s">
        <v>14</v>
      </c>
      <c r="D285">
        <v>0</v>
      </c>
      <c r="E285">
        <v>23</v>
      </c>
      <c r="F285">
        <v>9</v>
      </c>
      <c r="G285">
        <v>20260408</v>
      </c>
      <c r="H285">
        <v>20260509</v>
      </c>
      <c r="I285">
        <v>36008.480300000003</v>
      </c>
      <c r="J285">
        <f t="shared" si="41"/>
        <v>32</v>
      </c>
      <c r="K285">
        <f t="shared" si="42"/>
        <v>1125.2650093750001</v>
      </c>
      <c r="L285">
        <f t="shared" si="43"/>
        <v>0</v>
      </c>
      <c r="M285">
        <f t="shared" si="44"/>
        <v>25881.095215625002</v>
      </c>
      <c r="N285">
        <f t="shared" si="45"/>
        <v>7610.6835503319608</v>
      </c>
      <c r="O285">
        <f t="shared" si="46"/>
        <v>33491.778765956966</v>
      </c>
      <c r="P285">
        <f t="shared" si="47"/>
        <v>0</v>
      </c>
      <c r="Q285">
        <f t="shared" si="48"/>
        <v>27825.90061061598</v>
      </c>
      <c r="R285">
        <f t="shared" si="49"/>
        <v>8182.5796893840206</v>
      </c>
      <c r="S285">
        <f t="shared" si="50"/>
        <v>36008.480300000003</v>
      </c>
    </row>
    <row r="286" spans="1:19" x14ac:dyDescent="0.3">
      <c r="A286" t="s">
        <v>13</v>
      </c>
      <c r="B286" t="s">
        <v>33</v>
      </c>
      <c r="C286" t="s">
        <v>14</v>
      </c>
      <c r="D286">
        <v>23</v>
      </c>
      <c r="E286">
        <v>8</v>
      </c>
      <c r="F286">
        <v>0</v>
      </c>
      <c r="G286">
        <v>20260309</v>
      </c>
      <c r="H286">
        <v>20260408</v>
      </c>
      <c r="I286">
        <v>36109.8105</v>
      </c>
      <c r="J286">
        <f t="shared" si="41"/>
        <v>31</v>
      </c>
      <c r="K286">
        <f t="shared" si="42"/>
        <v>1164.8325967741935</v>
      </c>
      <c r="L286">
        <f t="shared" si="43"/>
        <v>43168.54048912679</v>
      </c>
      <c r="M286">
        <f t="shared" si="44"/>
        <v>9318.6607741935477</v>
      </c>
      <c r="N286">
        <f t="shared" si="45"/>
        <v>0</v>
      </c>
      <c r="O286">
        <f t="shared" si="46"/>
        <v>52487.201263320341</v>
      </c>
      <c r="P286">
        <f t="shared" si="47"/>
        <v>29698.81759943044</v>
      </c>
      <c r="Q286">
        <f t="shared" si="48"/>
        <v>6410.9929005695585</v>
      </c>
      <c r="R286">
        <f t="shared" si="49"/>
        <v>0</v>
      </c>
      <c r="S286">
        <f t="shared" si="50"/>
        <v>36109.8105</v>
      </c>
    </row>
    <row r="287" spans="1:19" x14ac:dyDescent="0.3">
      <c r="A287" t="s">
        <v>13</v>
      </c>
      <c r="B287" t="s">
        <v>33</v>
      </c>
      <c r="C287" t="s">
        <v>14</v>
      </c>
      <c r="D287">
        <v>0</v>
      </c>
      <c r="E287">
        <v>25</v>
      </c>
      <c r="F287">
        <v>3</v>
      </c>
      <c r="G287">
        <v>20260406</v>
      </c>
      <c r="H287">
        <v>20260503</v>
      </c>
      <c r="I287">
        <v>5400.5999000000002</v>
      </c>
      <c r="J287">
        <f t="shared" si="41"/>
        <v>28</v>
      </c>
      <c r="K287">
        <f t="shared" si="42"/>
        <v>192.87856785714285</v>
      </c>
      <c r="L287">
        <f t="shared" si="43"/>
        <v>0</v>
      </c>
      <c r="M287">
        <f t="shared" si="44"/>
        <v>4821.9641964285711</v>
      </c>
      <c r="N287">
        <f t="shared" si="45"/>
        <v>434.84208353054925</v>
      </c>
      <c r="O287">
        <f t="shared" si="46"/>
        <v>5256.8062799591207</v>
      </c>
      <c r="P287">
        <f t="shared" si="47"/>
        <v>0</v>
      </c>
      <c r="Q287">
        <f t="shared" si="48"/>
        <v>4953.863233711978</v>
      </c>
      <c r="R287">
        <f t="shared" si="49"/>
        <v>446.73666628802198</v>
      </c>
      <c r="S287">
        <f t="shared" si="50"/>
        <v>5400.5999000000002</v>
      </c>
    </row>
    <row r="288" spans="1:19" x14ac:dyDescent="0.3">
      <c r="A288" t="s">
        <v>13</v>
      </c>
      <c r="B288" t="s">
        <v>24</v>
      </c>
      <c r="C288" t="s">
        <v>14</v>
      </c>
      <c r="D288">
        <v>24</v>
      </c>
      <c r="E288">
        <v>4</v>
      </c>
      <c r="F288">
        <v>0</v>
      </c>
      <c r="G288">
        <v>20260308</v>
      </c>
      <c r="H288">
        <v>20260404</v>
      </c>
      <c r="I288">
        <v>2166.5295999999998</v>
      </c>
      <c r="J288">
        <f t="shared" si="41"/>
        <v>28</v>
      </c>
      <c r="K288">
        <f t="shared" si="42"/>
        <v>77.376057142857135</v>
      </c>
      <c r="L288">
        <f t="shared" si="43"/>
        <v>2992.2222732618065</v>
      </c>
      <c r="M288">
        <f t="shared" si="44"/>
        <v>309.50422857142854</v>
      </c>
      <c r="N288">
        <f t="shared" si="45"/>
        <v>0</v>
      </c>
      <c r="O288">
        <f t="shared" si="46"/>
        <v>3301.726501833235</v>
      </c>
      <c r="P288">
        <f t="shared" si="47"/>
        <v>1963.4388618201863</v>
      </c>
      <c r="Q288">
        <f t="shared" si="48"/>
        <v>203.09073817981368</v>
      </c>
      <c r="R288">
        <f t="shared" si="49"/>
        <v>0</v>
      </c>
      <c r="S288">
        <f t="shared" si="50"/>
        <v>2166.5295999999998</v>
      </c>
    </row>
    <row r="289" spans="1:19" x14ac:dyDescent="0.3">
      <c r="A289" t="s">
        <v>13</v>
      </c>
      <c r="B289" t="s">
        <v>24</v>
      </c>
      <c r="C289" t="s">
        <v>14</v>
      </c>
      <c r="D289">
        <v>14</v>
      </c>
      <c r="E289">
        <v>17</v>
      </c>
      <c r="F289">
        <v>0</v>
      </c>
      <c r="G289">
        <v>20260318</v>
      </c>
      <c r="H289">
        <v>20260417</v>
      </c>
      <c r="I289">
        <v>56136.2448</v>
      </c>
      <c r="J289">
        <f t="shared" si="41"/>
        <v>31</v>
      </c>
      <c r="K289">
        <f t="shared" si="42"/>
        <v>1810.8466064516128</v>
      </c>
      <c r="L289">
        <f t="shared" si="43"/>
        <v>40849.402952225013</v>
      </c>
      <c r="M289">
        <f t="shared" si="44"/>
        <v>30784.39230967742</v>
      </c>
      <c r="N289">
        <f t="shared" si="45"/>
        <v>0</v>
      </c>
      <c r="O289">
        <f t="shared" si="46"/>
        <v>71633.795261902429</v>
      </c>
      <c r="P289">
        <f t="shared" si="47"/>
        <v>32011.874781671948</v>
      </c>
      <c r="Q289">
        <f t="shared" si="48"/>
        <v>24124.370018328053</v>
      </c>
      <c r="R289">
        <f t="shared" si="49"/>
        <v>0</v>
      </c>
      <c r="S289">
        <f t="shared" si="50"/>
        <v>56136.2448</v>
      </c>
    </row>
    <row r="290" spans="1:19" x14ac:dyDescent="0.3">
      <c r="A290" t="s">
        <v>13</v>
      </c>
      <c r="B290" t="s">
        <v>33</v>
      </c>
      <c r="C290" t="s">
        <v>15</v>
      </c>
      <c r="D290">
        <v>0</v>
      </c>
      <c r="E290">
        <v>25</v>
      </c>
      <c r="F290">
        <v>9</v>
      </c>
      <c r="G290">
        <v>20260406</v>
      </c>
      <c r="H290">
        <v>20260509</v>
      </c>
      <c r="I290">
        <v>9326.0020999999997</v>
      </c>
      <c r="J290">
        <f t="shared" si="41"/>
        <v>34</v>
      </c>
      <c r="K290">
        <f t="shared" si="42"/>
        <v>274.29417941176467</v>
      </c>
      <c r="L290">
        <f t="shared" si="43"/>
        <v>0</v>
      </c>
      <c r="M290">
        <f t="shared" si="44"/>
        <v>6857.3544852941168</v>
      </c>
      <c r="N290">
        <f t="shared" si="45"/>
        <v>1855.1773864899671</v>
      </c>
      <c r="O290">
        <f t="shared" si="46"/>
        <v>8712.5318717840837</v>
      </c>
      <c r="P290">
        <f t="shared" si="47"/>
        <v>0</v>
      </c>
      <c r="Q290">
        <f t="shared" si="48"/>
        <v>7340.197232151052</v>
      </c>
      <c r="R290">
        <f t="shared" si="49"/>
        <v>1985.8048678489486</v>
      </c>
      <c r="S290">
        <f t="shared" si="50"/>
        <v>9326.0021000000015</v>
      </c>
    </row>
    <row r="291" spans="1:19" x14ac:dyDescent="0.3">
      <c r="A291" t="s">
        <v>13</v>
      </c>
      <c r="B291" t="s">
        <v>33</v>
      </c>
      <c r="C291" t="s">
        <v>15</v>
      </c>
      <c r="D291">
        <v>22</v>
      </c>
      <c r="E291">
        <v>2</v>
      </c>
      <c r="F291">
        <v>0</v>
      </c>
      <c r="G291">
        <v>20260310</v>
      </c>
      <c r="H291">
        <v>20260402</v>
      </c>
      <c r="I291">
        <v>1712.5605</v>
      </c>
      <c r="J291">
        <f t="shared" si="41"/>
        <v>24</v>
      </c>
      <c r="K291">
        <f t="shared" si="42"/>
        <v>71.356687500000007</v>
      </c>
      <c r="L291">
        <f t="shared" si="43"/>
        <v>2529.4923835248692</v>
      </c>
      <c r="M291">
        <f t="shared" si="44"/>
        <v>142.71337500000001</v>
      </c>
      <c r="N291">
        <f t="shared" si="45"/>
        <v>0</v>
      </c>
      <c r="O291">
        <f t="shared" si="46"/>
        <v>2672.205758524869</v>
      </c>
      <c r="P291">
        <f t="shared" si="47"/>
        <v>1621.0984978442957</v>
      </c>
      <c r="Q291">
        <f t="shared" si="48"/>
        <v>91.462002155704496</v>
      </c>
      <c r="R291">
        <f t="shared" si="49"/>
        <v>0</v>
      </c>
      <c r="S291">
        <f t="shared" si="50"/>
        <v>1712.5605000000003</v>
      </c>
    </row>
    <row r="292" spans="1:19" x14ac:dyDescent="0.3">
      <c r="A292" t="s">
        <v>13</v>
      </c>
      <c r="B292" t="s">
        <v>33</v>
      </c>
      <c r="C292" t="s">
        <v>14</v>
      </c>
      <c r="D292">
        <v>24</v>
      </c>
      <c r="E292">
        <v>8</v>
      </c>
      <c r="F292">
        <v>0</v>
      </c>
      <c r="G292">
        <v>20260308</v>
      </c>
      <c r="H292">
        <v>20260408</v>
      </c>
      <c r="I292">
        <v>3801.2451999999998</v>
      </c>
      <c r="J292">
        <f t="shared" si="41"/>
        <v>32</v>
      </c>
      <c r="K292">
        <f t="shared" si="42"/>
        <v>118.7889125</v>
      </c>
      <c r="L292">
        <f t="shared" si="43"/>
        <v>4593.7056361350151</v>
      </c>
      <c r="M292">
        <f t="shared" si="44"/>
        <v>950.31129999999996</v>
      </c>
      <c r="N292">
        <f t="shared" si="45"/>
        <v>0</v>
      </c>
      <c r="O292">
        <f t="shared" si="46"/>
        <v>5544.0169361350154</v>
      </c>
      <c r="P292">
        <f t="shared" si="47"/>
        <v>3149.6659733771635</v>
      </c>
      <c r="Q292">
        <f t="shared" si="48"/>
        <v>651.57922662283636</v>
      </c>
      <c r="R292">
        <f t="shared" si="49"/>
        <v>0</v>
      </c>
      <c r="S292">
        <f t="shared" si="50"/>
        <v>3801.2451999999998</v>
      </c>
    </row>
    <row r="293" spans="1:19" x14ac:dyDescent="0.3">
      <c r="A293" t="s">
        <v>13</v>
      </c>
      <c r="B293" t="s">
        <v>33</v>
      </c>
      <c r="C293" t="s">
        <v>15</v>
      </c>
      <c r="D293">
        <v>0</v>
      </c>
      <c r="E293">
        <v>21</v>
      </c>
      <c r="F293">
        <v>2</v>
      </c>
      <c r="G293">
        <v>20260410</v>
      </c>
      <c r="H293">
        <v>20260502</v>
      </c>
      <c r="I293">
        <v>14142.9899</v>
      </c>
      <c r="J293">
        <f t="shared" si="41"/>
        <v>23</v>
      </c>
      <c r="K293">
        <f t="shared" si="42"/>
        <v>614.91260434782612</v>
      </c>
      <c r="L293">
        <f t="shared" si="43"/>
        <v>0</v>
      </c>
      <c r="M293">
        <f t="shared" si="44"/>
        <v>12913.164691304348</v>
      </c>
      <c r="N293">
        <f t="shared" si="45"/>
        <v>924.20801693857982</v>
      </c>
      <c r="O293">
        <f t="shared" si="46"/>
        <v>13837.372708242927</v>
      </c>
      <c r="P293">
        <f t="shared" si="47"/>
        <v>0</v>
      </c>
      <c r="Q293">
        <f t="shared" si="48"/>
        <v>13198.369492306934</v>
      </c>
      <c r="R293">
        <f t="shared" si="49"/>
        <v>944.62040769306793</v>
      </c>
      <c r="S293">
        <f t="shared" si="50"/>
        <v>14142.989900000002</v>
      </c>
    </row>
    <row r="294" spans="1:19" x14ac:dyDescent="0.3">
      <c r="A294" t="s">
        <v>13</v>
      </c>
      <c r="B294" t="s">
        <v>24</v>
      </c>
      <c r="C294" t="s">
        <v>15</v>
      </c>
      <c r="D294">
        <v>24</v>
      </c>
      <c r="E294">
        <v>2</v>
      </c>
      <c r="F294">
        <v>0</v>
      </c>
      <c r="G294">
        <v>20260308</v>
      </c>
      <c r="H294">
        <v>20260402</v>
      </c>
      <c r="I294">
        <v>75805.653200000001</v>
      </c>
      <c r="J294">
        <f t="shared" si="41"/>
        <v>26</v>
      </c>
      <c r="K294">
        <f t="shared" si="42"/>
        <v>2915.602046153846</v>
      </c>
      <c r="L294">
        <f t="shared" si="43"/>
        <v>112749.72781776839</v>
      </c>
      <c r="M294">
        <f t="shared" si="44"/>
        <v>5831.204092307692</v>
      </c>
      <c r="N294">
        <f t="shared" si="45"/>
        <v>0</v>
      </c>
      <c r="O294">
        <f t="shared" si="46"/>
        <v>118580.93191007608</v>
      </c>
      <c r="P294">
        <f t="shared" si="47"/>
        <v>72077.918664272875</v>
      </c>
      <c r="Q294">
        <f t="shared" si="48"/>
        <v>3727.7345357271283</v>
      </c>
      <c r="R294">
        <f t="shared" si="49"/>
        <v>0</v>
      </c>
      <c r="S294">
        <f t="shared" si="50"/>
        <v>75805.653200000001</v>
      </c>
    </row>
    <row r="295" spans="1:19" x14ac:dyDescent="0.3">
      <c r="A295" t="s">
        <v>13</v>
      </c>
      <c r="B295" t="s">
        <v>33</v>
      </c>
      <c r="C295" t="s">
        <v>15</v>
      </c>
      <c r="D295">
        <v>23</v>
      </c>
      <c r="E295">
        <v>2</v>
      </c>
      <c r="F295">
        <v>0</v>
      </c>
      <c r="G295">
        <v>20260309</v>
      </c>
      <c r="H295">
        <v>20260402</v>
      </c>
      <c r="I295">
        <v>946.94749999999999</v>
      </c>
      <c r="J295">
        <f t="shared" si="41"/>
        <v>25</v>
      </c>
      <c r="K295">
        <f t="shared" si="42"/>
        <v>37.877899999999997</v>
      </c>
      <c r="L295">
        <f t="shared" si="43"/>
        <v>1403.7499159289682</v>
      </c>
      <c r="M295">
        <f t="shared" si="44"/>
        <v>75.755799999999994</v>
      </c>
      <c r="N295">
        <f t="shared" si="45"/>
        <v>0</v>
      </c>
      <c r="O295">
        <f t="shared" si="46"/>
        <v>1479.5057159289681</v>
      </c>
      <c r="P295">
        <f t="shared" si="47"/>
        <v>898.46051907917467</v>
      </c>
      <c r="Q295">
        <f t="shared" si="48"/>
        <v>48.486980920825395</v>
      </c>
      <c r="R295">
        <f t="shared" si="49"/>
        <v>0</v>
      </c>
      <c r="S295">
        <f t="shared" si="50"/>
        <v>946.9475000000001</v>
      </c>
    </row>
    <row r="296" spans="1:19" x14ac:dyDescent="0.3">
      <c r="A296" t="s">
        <v>13</v>
      </c>
      <c r="B296" t="s">
        <v>33</v>
      </c>
      <c r="C296" t="s">
        <v>15</v>
      </c>
      <c r="D296">
        <v>26</v>
      </c>
      <c r="E296">
        <v>14</v>
      </c>
      <c r="F296">
        <v>0</v>
      </c>
      <c r="G296">
        <v>20260306</v>
      </c>
      <c r="H296">
        <v>20260414</v>
      </c>
      <c r="I296">
        <v>5782.5313999999998</v>
      </c>
      <c r="J296">
        <f t="shared" si="41"/>
        <v>40</v>
      </c>
      <c r="K296">
        <f t="shared" si="42"/>
        <v>144.56328500000001</v>
      </c>
      <c r="L296">
        <f t="shared" si="43"/>
        <v>6056.2998686675992</v>
      </c>
      <c r="M296">
        <f t="shared" si="44"/>
        <v>2023.8859900000002</v>
      </c>
      <c r="N296">
        <f t="shared" si="45"/>
        <v>0</v>
      </c>
      <c r="O296">
        <f t="shared" si="46"/>
        <v>8080.1858586675989</v>
      </c>
      <c r="P296">
        <f t="shared" si="47"/>
        <v>4334.1508191695348</v>
      </c>
      <c r="Q296">
        <f t="shared" si="48"/>
        <v>1448.3805808304651</v>
      </c>
      <c r="R296">
        <f t="shared" si="49"/>
        <v>0</v>
      </c>
      <c r="S296">
        <f t="shared" si="50"/>
        <v>5782.5313999999998</v>
      </c>
    </row>
    <row r="297" spans="1:19" x14ac:dyDescent="0.3">
      <c r="A297" t="s">
        <v>13</v>
      </c>
      <c r="B297" t="s">
        <v>33</v>
      </c>
      <c r="C297" t="s">
        <v>15</v>
      </c>
      <c r="D297">
        <v>19</v>
      </c>
      <c r="E297">
        <v>5</v>
      </c>
      <c r="F297">
        <v>0</v>
      </c>
      <c r="G297">
        <v>20260313</v>
      </c>
      <c r="H297">
        <v>20260405</v>
      </c>
      <c r="I297">
        <v>4122.9967999999999</v>
      </c>
      <c r="J297">
        <f t="shared" si="41"/>
        <v>24</v>
      </c>
      <c r="K297">
        <f t="shared" si="42"/>
        <v>171.79153333333332</v>
      </c>
      <c r="L297">
        <f t="shared" si="43"/>
        <v>5259.3414962579745</v>
      </c>
      <c r="M297">
        <f t="shared" si="44"/>
        <v>858.95766666666657</v>
      </c>
      <c r="N297">
        <f t="shared" si="45"/>
        <v>0</v>
      </c>
      <c r="O297">
        <f t="shared" si="46"/>
        <v>6118.2991629246408</v>
      </c>
      <c r="P297">
        <f t="shared" si="47"/>
        <v>3544.1627782080268</v>
      </c>
      <c r="Q297">
        <f t="shared" si="48"/>
        <v>578.83402179197321</v>
      </c>
      <c r="R297">
        <f t="shared" si="49"/>
        <v>0</v>
      </c>
      <c r="S297">
        <f t="shared" si="50"/>
        <v>4122.9967999999999</v>
      </c>
    </row>
    <row r="298" spans="1:19" x14ac:dyDescent="0.3">
      <c r="A298" t="s">
        <v>13</v>
      </c>
      <c r="B298" t="s">
        <v>33</v>
      </c>
      <c r="C298" t="s">
        <v>15</v>
      </c>
      <c r="D298">
        <v>0</v>
      </c>
      <c r="E298">
        <v>24</v>
      </c>
      <c r="F298">
        <v>10</v>
      </c>
      <c r="G298">
        <v>20260407</v>
      </c>
      <c r="H298">
        <v>20260510</v>
      </c>
      <c r="I298">
        <v>3334.2757000000001</v>
      </c>
      <c r="J298">
        <f t="shared" si="41"/>
        <v>34</v>
      </c>
      <c r="K298">
        <f t="shared" si="42"/>
        <v>98.06693235294118</v>
      </c>
      <c r="L298">
        <f t="shared" si="43"/>
        <v>0</v>
      </c>
      <c r="M298">
        <f t="shared" si="44"/>
        <v>2353.6063764705882</v>
      </c>
      <c r="N298">
        <f t="shared" si="45"/>
        <v>736.9685093159535</v>
      </c>
      <c r="O298">
        <f t="shared" si="46"/>
        <v>3090.5748857865419</v>
      </c>
      <c r="P298">
        <f t="shared" si="47"/>
        <v>0</v>
      </c>
      <c r="Q298">
        <f t="shared" si="48"/>
        <v>2539.1950813169669</v>
      </c>
      <c r="R298">
        <f t="shared" si="49"/>
        <v>795.08061868303298</v>
      </c>
      <c r="S298">
        <f t="shared" si="50"/>
        <v>3334.2757000000001</v>
      </c>
    </row>
    <row r="299" spans="1:19" x14ac:dyDescent="0.3">
      <c r="A299" t="s">
        <v>13</v>
      </c>
      <c r="B299" t="s">
        <v>33</v>
      </c>
      <c r="C299" t="s">
        <v>14</v>
      </c>
      <c r="D299">
        <v>0</v>
      </c>
      <c r="E299">
        <v>25</v>
      </c>
      <c r="F299">
        <v>10</v>
      </c>
      <c r="G299">
        <v>20260406</v>
      </c>
      <c r="H299">
        <v>20260510</v>
      </c>
      <c r="I299">
        <v>42.196100000000001</v>
      </c>
      <c r="J299">
        <f t="shared" si="41"/>
        <v>35</v>
      </c>
      <c r="K299">
        <f t="shared" si="42"/>
        <v>1.2056028571428572</v>
      </c>
      <c r="L299">
        <f t="shared" si="43"/>
        <v>0</v>
      </c>
      <c r="M299">
        <f t="shared" si="44"/>
        <v>30.140071428571432</v>
      </c>
      <c r="N299">
        <f t="shared" si="45"/>
        <v>9.060050305825424</v>
      </c>
      <c r="O299">
        <f t="shared" si="46"/>
        <v>39.200121734396859</v>
      </c>
      <c r="P299">
        <f t="shared" si="47"/>
        <v>0</v>
      </c>
      <c r="Q299">
        <f t="shared" si="48"/>
        <v>32.443610165913967</v>
      </c>
      <c r="R299">
        <f t="shared" si="49"/>
        <v>9.7524898340860293</v>
      </c>
      <c r="S299">
        <f t="shared" si="50"/>
        <v>42.196099999999994</v>
      </c>
    </row>
    <row r="300" spans="1:19" x14ac:dyDescent="0.3">
      <c r="A300" t="s">
        <v>13</v>
      </c>
      <c r="B300" t="s">
        <v>24</v>
      </c>
      <c r="C300" t="s">
        <v>14</v>
      </c>
      <c r="D300">
        <v>29</v>
      </c>
      <c r="E300">
        <v>5</v>
      </c>
      <c r="F300">
        <v>0</v>
      </c>
      <c r="G300">
        <v>20260303</v>
      </c>
      <c r="H300">
        <v>20260405</v>
      </c>
      <c r="I300">
        <v>2338.6365999999998</v>
      </c>
      <c r="J300">
        <f t="shared" si="41"/>
        <v>34</v>
      </c>
      <c r="K300">
        <f t="shared" si="42"/>
        <v>68.7834294117647</v>
      </c>
      <c r="L300">
        <f t="shared" si="43"/>
        <v>3214.0885460318937</v>
      </c>
      <c r="M300">
        <f t="shared" si="44"/>
        <v>343.9171470588235</v>
      </c>
      <c r="N300">
        <f t="shared" si="45"/>
        <v>0</v>
      </c>
      <c r="O300">
        <f t="shared" si="46"/>
        <v>3558.0056930907172</v>
      </c>
      <c r="P300">
        <f t="shared" si="47"/>
        <v>2112.5837780381885</v>
      </c>
      <c r="Q300">
        <f t="shared" si="48"/>
        <v>226.0528219618113</v>
      </c>
      <c r="R300">
        <f t="shared" si="49"/>
        <v>0</v>
      </c>
      <c r="S300">
        <f t="shared" si="50"/>
        <v>2338.6365999999998</v>
      </c>
    </row>
    <row r="301" spans="1:19" x14ac:dyDescent="0.3">
      <c r="A301" t="s">
        <v>13</v>
      </c>
      <c r="B301" t="s">
        <v>24</v>
      </c>
      <c r="C301" t="s">
        <v>15</v>
      </c>
      <c r="D301">
        <v>30</v>
      </c>
      <c r="E301">
        <v>9</v>
      </c>
      <c r="F301">
        <v>0</v>
      </c>
      <c r="G301">
        <v>20260302</v>
      </c>
      <c r="H301">
        <v>20260409</v>
      </c>
      <c r="I301">
        <v>2693.1149</v>
      </c>
      <c r="J301">
        <f t="shared" si="41"/>
        <v>39</v>
      </c>
      <c r="K301">
        <f t="shared" si="42"/>
        <v>69.054228205128211</v>
      </c>
      <c r="L301">
        <f t="shared" si="43"/>
        <v>3338.009316577115</v>
      </c>
      <c r="M301">
        <f t="shared" si="44"/>
        <v>621.48805384615389</v>
      </c>
      <c r="N301">
        <f t="shared" si="45"/>
        <v>0</v>
      </c>
      <c r="O301">
        <f t="shared" si="46"/>
        <v>3959.4973704232689</v>
      </c>
      <c r="P301">
        <f t="shared" si="47"/>
        <v>2270.3999487317897</v>
      </c>
      <c r="Q301">
        <f t="shared" si="48"/>
        <v>422.71495126821043</v>
      </c>
      <c r="R301">
        <f t="shared" si="49"/>
        <v>0</v>
      </c>
      <c r="S301">
        <f t="shared" si="50"/>
        <v>2693.1149</v>
      </c>
    </row>
    <row r="302" spans="1:19" x14ac:dyDescent="0.3">
      <c r="A302" t="s">
        <v>13</v>
      </c>
      <c r="B302" t="s">
        <v>33</v>
      </c>
      <c r="C302" t="s">
        <v>14</v>
      </c>
      <c r="D302">
        <v>0</v>
      </c>
      <c r="E302">
        <v>28</v>
      </c>
      <c r="F302">
        <v>11</v>
      </c>
      <c r="G302">
        <v>20260403</v>
      </c>
      <c r="H302">
        <v>20260511</v>
      </c>
      <c r="I302">
        <v>3374.2682</v>
      </c>
      <c r="J302">
        <f t="shared" si="41"/>
        <v>39</v>
      </c>
      <c r="K302">
        <f t="shared" si="42"/>
        <v>86.519697435897442</v>
      </c>
      <c r="L302">
        <f t="shared" si="43"/>
        <v>0</v>
      </c>
      <c r="M302">
        <f t="shared" si="44"/>
        <v>2422.5515282051283</v>
      </c>
      <c r="N302">
        <f t="shared" si="45"/>
        <v>715.21072401809624</v>
      </c>
      <c r="O302">
        <f t="shared" si="46"/>
        <v>3137.7622522232246</v>
      </c>
      <c r="P302">
        <f t="shared" si="47"/>
        <v>0</v>
      </c>
      <c r="Q302">
        <f t="shared" si="48"/>
        <v>2605.1491245686748</v>
      </c>
      <c r="R302">
        <f t="shared" si="49"/>
        <v>769.11907543132497</v>
      </c>
      <c r="S302">
        <f t="shared" si="50"/>
        <v>3374.2681999999995</v>
      </c>
    </row>
    <row r="303" spans="1:19" x14ac:dyDescent="0.3">
      <c r="A303" t="s">
        <v>13</v>
      </c>
      <c r="B303" t="s">
        <v>33</v>
      </c>
      <c r="C303" t="s">
        <v>15</v>
      </c>
      <c r="D303">
        <v>0</v>
      </c>
      <c r="E303">
        <v>22</v>
      </c>
      <c r="F303">
        <v>3</v>
      </c>
      <c r="G303">
        <v>20260409</v>
      </c>
      <c r="H303">
        <v>20260503</v>
      </c>
      <c r="I303">
        <v>16378.620500000001</v>
      </c>
      <c r="J303">
        <f t="shared" si="41"/>
        <v>25</v>
      </c>
      <c r="K303">
        <f t="shared" si="42"/>
        <v>655.14481999999998</v>
      </c>
      <c r="L303">
        <f t="shared" si="43"/>
        <v>0</v>
      </c>
      <c r="M303">
        <f t="shared" si="44"/>
        <v>14413.186040000001</v>
      </c>
      <c r="N303">
        <f t="shared" si="45"/>
        <v>1477.0150033157067</v>
      </c>
      <c r="O303">
        <f t="shared" si="46"/>
        <v>15890.201043315707</v>
      </c>
      <c r="P303">
        <f t="shared" si="47"/>
        <v>0</v>
      </c>
      <c r="Q303">
        <f t="shared" si="48"/>
        <v>14856.206268350586</v>
      </c>
      <c r="R303">
        <f t="shared" si="49"/>
        <v>1522.4142316494144</v>
      </c>
      <c r="S303">
        <f t="shared" si="50"/>
        <v>16378.620500000001</v>
      </c>
    </row>
    <row r="304" spans="1:19" x14ac:dyDescent="0.3">
      <c r="A304" t="s">
        <v>13</v>
      </c>
      <c r="B304" t="s">
        <v>24</v>
      </c>
      <c r="C304" t="s">
        <v>15</v>
      </c>
      <c r="D304">
        <v>25</v>
      </c>
      <c r="E304">
        <v>11</v>
      </c>
      <c r="F304">
        <v>0</v>
      </c>
      <c r="G304">
        <v>20260307</v>
      </c>
      <c r="H304">
        <v>20260411</v>
      </c>
      <c r="I304">
        <v>87.768600000000006</v>
      </c>
      <c r="J304">
        <f t="shared" si="41"/>
        <v>36</v>
      </c>
      <c r="K304">
        <f t="shared" si="42"/>
        <v>2.4380166666666669</v>
      </c>
      <c r="L304">
        <f t="shared" si="43"/>
        <v>98.209317503448361</v>
      </c>
      <c r="M304">
        <f t="shared" si="44"/>
        <v>26.818183333333337</v>
      </c>
      <c r="N304">
        <f t="shared" si="45"/>
        <v>0</v>
      </c>
      <c r="O304">
        <f t="shared" si="46"/>
        <v>125.0275008367817</v>
      </c>
      <c r="P304">
        <f t="shared" si="47"/>
        <v>68.942386647285048</v>
      </c>
      <c r="Q304">
        <f t="shared" si="48"/>
        <v>18.826213352714962</v>
      </c>
      <c r="R304">
        <f t="shared" si="49"/>
        <v>0</v>
      </c>
      <c r="S304">
        <f t="shared" si="50"/>
        <v>87.768600000000006</v>
      </c>
    </row>
    <row r="305" spans="1:19" x14ac:dyDescent="0.3">
      <c r="A305" t="s">
        <v>13</v>
      </c>
      <c r="B305" t="s">
        <v>33</v>
      </c>
      <c r="C305" t="s">
        <v>15</v>
      </c>
      <c r="D305">
        <v>0</v>
      </c>
      <c r="E305">
        <v>21</v>
      </c>
      <c r="F305">
        <v>0</v>
      </c>
      <c r="G305">
        <v>20260405</v>
      </c>
      <c r="H305">
        <v>20260425</v>
      </c>
      <c r="I305">
        <v>84.372500000000002</v>
      </c>
      <c r="J305">
        <f t="shared" si="41"/>
        <v>21</v>
      </c>
      <c r="K305">
        <f t="shared" si="42"/>
        <v>4.0177380952380952</v>
      </c>
      <c r="L305">
        <f t="shared" si="43"/>
        <v>0</v>
      </c>
      <c r="M305">
        <f t="shared" si="44"/>
        <v>84.372500000000002</v>
      </c>
      <c r="N305">
        <f t="shared" si="45"/>
        <v>0</v>
      </c>
      <c r="O305">
        <f t="shared" si="46"/>
        <v>84.372500000000002</v>
      </c>
      <c r="P305">
        <f t="shared" si="47"/>
        <v>0</v>
      </c>
      <c r="Q305">
        <f t="shared" si="48"/>
        <v>84.372500000000002</v>
      </c>
      <c r="R305">
        <f t="shared" si="49"/>
        <v>0</v>
      </c>
      <c r="S305">
        <f t="shared" si="50"/>
        <v>84.372500000000002</v>
      </c>
    </row>
    <row r="306" spans="1:19" x14ac:dyDescent="0.3">
      <c r="A306" t="s">
        <v>13</v>
      </c>
      <c r="B306" t="s">
        <v>33</v>
      </c>
      <c r="C306" t="s">
        <v>14</v>
      </c>
      <c r="D306">
        <v>0</v>
      </c>
      <c r="E306">
        <v>15</v>
      </c>
      <c r="F306">
        <v>0</v>
      </c>
      <c r="G306">
        <v>20260401</v>
      </c>
      <c r="H306">
        <v>20260415</v>
      </c>
      <c r="I306">
        <v>29360.406800000001</v>
      </c>
      <c r="J306">
        <f t="shared" si="41"/>
        <v>15</v>
      </c>
      <c r="K306">
        <f t="shared" si="42"/>
        <v>1957.3604533333335</v>
      </c>
      <c r="L306">
        <f t="shared" si="43"/>
        <v>0</v>
      </c>
      <c r="M306">
        <f t="shared" si="44"/>
        <v>29360.406800000001</v>
      </c>
      <c r="N306">
        <f t="shared" si="45"/>
        <v>0</v>
      </c>
      <c r="O306">
        <f t="shared" si="46"/>
        <v>29360.406800000001</v>
      </c>
      <c r="P306">
        <f t="shared" si="47"/>
        <v>0</v>
      </c>
      <c r="Q306">
        <f t="shared" si="48"/>
        <v>29360.406800000001</v>
      </c>
      <c r="R306">
        <f t="shared" si="49"/>
        <v>0</v>
      </c>
      <c r="S306">
        <f t="shared" si="50"/>
        <v>29360.406800000001</v>
      </c>
    </row>
    <row r="307" spans="1:19" x14ac:dyDescent="0.3">
      <c r="A307" t="s">
        <v>13</v>
      </c>
      <c r="B307" t="s">
        <v>33</v>
      </c>
      <c r="C307" t="s">
        <v>15</v>
      </c>
      <c r="D307">
        <v>0</v>
      </c>
      <c r="E307">
        <v>23</v>
      </c>
      <c r="F307">
        <v>0</v>
      </c>
      <c r="G307">
        <v>20260408</v>
      </c>
      <c r="H307">
        <v>20260430</v>
      </c>
      <c r="I307">
        <v>2279.3919999999998</v>
      </c>
      <c r="J307">
        <f t="shared" si="41"/>
        <v>23</v>
      </c>
      <c r="K307">
        <f t="shared" si="42"/>
        <v>99.103999999999999</v>
      </c>
      <c r="L307">
        <f t="shared" si="43"/>
        <v>0</v>
      </c>
      <c r="M307">
        <f t="shared" si="44"/>
        <v>2279.3919999999998</v>
      </c>
      <c r="N307">
        <f t="shared" si="45"/>
        <v>0</v>
      </c>
      <c r="O307">
        <f t="shared" si="46"/>
        <v>2279.3919999999998</v>
      </c>
      <c r="P307">
        <f t="shared" si="47"/>
        <v>0</v>
      </c>
      <c r="Q307">
        <f t="shared" si="48"/>
        <v>2279.3919999999998</v>
      </c>
      <c r="R307">
        <f t="shared" si="49"/>
        <v>0</v>
      </c>
      <c r="S307">
        <f t="shared" si="50"/>
        <v>2279.3919999999998</v>
      </c>
    </row>
    <row r="308" spans="1:19" x14ac:dyDescent="0.3">
      <c r="A308" t="s">
        <v>13</v>
      </c>
      <c r="B308" t="s">
        <v>33</v>
      </c>
      <c r="C308" t="s">
        <v>15</v>
      </c>
      <c r="D308">
        <v>0</v>
      </c>
      <c r="E308">
        <v>29</v>
      </c>
      <c r="F308">
        <v>13</v>
      </c>
      <c r="G308">
        <v>20260402</v>
      </c>
      <c r="H308">
        <v>20260513</v>
      </c>
      <c r="I308">
        <v>7801.5326999999997</v>
      </c>
      <c r="J308">
        <f t="shared" si="41"/>
        <v>42</v>
      </c>
      <c r="K308">
        <f t="shared" si="42"/>
        <v>185.75077857142855</v>
      </c>
      <c r="L308">
        <f t="shared" si="43"/>
        <v>0</v>
      </c>
      <c r="M308">
        <f t="shared" si="44"/>
        <v>5386.7725785714283</v>
      </c>
      <c r="N308">
        <f t="shared" si="45"/>
        <v>1814.6811818687954</v>
      </c>
      <c r="O308">
        <f t="shared" si="46"/>
        <v>7201.453760440224</v>
      </c>
      <c r="P308">
        <f t="shared" si="47"/>
        <v>0</v>
      </c>
      <c r="Q308">
        <f t="shared" si="48"/>
        <v>5835.6387220098359</v>
      </c>
      <c r="R308">
        <f t="shared" si="49"/>
        <v>1965.8939779901636</v>
      </c>
      <c r="S308">
        <f t="shared" si="50"/>
        <v>7801.5326999999997</v>
      </c>
    </row>
    <row r="309" spans="1:19" x14ac:dyDescent="0.3">
      <c r="A309" t="s">
        <v>13</v>
      </c>
      <c r="B309" t="s">
        <v>24</v>
      </c>
      <c r="C309" t="s">
        <v>14</v>
      </c>
      <c r="D309">
        <v>15</v>
      </c>
      <c r="E309">
        <v>20</v>
      </c>
      <c r="F309">
        <v>0</v>
      </c>
      <c r="G309">
        <v>20260317</v>
      </c>
      <c r="H309">
        <v>20260420</v>
      </c>
      <c r="I309">
        <v>101951.6995</v>
      </c>
      <c r="J309">
        <f t="shared" si="41"/>
        <v>35</v>
      </c>
      <c r="K309">
        <f t="shared" si="42"/>
        <v>2912.9057000000003</v>
      </c>
      <c r="L309">
        <f t="shared" si="43"/>
        <v>70403.41060671283</v>
      </c>
      <c r="M309">
        <f t="shared" si="44"/>
        <v>58258.114000000001</v>
      </c>
      <c r="N309">
        <f t="shared" si="45"/>
        <v>0</v>
      </c>
      <c r="O309">
        <f t="shared" si="46"/>
        <v>128661.52460671283</v>
      </c>
      <c r="P309">
        <f t="shared" si="47"/>
        <v>55787.830774517388</v>
      </c>
      <c r="Q309">
        <f t="shared" si="48"/>
        <v>46163.868725482622</v>
      </c>
      <c r="R309">
        <f t="shared" si="49"/>
        <v>0</v>
      </c>
      <c r="S309">
        <f t="shared" si="50"/>
        <v>101951.69950000002</v>
      </c>
    </row>
    <row r="310" spans="1:19" x14ac:dyDescent="0.3">
      <c r="A310" t="s">
        <v>13</v>
      </c>
      <c r="B310" t="s">
        <v>33</v>
      </c>
      <c r="C310" t="s">
        <v>15</v>
      </c>
      <c r="D310">
        <v>0</v>
      </c>
      <c r="E310">
        <v>22</v>
      </c>
      <c r="F310">
        <v>0</v>
      </c>
      <c r="G310">
        <v>20260409</v>
      </c>
      <c r="H310">
        <v>20260430</v>
      </c>
      <c r="I310">
        <v>3208.2584999999999</v>
      </c>
      <c r="J310">
        <f t="shared" si="41"/>
        <v>22</v>
      </c>
      <c r="K310">
        <f t="shared" si="42"/>
        <v>145.82993181818182</v>
      </c>
      <c r="L310">
        <f t="shared" si="43"/>
        <v>0</v>
      </c>
      <c r="M310">
        <f t="shared" si="44"/>
        <v>3208.2584999999999</v>
      </c>
      <c r="N310">
        <f t="shared" si="45"/>
        <v>0</v>
      </c>
      <c r="O310">
        <f t="shared" si="46"/>
        <v>3208.2584999999999</v>
      </c>
      <c r="P310">
        <f t="shared" si="47"/>
        <v>0</v>
      </c>
      <c r="Q310">
        <f t="shared" si="48"/>
        <v>3208.2584999999999</v>
      </c>
      <c r="R310">
        <f t="shared" si="49"/>
        <v>0</v>
      </c>
      <c r="S310">
        <f t="shared" si="50"/>
        <v>3208.2584999999999</v>
      </c>
    </row>
    <row r="311" spans="1:19" x14ac:dyDescent="0.3">
      <c r="A311" t="s">
        <v>13</v>
      </c>
      <c r="B311" t="s">
        <v>24</v>
      </c>
      <c r="C311" t="s">
        <v>14</v>
      </c>
      <c r="D311">
        <v>24</v>
      </c>
      <c r="E311">
        <v>2</v>
      </c>
      <c r="F311">
        <v>0</v>
      </c>
      <c r="G311">
        <v>20260308</v>
      </c>
      <c r="H311">
        <v>20260402</v>
      </c>
      <c r="I311">
        <v>855.68219999999997</v>
      </c>
      <c r="J311">
        <f t="shared" si="41"/>
        <v>26</v>
      </c>
      <c r="K311">
        <f t="shared" si="42"/>
        <v>32.910853846153842</v>
      </c>
      <c r="L311">
        <f t="shared" si="43"/>
        <v>1272.7010595630518</v>
      </c>
      <c r="M311">
        <f t="shared" si="44"/>
        <v>65.821707692307683</v>
      </c>
      <c r="N311">
        <f t="shared" si="45"/>
        <v>0</v>
      </c>
      <c r="O311">
        <f t="shared" si="46"/>
        <v>1338.5227672553594</v>
      </c>
      <c r="P311">
        <f t="shared" si="47"/>
        <v>813.60412331446116</v>
      </c>
      <c r="Q311">
        <f t="shared" si="48"/>
        <v>42.078076685538903</v>
      </c>
      <c r="R311">
        <f t="shared" si="49"/>
        <v>0</v>
      </c>
      <c r="S311">
        <f t="shared" si="50"/>
        <v>855.68220000000008</v>
      </c>
    </row>
    <row r="312" spans="1:19" x14ac:dyDescent="0.3">
      <c r="A312" t="s">
        <v>13</v>
      </c>
      <c r="B312" t="s">
        <v>33</v>
      </c>
      <c r="C312" t="s">
        <v>15</v>
      </c>
      <c r="D312">
        <v>0</v>
      </c>
      <c r="E312">
        <v>22</v>
      </c>
      <c r="F312">
        <v>0</v>
      </c>
      <c r="G312">
        <v>20260402</v>
      </c>
      <c r="H312">
        <v>20260423</v>
      </c>
      <c r="I312">
        <v>10920.866</v>
      </c>
      <c r="J312">
        <f t="shared" si="41"/>
        <v>22</v>
      </c>
      <c r="K312">
        <f t="shared" si="42"/>
        <v>496.40300000000002</v>
      </c>
      <c r="L312">
        <f t="shared" si="43"/>
        <v>0</v>
      </c>
      <c r="M312">
        <f t="shared" si="44"/>
        <v>10920.866</v>
      </c>
      <c r="N312">
        <f t="shared" si="45"/>
        <v>0</v>
      </c>
      <c r="O312">
        <f t="shared" si="46"/>
        <v>10920.866</v>
      </c>
      <c r="P312">
        <f t="shared" si="47"/>
        <v>0</v>
      </c>
      <c r="Q312">
        <f t="shared" si="48"/>
        <v>10920.866</v>
      </c>
      <c r="R312">
        <f t="shared" si="49"/>
        <v>0</v>
      </c>
      <c r="S312">
        <f t="shared" si="50"/>
        <v>10920.866</v>
      </c>
    </row>
    <row r="313" spans="1:19" x14ac:dyDescent="0.3">
      <c r="A313" t="s">
        <v>13</v>
      </c>
      <c r="B313" t="s">
        <v>33</v>
      </c>
      <c r="C313" t="s">
        <v>15</v>
      </c>
      <c r="D313">
        <v>31</v>
      </c>
      <c r="E313">
        <v>1</v>
      </c>
      <c r="F313">
        <v>0</v>
      </c>
      <c r="G313">
        <v>20260226</v>
      </c>
      <c r="H313">
        <v>20260401</v>
      </c>
      <c r="I313">
        <v>456.09190000000001</v>
      </c>
      <c r="J313">
        <f t="shared" si="41"/>
        <v>32</v>
      </c>
      <c r="K313">
        <f t="shared" si="42"/>
        <v>14.252871875</v>
      </c>
      <c r="L313">
        <f t="shared" si="43"/>
        <v>711.93458177414436</v>
      </c>
      <c r="M313">
        <f t="shared" si="44"/>
        <v>14.252871875</v>
      </c>
      <c r="N313">
        <f t="shared" si="45"/>
        <v>0</v>
      </c>
      <c r="O313">
        <f t="shared" si="46"/>
        <v>726.18745364914435</v>
      </c>
      <c r="P313">
        <f t="shared" si="47"/>
        <v>447.14019010573065</v>
      </c>
      <c r="Q313">
        <f t="shared" si="48"/>
        <v>8.9517098942693529</v>
      </c>
      <c r="R313">
        <f t="shared" si="49"/>
        <v>0</v>
      </c>
      <c r="S313">
        <f t="shared" si="50"/>
        <v>456.09190000000001</v>
      </c>
    </row>
    <row r="314" spans="1:19" x14ac:dyDescent="0.3">
      <c r="A314" t="s">
        <v>13</v>
      </c>
      <c r="B314" t="s">
        <v>33</v>
      </c>
      <c r="C314" t="s">
        <v>15</v>
      </c>
      <c r="D314">
        <v>31</v>
      </c>
      <c r="E314">
        <v>3</v>
      </c>
      <c r="F314">
        <v>0</v>
      </c>
      <c r="G314">
        <v>20260227</v>
      </c>
      <c r="H314">
        <v>20260403</v>
      </c>
      <c r="I314">
        <v>3546.4679999999998</v>
      </c>
      <c r="J314">
        <f t="shared" si="41"/>
        <v>34</v>
      </c>
      <c r="K314">
        <f t="shared" si="42"/>
        <v>104.30788235294118</v>
      </c>
      <c r="L314">
        <f t="shared" si="43"/>
        <v>5210.2053010764066</v>
      </c>
      <c r="M314">
        <f t="shared" si="44"/>
        <v>312.92364705882352</v>
      </c>
      <c r="N314">
        <f t="shared" si="45"/>
        <v>0</v>
      </c>
      <c r="O314">
        <f t="shared" si="46"/>
        <v>5523.1289481352305</v>
      </c>
      <c r="P314">
        <f t="shared" si="47"/>
        <v>3345.5359357373854</v>
      </c>
      <c r="Q314">
        <f t="shared" si="48"/>
        <v>200.93206426261398</v>
      </c>
      <c r="R314">
        <f t="shared" si="49"/>
        <v>0</v>
      </c>
      <c r="S314">
        <f t="shared" si="50"/>
        <v>3546.4679999999994</v>
      </c>
    </row>
    <row r="315" spans="1:19" x14ac:dyDescent="0.3">
      <c r="A315" t="s">
        <v>13</v>
      </c>
      <c r="B315" t="s">
        <v>33</v>
      </c>
      <c r="C315" t="s">
        <v>15</v>
      </c>
      <c r="D315">
        <v>0</v>
      </c>
      <c r="E315">
        <v>10</v>
      </c>
      <c r="F315">
        <v>0</v>
      </c>
      <c r="G315">
        <v>20260407</v>
      </c>
      <c r="H315">
        <v>20260416</v>
      </c>
      <c r="I315">
        <v>42.169499999999999</v>
      </c>
      <c r="J315">
        <f t="shared" si="41"/>
        <v>10</v>
      </c>
      <c r="K315">
        <f t="shared" si="42"/>
        <v>4.2169499999999998</v>
      </c>
      <c r="L315">
        <f t="shared" si="43"/>
        <v>0</v>
      </c>
      <c r="M315">
        <f t="shared" si="44"/>
        <v>42.169499999999999</v>
      </c>
      <c r="N315">
        <f t="shared" si="45"/>
        <v>0</v>
      </c>
      <c r="O315">
        <f t="shared" si="46"/>
        <v>42.169499999999999</v>
      </c>
      <c r="P315">
        <f t="shared" si="47"/>
        <v>0</v>
      </c>
      <c r="Q315">
        <f t="shared" si="48"/>
        <v>42.169499999999999</v>
      </c>
      <c r="R315">
        <f t="shared" si="49"/>
        <v>0</v>
      </c>
      <c r="S315">
        <f t="shared" si="50"/>
        <v>42.169499999999999</v>
      </c>
    </row>
    <row r="316" spans="1:19" x14ac:dyDescent="0.3">
      <c r="A316" t="s">
        <v>13</v>
      </c>
      <c r="B316" t="s">
        <v>33</v>
      </c>
      <c r="C316" t="s">
        <v>15</v>
      </c>
      <c r="D316">
        <v>0</v>
      </c>
      <c r="E316">
        <v>4</v>
      </c>
      <c r="F316">
        <v>4</v>
      </c>
      <c r="G316">
        <v>20260427</v>
      </c>
      <c r="H316">
        <v>20260504</v>
      </c>
      <c r="I316">
        <v>84.374499999999998</v>
      </c>
      <c r="J316">
        <f t="shared" si="41"/>
        <v>8</v>
      </c>
      <c r="K316">
        <f t="shared" si="42"/>
        <v>10.5468125</v>
      </c>
      <c r="L316">
        <f t="shared" si="43"/>
        <v>0</v>
      </c>
      <c r="M316">
        <f t="shared" si="44"/>
        <v>42.187249999999999</v>
      </c>
      <c r="N316">
        <f t="shared" si="45"/>
        <v>31.703525335884539</v>
      </c>
      <c r="O316">
        <f t="shared" si="46"/>
        <v>73.890775335884541</v>
      </c>
      <c r="P316">
        <f t="shared" si="47"/>
        <v>0</v>
      </c>
      <c r="Q316">
        <f t="shared" si="48"/>
        <v>48.172834957333841</v>
      </c>
      <c r="R316">
        <f t="shared" si="49"/>
        <v>36.201665042666157</v>
      </c>
      <c r="S316">
        <f t="shared" si="50"/>
        <v>84.374499999999998</v>
      </c>
    </row>
    <row r="317" spans="1:19" x14ac:dyDescent="0.3">
      <c r="A317" t="s">
        <v>13</v>
      </c>
      <c r="B317" t="s">
        <v>33</v>
      </c>
      <c r="C317" t="s">
        <v>15</v>
      </c>
      <c r="D317">
        <v>1</v>
      </c>
      <c r="E317">
        <v>30</v>
      </c>
      <c r="F317">
        <v>5</v>
      </c>
      <c r="G317">
        <v>20260331</v>
      </c>
      <c r="H317">
        <v>20260505</v>
      </c>
      <c r="I317">
        <v>491.98860000000002</v>
      </c>
      <c r="J317">
        <f t="shared" si="41"/>
        <v>36</v>
      </c>
      <c r="K317">
        <f t="shared" si="42"/>
        <v>13.666350000000001</v>
      </c>
      <c r="L317">
        <f t="shared" si="43"/>
        <v>22.02056982815132</v>
      </c>
      <c r="M317">
        <f t="shared" si="44"/>
        <v>409.99050000000005</v>
      </c>
      <c r="N317">
        <f t="shared" si="45"/>
        <v>51.350997454688994</v>
      </c>
      <c r="O317">
        <f t="shared" si="46"/>
        <v>483.36206728284037</v>
      </c>
      <c r="P317">
        <f t="shared" si="47"/>
        <v>22.413569566713534</v>
      </c>
      <c r="Q317">
        <f t="shared" si="48"/>
        <v>417.30757492451022</v>
      </c>
      <c r="R317">
        <f t="shared" si="49"/>
        <v>52.267455508776315</v>
      </c>
      <c r="S317">
        <f t="shared" si="50"/>
        <v>491.98860000000008</v>
      </c>
    </row>
    <row r="318" spans="1:19" x14ac:dyDescent="0.3">
      <c r="A318" t="s">
        <v>13</v>
      </c>
      <c r="B318" t="s">
        <v>33</v>
      </c>
      <c r="C318" t="s">
        <v>15</v>
      </c>
      <c r="D318">
        <v>1</v>
      </c>
      <c r="E318">
        <v>15</v>
      </c>
      <c r="F318">
        <v>0</v>
      </c>
      <c r="G318">
        <v>20260331</v>
      </c>
      <c r="H318">
        <v>20260415</v>
      </c>
      <c r="I318">
        <v>789.80650000000003</v>
      </c>
      <c r="J318">
        <f t="shared" si="41"/>
        <v>16</v>
      </c>
      <c r="K318">
        <f t="shared" si="42"/>
        <v>49.362906250000002</v>
      </c>
      <c r="L318">
        <f t="shared" si="43"/>
        <v>79.538378864774586</v>
      </c>
      <c r="M318">
        <f t="shared" si="44"/>
        <v>740.44359374999999</v>
      </c>
      <c r="N318">
        <f t="shared" si="45"/>
        <v>0</v>
      </c>
      <c r="O318">
        <f t="shared" si="46"/>
        <v>819.98197261477458</v>
      </c>
      <c r="P318">
        <f t="shared" si="47"/>
        <v>76.611353328342304</v>
      </c>
      <c r="Q318">
        <f t="shared" si="48"/>
        <v>713.19514667165777</v>
      </c>
      <c r="R318">
        <f t="shared" si="49"/>
        <v>0</v>
      </c>
      <c r="S318">
        <f t="shared" si="50"/>
        <v>789.80650000000003</v>
      </c>
    </row>
    <row r="319" spans="1:19" x14ac:dyDescent="0.3">
      <c r="A319" t="s">
        <v>13</v>
      </c>
      <c r="B319" t="s">
        <v>33</v>
      </c>
      <c r="C319" t="s">
        <v>15</v>
      </c>
      <c r="D319">
        <v>8</v>
      </c>
      <c r="E319">
        <v>17</v>
      </c>
      <c r="F319">
        <v>0</v>
      </c>
      <c r="G319">
        <v>20260324</v>
      </c>
      <c r="H319">
        <v>20260417</v>
      </c>
      <c r="I319">
        <v>1950.6925000000001</v>
      </c>
      <c r="J319">
        <f t="shared" si="41"/>
        <v>25</v>
      </c>
      <c r="K319">
        <f t="shared" si="42"/>
        <v>78.02770000000001</v>
      </c>
      <c r="L319">
        <f t="shared" si="43"/>
        <v>1005.8073539050546</v>
      </c>
      <c r="M319">
        <f t="shared" si="44"/>
        <v>1326.4709000000003</v>
      </c>
      <c r="N319">
        <f t="shared" si="45"/>
        <v>0</v>
      </c>
      <c r="O319">
        <f t="shared" si="46"/>
        <v>2332.278253905055</v>
      </c>
      <c r="P319">
        <f t="shared" si="47"/>
        <v>841.24647581064653</v>
      </c>
      <c r="Q319">
        <f t="shared" si="48"/>
        <v>1109.4460241893535</v>
      </c>
      <c r="R319">
        <f t="shared" si="49"/>
        <v>0</v>
      </c>
      <c r="S319">
        <f t="shared" si="50"/>
        <v>1950.6925000000001</v>
      </c>
    </row>
    <row r="320" spans="1:19" x14ac:dyDescent="0.3">
      <c r="A320" t="s">
        <v>13</v>
      </c>
      <c r="B320" t="s">
        <v>24</v>
      </c>
      <c r="C320" t="s">
        <v>15</v>
      </c>
      <c r="D320">
        <v>8</v>
      </c>
      <c r="E320">
        <v>17</v>
      </c>
      <c r="F320">
        <v>0</v>
      </c>
      <c r="G320">
        <v>20260324</v>
      </c>
      <c r="H320">
        <v>20260417</v>
      </c>
      <c r="I320">
        <v>917.97299999999996</v>
      </c>
      <c r="J320">
        <f t="shared" si="41"/>
        <v>25</v>
      </c>
      <c r="K320">
        <f t="shared" si="42"/>
        <v>36.718919999999997</v>
      </c>
      <c r="L320">
        <f t="shared" si="43"/>
        <v>473.32113805035107</v>
      </c>
      <c r="M320">
        <f t="shared" si="44"/>
        <v>624.22163999999998</v>
      </c>
      <c r="N320">
        <f t="shared" si="45"/>
        <v>0</v>
      </c>
      <c r="O320">
        <f t="shared" si="46"/>
        <v>1097.542778050351</v>
      </c>
      <c r="P320">
        <f t="shared" si="47"/>
        <v>395.8807198670865</v>
      </c>
      <c r="Q320">
        <f t="shared" si="48"/>
        <v>522.0922801329134</v>
      </c>
      <c r="R320">
        <f t="shared" si="49"/>
        <v>0</v>
      </c>
      <c r="S320">
        <f t="shared" si="50"/>
        <v>917.97299999999996</v>
      </c>
    </row>
    <row r="321" spans="1:19" x14ac:dyDescent="0.3">
      <c r="A321" t="s">
        <v>13</v>
      </c>
      <c r="B321" t="s">
        <v>24</v>
      </c>
      <c r="C321" t="s">
        <v>15</v>
      </c>
      <c r="D321">
        <v>5</v>
      </c>
      <c r="E321">
        <v>30</v>
      </c>
      <c r="F321">
        <v>3</v>
      </c>
      <c r="G321">
        <v>20260327</v>
      </c>
      <c r="H321">
        <v>20260503</v>
      </c>
      <c r="I321">
        <v>777.07889999999998</v>
      </c>
      <c r="J321">
        <f t="shared" si="41"/>
        <v>38</v>
      </c>
      <c r="K321">
        <f t="shared" si="42"/>
        <v>20.449444736842104</v>
      </c>
      <c r="L321">
        <f t="shared" si="43"/>
        <v>164.75080243611242</v>
      </c>
      <c r="M321">
        <f t="shared" si="44"/>
        <v>613.48334210526309</v>
      </c>
      <c r="N321">
        <f t="shared" si="45"/>
        <v>46.102992443397781</v>
      </c>
      <c r="O321">
        <f t="shared" si="46"/>
        <v>824.33713698477322</v>
      </c>
      <c r="P321">
        <f t="shared" si="47"/>
        <v>155.30584100511822</v>
      </c>
      <c r="Q321">
        <f t="shared" si="48"/>
        <v>578.31309456131828</v>
      </c>
      <c r="R321">
        <f t="shared" si="49"/>
        <v>43.459964433563563</v>
      </c>
      <c r="S321">
        <f t="shared" si="50"/>
        <v>777.07889999999998</v>
      </c>
    </row>
    <row r="322" spans="1:19" x14ac:dyDescent="0.3">
      <c r="A322" t="s">
        <v>13</v>
      </c>
      <c r="B322" t="s">
        <v>24</v>
      </c>
      <c r="C322" t="s">
        <v>15</v>
      </c>
      <c r="D322">
        <v>2</v>
      </c>
      <c r="E322">
        <v>30</v>
      </c>
      <c r="F322">
        <v>2</v>
      </c>
      <c r="G322">
        <v>20260330</v>
      </c>
      <c r="H322">
        <v>20260502</v>
      </c>
      <c r="I322">
        <v>1079.1432</v>
      </c>
      <c r="J322">
        <f t="shared" si="41"/>
        <v>34</v>
      </c>
      <c r="K322">
        <f t="shared" si="42"/>
        <v>31.73950588235294</v>
      </c>
      <c r="L322">
        <f t="shared" si="43"/>
        <v>102.28363909798482</v>
      </c>
      <c r="M322">
        <f t="shared" si="44"/>
        <v>952.1851764705882</v>
      </c>
      <c r="N322">
        <f t="shared" si="45"/>
        <v>47.704186875875187</v>
      </c>
      <c r="O322">
        <f t="shared" si="46"/>
        <v>1102.1730024444482</v>
      </c>
      <c r="P322">
        <f t="shared" si="47"/>
        <v>100.14643196580001</v>
      </c>
      <c r="Q322">
        <f t="shared" si="48"/>
        <v>932.28935570922374</v>
      </c>
      <c r="R322">
        <f t="shared" si="49"/>
        <v>46.707412324976296</v>
      </c>
      <c r="S322">
        <f t="shared" si="50"/>
        <v>1079.1432</v>
      </c>
    </row>
    <row r="323" spans="1:19" x14ac:dyDescent="0.3">
      <c r="A323" t="s">
        <v>13</v>
      </c>
      <c r="B323" t="s">
        <v>24</v>
      </c>
      <c r="C323" t="s">
        <v>15</v>
      </c>
      <c r="D323">
        <v>5</v>
      </c>
      <c r="E323">
        <v>30</v>
      </c>
      <c r="F323">
        <v>2</v>
      </c>
      <c r="G323">
        <v>20260327</v>
      </c>
      <c r="H323">
        <v>20260502</v>
      </c>
      <c r="I323">
        <v>3517.2570000000001</v>
      </c>
      <c r="J323">
        <f t="shared" si="41"/>
        <v>37</v>
      </c>
      <c r="K323">
        <f t="shared" si="42"/>
        <v>95.061000000000007</v>
      </c>
      <c r="L323">
        <f t="shared" si="43"/>
        <v>765.85825345973603</v>
      </c>
      <c r="M323">
        <f t="shared" si="44"/>
        <v>2851.8300000000004</v>
      </c>
      <c r="N323">
        <f t="shared" si="45"/>
        <v>142.87581304562494</v>
      </c>
      <c r="O323">
        <f t="shared" si="46"/>
        <v>3760.5640665053611</v>
      </c>
      <c r="P323">
        <f t="shared" si="47"/>
        <v>716.30751540214203</v>
      </c>
      <c r="Q323">
        <f t="shared" si="48"/>
        <v>2667.3176823793119</v>
      </c>
      <c r="R323">
        <f t="shared" si="49"/>
        <v>133.63180221854606</v>
      </c>
      <c r="S323">
        <f t="shared" si="50"/>
        <v>3517.2570000000001</v>
      </c>
    </row>
    <row r="324" spans="1:19" x14ac:dyDescent="0.3">
      <c r="A324" t="s">
        <v>13</v>
      </c>
      <c r="B324" t="s">
        <v>24</v>
      </c>
      <c r="C324" t="s">
        <v>15</v>
      </c>
      <c r="D324">
        <v>8</v>
      </c>
      <c r="E324">
        <v>5</v>
      </c>
      <c r="F324">
        <v>0</v>
      </c>
      <c r="G324">
        <v>20260324</v>
      </c>
      <c r="H324">
        <v>20260405</v>
      </c>
      <c r="I324">
        <v>467.57850000000002</v>
      </c>
      <c r="J324">
        <f t="shared" si="41"/>
        <v>13</v>
      </c>
      <c r="K324">
        <f t="shared" si="42"/>
        <v>35.967576923076926</v>
      </c>
      <c r="L324">
        <f t="shared" si="43"/>
        <v>463.6360340158239</v>
      </c>
      <c r="M324">
        <f t="shared" si="44"/>
        <v>179.83788461538464</v>
      </c>
      <c r="N324">
        <f t="shared" si="45"/>
        <v>0</v>
      </c>
      <c r="O324">
        <f t="shared" si="46"/>
        <v>643.47391863120856</v>
      </c>
      <c r="P324">
        <f t="shared" si="47"/>
        <v>336.89981062824347</v>
      </c>
      <c r="Q324">
        <f t="shared" si="48"/>
        <v>130.67868937175649</v>
      </c>
      <c r="R324">
        <f t="shared" si="49"/>
        <v>0</v>
      </c>
      <c r="S324">
        <f t="shared" si="50"/>
        <v>467.57849999999996</v>
      </c>
    </row>
    <row r="325" spans="1:19" x14ac:dyDescent="0.3">
      <c r="A325" t="s">
        <v>13</v>
      </c>
      <c r="B325" t="s">
        <v>33</v>
      </c>
      <c r="C325" t="s">
        <v>15</v>
      </c>
      <c r="D325">
        <v>0</v>
      </c>
      <c r="E325">
        <v>16</v>
      </c>
      <c r="F325">
        <v>3</v>
      </c>
      <c r="G325">
        <v>20260415</v>
      </c>
      <c r="H325">
        <v>20260503</v>
      </c>
      <c r="I325">
        <v>84.451599999999999</v>
      </c>
      <c r="J325">
        <f t="shared" si="41"/>
        <v>19</v>
      </c>
      <c r="K325">
        <f t="shared" si="42"/>
        <v>4.4448210526315792</v>
      </c>
      <c r="L325">
        <f t="shared" si="43"/>
        <v>0</v>
      </c>
      <c r="M325">
        <f t="shared" si="44"/>
        <v>71.117136842105268</v>
      </c>
      <c r="N325">
        <f t="shared" si="45"/>
        <v>10.020788047733255</v>
      </c>
      <c r="O325">
        <f t="shared" si="46"/>
        <v>81.13792488983853</v>
      </c>
      <c r="P325">
        <f t="shared" si="47"/>
        <v>0</v>
      </c>
      <c r="Q325">
        <f t="shared" si="48"/>
        <v>74.021562689569166</v>
      </c>
      <c r="R325">
        <f t="shared" si="49"/>
        <v>10.430037310430825</v>
      </c>
      <c r="S325">
        <f t="shared" si="50"/>
        <v>84.451599999999985</v>
      </c>
    </row>
    <row r="326" spans="1:19" x14ac:dyDescent="0.3">
      <c r="A326" t="s">
        <v>13</v>
      </c>
      <c r="B326" t="s">
        <v>24</v>
      </c>
      <c r="C326" t="s">
        <v>15</v>
      </c>
      <c r="D326">
        <v>2</v>
      </c>
      <c r="E326">
        <v>30</v>
      </c>
      <c r="F326">
        <v>7</v>
      </c>
      <c r="G326">
        <v>20260330</v>
      </c>
      <c r="H326">
        <v>20260507</v>
      </c>
      <c r="I326">
        <v>45.420699999999997</v>
      </c>
      <c r="J326">
        <f t="shared" si="41"/>
        <v>39</v>
      </c>
      <c r="K326">
        <f t="shared" si="42"/>
        <v>1.1646333333333332</v>
      </c>
      <c r="L326">
        <f t="shared" si="43"/>
        <v>3.7531439837058604</v>
      </c>
      <c r="M326">
        <f t="shared" si="44"/>
        <v>34.938999999999993</v>
      </c>
      <c r="N326">
        <f t="shared" si="45"/>
        <v>6.1265163463473673</v>
      </c>
      <c r="O326">
        <f t="shared" si="46"/>
        <v>44.81866033005322</v>
      </c>
      <c r="P326">
        <f t="shared" si="47"/>
        <v>3.8035591801569213</v>
      </c>
      <c r="Q326">
        <f t="shared" si="48"/>
        <v>35.408328263570731</v>
      </c>
      <c r="R326">
        <f t="shared" si="49"/>
        <v>6.2088125562723491</v>
      </c>
      <c r="S326">
        <f t="shared" si="50"/>
        <v>45.420700000000004</v>
      </c>
    </row>
    <row r="327" spans="1:19" x14ac:dyDescent="0.3">
      <c r="A327" t="s">
        <v>13</v>
      </c>
      <c r="B327" t="s">
        <v>33</v>
      </c>
      <c r="C327" t="s">
        <v>15</v>
      </c>
      <c r="D327">
        <v>12</v>
      </c>
      <c r="E327">
        <v>7</v>
      </c>
      <c r="F327">
        <v>0</v>
      </c>
      <c r="G327">
        <v>20260320</v>
      </c>
      <c r="H327">
        <v>20260407</v>
      </c>
      <c r="I327">
        <v>1087.0949000000001</v>
      </c>
      <c r="J327">
        <f t="shared" si="41"/>
        <v>19</v>
      </c>
      <c r="K327">
        <f t="shared" si="42"/>
        <v>57.21552105263158</v>
      </c>
      <c r="L327">
        <f t="shared" si="43"/>
        <v>1106.2954277566744</v>
      </c>
      <c r="M327">
        <f t="shared" si="44"/>
        <v>400.50864736842107</v>
      </c>
      <c r="N327">
        <f t="shared" si="45"/>
        <v>0</v>
      </c>
      <c r="O327">
        <f t="shared" si="46"/>
        <v>1506.8040751250956</v>
      </c>
      <c r="P327">
        <f t="shared" si="47"/>
        <v>798.14498597487193</v>
      </c>
      <c r="Q327">
        <f t="shared" si="48"/>
        <v>288.94991402512807</v>
      </c>
      <c r="R327">
        <f t="shared" si="49"/>
        <v>0</v>
      </c>
      <c r="S327">
        <f t="shared" si="50"/>
        <v>1087.0949000000001</v>
      </c>
    </row>
    <row r="328" spans="1:19" x14ac:dyDescent="0.3">
      <c r="A328" t="s">
        <v>13</v>
      </c>
      <c r="B328" t="s">
        <v>24</v>
      </c>
      <c r="C328" t="s">
        <v>15</v>
      </c>
      <c r="D328">
        <v>8</v>
      </c>
      <c r="E328">
        <v>10</v>
      </c>
      <c r="F328">
        <v>0</v>
      </c>
      <c r="G328">
        <v>20260324</v>
      </c>
      <c r="H328">
        <v>20260410</v>
      </c>
      <c r="I328">
        <v>112.473</v>
      </c>
      <c r="J328">
        <f t="shared" si="41"/>
        <v>18</v>
      </c>
      <c r="K328">
        <f t="shared" si="42"/>
        <v>6.2484999999999999</v>
      </c>
      <c r="L328">
        <f t="shared" si="43"/>
        <v>80.545591512702956</v>
      </c>
      <c r="M328">
        <f t="shared" si="44"/>
        <v>62.484999999999999</v>
      </c>
      <c r="N328">
        <f t="shared" si="45"/>
        <v>0</v>
      </c>
      <c r="O328">
        <f t="shared" si="46"/>
        <v>143.03059151270296</v>
      </c>
      <c r="P328">
        <f t="shared" si="47"/>
        <v>63.337529534048421</v>
      </c>
      <c r="Q328">
        <f t="shared" si="48"/>
        <v>49.13547046595157</v>
      </c>
      <c r="R328">
        <f t="shared" si="49"/>
        <v>0</v>
      </c>
      <c r="S328">
        <f t="shared" si="50"/>
        <v>112.47299999999998</v>
      </c>
    </row>
    <row r="329" spans="1:19" x14ac:dyDescent="0.3">
      <c r="A329" t="s">
        <v>13</v>
      </c>
      <c r="B329" t="s">
        <v>33</v>
      </c>
      <c r="C329" t="s">
        <v>15</v>
      </c>
      <c r="D329">
        <v>6</v>
      </c>
      <c r="E329">
        <v>30</v>
      </c>
      <c r="F329">
        <v>6</v>
      </c>
      <c r="G329">
        <v>20260326</v>
      </c>
      <c r="H329">
        <v>20260506</v>
      </c>
      <c r="I329">
        <v>433.92599999999999</v>
      </c>
      <c r="J329">
        <f t="shared" si="41"/>
        <v>42</v>
      </c>
      <c r="K329">
        <f t="shared" si="42"/>
        <v>10.331571428571428</v>
      </c>
      <c r="L329">
        <f t="shared" si="43"/>
        <v>99.883475870612202</v>
      </c>
      <c r="M329">
        <f t="shared" si="44"/>
        <v>309.94714285714281</v>
      </c>
      <c r="N329">
        <f t="shared" si="45"/>
        <v>46.584771922116047</v>
      </c>
      <c r="O329">
        <f t="shared" si="46"/>
        <v>456.41539064987103</v>
      </c>
      <c r="P329">
        <f t="shared" si="47"/>
        <v>94.96182214389907</v>
      </c>
      <c r="Q329">
        <f t="shared" si="48"/>
        <v>294.67482181073677</v>
      </c>
      <c r="R329">
        <f t="shared" si="49"/>
        <v>44.289356045364201</v>
      </c>
      <c r="S329">
        <f t="shared" si="50"/>
        <v>433.92600000000004</v>
      </c>
    </row>
    <row r="330" spans="1:19" x14ac:dyDescent="0.3">
      <c r="A330" t="s">
        <v>13</v>
      </c>
      <c r="B330" t="s">
        <v>24</v>
      </c>
      <c r="C330" t="s">
        <v>15</v>
      </c>
      <c r="D330">
        <v>15</v>
      </c>
      <c r="E330">
        <v>3</v>
      </c>
      <c r="F330">
        <v>0</v>
      </c>
      <c r="G330">
        <v>20260317</v>
      </c>
      <c r="H330">
        <v>20260403</v>
      </c>
      <c r="I330">
        <v>16645.225999999999</v>
      </c>
      <c r="J330">
        <f t="shared" si="41"/>
        <v>18</v>
      </c>
      <c r="K330">
        <f t="shared" si="42"/>
        <v>924.73477777777771</v>
      </c>
      <c r="L330">
        <f t="shared" si="43"/>
        <v>22350.356986220402</v>
      </c>
      <c r="M330">
        <f t="shared" si="44"/>
        <v>2774.2043333333331</v>
      </c>
      <c r="N330">
        <f t="shared" si="45"/>
        <v>0</v>
      </c>
      <c r="O330">
        <f t="shared" si="46"/>
        <v>25124.561319553737</v>
      </c>
      <c r="P330">
        <f t="shared" si="47"/>
        <v>14807.293090000323</v>
      </c>
      <c r="Q330">
        <f t="shared" si="48"/>
        <v>1837.9329099996744</v>
      </c>
      <c r="R330">
        <f t="shared" si="49"/>
        <v>0</v>
      </c>
      <c r="S330">
        <f t="shared" si="50"/>
        <v>16645.225999999999</v>
      </c>
    </row>
    <row r="331" spans="1:19" x14ac:dyDescent="0.3">
      <c r="A331" t="s">
        <v>13</v>
      </c>
      <c r="B331" t="s">
        <v>33</v>
      </c>
      <c r="C331" t="s">
        <v>14</v>
      </c>
      <c r="D331">
        <v>0</v>
      </c>
      <c r="E331">
        <v>15</v>
      </c>
      <c r="F331">
        <v>11</v>
      </c>
      <c r="G331">
        <v>20260416</v>
      </c>
      <c r="H331">
        <v>20260511</v>
      </c>
      <c r="I331">
        <v>2448.9236000000001</v>
      </c>
      <c r="J331">
        <f t="shared" ref="J331:J394" si="51">IF(D331&lt;0,0,D331)+E331+F331</f>
        <v>26</v>
      </c>
      <c r="K331">
        <f t="shared" ref="K331:K394" si="52">I331/J331</f>
        <v>94.189369230769231</v>
      </c>
      <c r="L331">
        <f t="shared" ref="L331:L394" si="53">IF(D331&lt;0,0,D331)*$K331*$B$6</f>
        <v>0</v>
      </c>
      <c r="M331">
        <f t="shared" ref="M331:M394" si="54">IF(E331&lt;0,0,E331)*$K331*$C$6</f>
        <v>1412.8405384615385</v>
      </c>
      <c r="N331">
        <f t="shared" ref="N331:N394" si="55">IF(F331&lt;0,0,F331)*$K331*$D$6</f>
        <v>778.61167986928365</v>
      </c>
      <c r="O331">
        <f t="shared" ref="O331:O394" si="56">L331+M331+N331</f>
        <v>2191.4522183308222</v>
      </c>
      <c r="P331">
        <f t="shared" ref="P331:P394" si="57">L331/$O331*$I331</f>
        <v>0</v>
      </c>
      <c r="Q331">
        <f t="shared" ref="Q331:Q394" si="58">M331/$O331*$I331</f>
        <v>1578.833665061848</v>
      </c>
      <c r="R331">
        <f t="shared" ref="R331:R394" si="59">N331/$O331*$I331</f>
        <v>870.08993493815194</v>
      </c>
      <c r="S331">
        <f t="shared" ref="S331:S394" si="60">P331+Q331+R331</f>
        <v>2448.9236000000001</v>
      </c>
    </row>
    <row r="332" spans="1:19" x14ac:dyDescent="0.3">
      <c r="A332" t="s">
        <v>13</v>
      </c>
      <c r="B332" t="s">
        <v>33</v>
      </c>
      <c r="C332" t="s">
        <v>15</v>
      </c>
      <c r="D332">
        <v>0</v>
      </c>
      <c r="E332">
        <v>11</v>
      </c>
      <c r="F332">
        <v>1</v>
      </c>
      <c r="G332">
        <v>20260420</v>
      </c>
      <c r="H332">
        <v>20260501</v>
      </c>
      <c r="I332">
        <v>9330.3700000000008</v>
      </c>
      <c r="J332">
        <f t="shared" si="51"/>
        <v>12</v>
      </c>
      <c r="K332">
        <f t="shared" si="52"/>
        <v>777.53083333333336</v>
      </c>
      <c r="L332">
        <f t="shared" si="53"/>
        <v>0</v>
      </c>
      <c r="M332">
        <f t="shared" si="54"/>
        <v>8552.8391666666666</v>
      </c>
      <c r="N332">
        <f t="shared" si="55"/>
        <v>584.31086344842936</v>
      </c>
      <c r="O332">
        <f t="shared" si="56"/>
        <v>9137.1500301150954</v>
      </c>
      <c r="P332">
        <f t="shared" si="57"/>
        <v>0</v>
      </c>
      <c r="Q332">
        <f t="shared" si="58"/>
        <v>8733.7029284268483</v>
      </c>
      <c r="R332">
        <f t="shared" si="59"/>
        <v>596.66707157315318</v>
      </c>
      <c r="S332">
        <f t="shared" si="60"/>
        <v>9330.3700000000008</v>
      </c>
    </row>
    <row r="333" spans="1:19" x14ac:dyDescent="0.3">
      <c r="A333" t="s">
        <v>13</v>
      </c>
      <c r="B333" t="s">
        <v>24</v>
      </c>
      <c r="C333" t="s">
        <v>15</v>
      </c>
      <c r="D333">
        <v>2</v>
      </c>
      <c r="E333">
        <v>15</v>
      </c>
      <c r="F333">
        <v>0</v>
      </c>
      <c r="G333">
        <v>20260330</v>
      </c>
      <c r="H333">
        <v>20260415</v>
      </c>
      <c r="I333">
        <v>4.9565999999999999</v>
      </c>
      <c r="J333">
        <f t="shared" si="51"/>
        <v>17</v>
      </c>
      <c r="K333">
        <f t="shared" si="52"/>
        <v>0.29156470588235295</v>
      </c>
      <c r="L333">
        <f t="shared" si="53"/>
        <v>0.9395955709178756</v>
      </c>
      <c r="M333">
        <f t="shared" si="54"/>
        <v>4.3734705882352944</v>
      </c>
      <c r="N333">
        <f t="shared" si="55"/>
        <v>0</v>
      </c>
      <c r="O333">
        <f t="shared" si="56"/>
        <v>5.3130661591531698</v>
      </c>
      <c r="P333">
        <f t="shared" si="57"/>
        <v>0.87655588455044497</v>
      </c>
      <c r="Q333">
        <f t="shared" si="58"/>
        <v>4.0800441154495557</v>
      </c>
      <c r="R333">
        <f t="shared" si="59"/>
        <v>0</v>
      </c>
      <c r="S333">
        <f t="shared" si="60"/>
        <v>4.9566000000000008</v>
      </c>
    </row>
    <row r="334" spans="1:19" x14ac:dyDescent="0.3">
      <c r="A334" t="s">
        <v>13</v>
      </c>
      <c r="B334" t="s">
        <v>33</v>
      </c>
      <c r="C334" t="s">
        <v>15</v>
      </c>
      <c r="D334">
        <v>0</v>
      </c>
      <c r="E334">
        <v>20</v>
      </c>
      <c r="F334">
        <v>1</v>
      </c>
      <c r="G334">
        <v>20260411</v>
      </c>
      <c r="H334">
        <v>20260501</v>
      </c>
      <c r="I334">
        <v>253.34280000000001</v>
      </c>
      <c r="J334">
        <f t="shared" si="51"/>
        <v>21</v>
      </c>
      <c r="K334">
        <f t="shared" si="52"/>
        <v>12.063942857142857</v>
      </c>
      <c r="L334">
        <f t="shared" si="53"/>
        <v>0</v>
      </c>
      <c r="M334">
        <f t="shared" si="54"/>
        <v>241.27885714285713</v>
      </c>
      <c r="N334">
        <f t="shared" si="55"/>
        <v>9.0659978553257652</v>
      </c>
      <c r="O334">
        <f t="shared" si="56"/>
        <v>250.34485499818291</v>
      </c>
      <c r="P334">
        <f t="shared" si="57"/>
        <v>0</v>
      </c>
      <c r="Q334">
        <f t="shared" si="58"/>
        <v>244.16823445329086</v>
      </c>
      <c r="R334">
        <f t="shared" si="59"/>
        <v>9.1745655467091414</v>
      </c>
      <c r="S334">
        <f t="shared" si="60"/>
        <v>253.34280000000001</v>
      </c>
    </row>
    <row r="335" spans="1:19" x14ac:dyDescent="0.3">
      <c r="A335" t="s">
        <v>13</v>
      </c>
      <c r="B335" t="s">
        <v>24</v>
      </c>
      <c r="C335" t="s">
        <v>15</v>
      </c>
      <c r="D335">
        <v>11</v>
      </c>
      <c r="E335">
        <v>2</v>
      </c>
      <c r="F335">
        <v>0</v>
      </c>
      <c r="G335">
        <v>20260321</v>
      </c>
      <c r="H335">
        <v>20260402</v>
      </c>
      <c r="I335">
        <v>2786.7714000000001</v>
      </c>
      <c r="J335">
        <f t="shared" si="51"/>
        <v>13</v>
      </c>
      <c r="K335">
        <f t="shared" si="52"/>
        <v>214.36703076923078</v>
      </c>
      <c r="L335">
        <f t="shared" si="53"/>
        <v>3799.5021252185402</v>
      </c>
      <c r="M335">
        <f t="shared" si="54"/>
        <v>428.73406153846156</v>
      </c>
      <c r="N335">
        <f t="shared" si="55"/>
        <v>0</v>
      </c>
      <c r="O335">
        <f t="shared" si="56"/>
        <v>4228.2361867570016</v>
      </c>
      <c r="P335">
        <f t="shared" si="57"/>
        <v>2504.1987696811611</v>
      </c>
      <c r="Q335">
        <f t="shared" si="58"/>
        <v>282.57263031883923</v>
      </c>
      <c r="R335">
        <f t="shared" si="59"/>
        <v>0</v>
      </c>
      <c r="S335">
        <f t="shared" si="60"/>
        <v>2786.7714000000005</v>
      </c>
    </row>
    <row r="336" spans="1:19" x14ac:dyDescent="0.3">
      <c r="A336" t="s">
        <v>13</v>
      </c>
      <c r="B336" t="s">
        <v>24</v>
      </c>
      <c r="C336" t="s">
        <v>14</v>
      </c>
      <c r="D336">
        <v>12</v>
      </c>
      <c r="E336">
        <v>2</v>
      </c>
      <c r="F336">
        <v>0</v>
      </c>
      <c r="G336">
        <v>20260320</v>
      </c>
      <c r="H336">
        <v>20260402</v>
      </c>
      <c r="I336">
        <v>144.6962</v>
      </c>
      <c r="J336">
        <f t="shared" si="51"/>
        <v>14</v>
      </c>
      <c r="K336">
        <f t="shared" si="52"/>
        <v>10.335442857142857</v>
      </c>
      <c r="L336">
        <f t="shared" si="53"/>
        <v>199.84180806777115</v>
      </c>
      <c r="M336">
        <f t="shared" si="54"/>
        <v>20.670885714285713</v>
      </c>
      <c r="N336">
        <f t="shared" si="55"/>
        <v>0</v>
      </c>
      <c r="O336">
        <f t="shared" si="56"/>
        <v>220.51269378205686</v>
      </c>
      <c r="P336">
        <f t="shared" si="57"/>
        <v>131.1323612830889</v>
      </c>
      <c r="Q336">
        <f t="shared" si="58"/>
        <v>13.563838716911119</v>
      </c>
      <c r="R336">
        <f t="shared" si="59"/>
        <v>0</v>
      </c>
      <c r="S336">
        <f t="shared" si="60"/>
        <v>144.6962</v>
      </c>
    </row>
    <row r="337" spans="1:19" x14ac:dyDescent="0.3">
      <c r="A337" t="s">
        <v>13</v>
      </c>
      <c r="B337" t="s">
        <v>33</v>
      </c>
      <c r="C337" t="s">
        <v>15</v>
      </c>
      <c r="D337">
        <v>0</v>
      </c>
      <c r="E337">
        <v>4</v>
      </c>
      <c r="F337">
        <v>8</v>
      </c>
      <c r="G337">
        <v>20260427</v>
      </c>
      <c r="H337">
        <v>20260508</v>
      </c>
      <c r="I337">
        <v>168.81219999999999</v>
      </c>
      <c r="J337">
        <f t="shared" si="51"/>
        <v>12</v>
      </c>
      <c r="K337">
        <f t="shared" si="52"/>
        <v>14.067683333333333</v>
      </c>
      <c r="L337">
        <f t="shared" si="53"/>
        <v>0</v>
      </c>
      <c r="M337">
        <f t="shared" si="54"/>
        <v>56.270733333333332</v>
      </c>
      <c r="N337">
        <f t="shared" si="55"/>
        <v>84.574397236233025</v>
      </c>
      <c r="O337">
        <f t="shared" si="56"/>
        <v>140.84513056956635</v>
      </c>
      <c r="P337">
        <f t="shared" si="57"/>
        <v>0</v>
      </c>
      <c r="Q337">
        <f t="shared" si="58"/>
        <v>67.444193854621659</v>
      </c>
      <c r="R337">
        <f t="shared" si="59"/>
        <v>101.36800614537833</v>
      </c>
      <c r="S337">
        <f t="shared" si="60"/>
        <v>168.81219999999999</v>
      </c>
    </row>
    <row r="338" spans="1:19" x14ac:dyDescent="0.3">
      <c r="A338" t="s">
        <v>13</v>
      </c>
      <c r="B338" t="s">
        <v>33</v>
      </c>
      <c r="C338" t="s">
        <v>15</v>
      </c>
      <c r="D338">
        <v>13</v>
      </c>
      <c r="E338">
        <v>15</v>
      </c>
      <c r="F338">
        <v>0</v>
      </c>
      <c r="G338">
        <v>20260319</v>
      </c>
      <c r="H338">
        <v>20260415</v>
      </c>
      <c r="I338">
        <v>4628.8311000000003</v>
      </c>
      <c r="J338">
        <f t="shared" si="51"/>
        <v>28</v>
      </c>
      <c r="K338">
        <f t="shared" si="52"/>
        <v>165.31539642857143</v>
      </c>
      <c r="L338">
        <f t="shared" si="53"/>
        <v>3462.8419438555547</v>
      </c>
      <c r="M338">
        <f t="shared" si="54"/>
        <v>2479.7309464285713</v>
      </c>
      <c r="N338">
        <f t="shared" si="55"/>
        <v>0</v>
      </c>
      <c r="O338">
        <f t="shared" si="56"/>
        <v>5942.5728902841256</v>
      </c>
      <c r="P338">
        <f t="shared" si="57"/>
        <v>2697.3014517515953</v>
      </c>
      <c r="Q338">
        <f t="shared" si="58"/>
        <v>1931.5296482484052</v>
      </c>
      <c r="R338">
        <f t="shared" si="59"/>
        <v>0</v>
      </c>
      <c r="S338">
        <f t="shared" si="60"/>
        <v>4628.8311000000003</v>
      </c>
    </row>
    <row r="339" spans="1:19" x14ac:dyDescent="0.3">
      <c r="A339" t="s">
        <v>13</v>
      </c>
      <c r="B339" t="s">
        <v>24</v>
      </c>
      <c r="C339" t="s">
        <v>15</v>
      </c>
      <c r="D339">
        <v>13</v>
      </c>
      <c r="E339">
        <v>15</v>
      </c>
      <c r="F339">
        <v>0</v>
      </c>
      <c r="G339">
        <v>20260319</v>
      </c>
      <c r="H339">
        <v>20260415</v>
      </c>
      <c r="I339">
        <v>4011.6536999999998</v>
      </c>
      <c r="J339">
        <f t="shared" si="51"/>
        <v>28</v>
      </c>
      <c r="K339">
        <f t="shared" si="52"/>
        <v>143.27334642857141</v>
      </c>
      <c r="L339">
        <f t="shared" si="53"/>
        <v>3001.1297445230452</v>
      </c>
      <c r="M339">
        <f t="shared" si="54"/>
        <v>2149.1001964285711</v>
      </c>
      <c r="N339">
        <f t="shared" si="55"/>
        <v>0</v>
      </c>
      <c r="O339">
        <f t="shared" si="56"/>
        <v>5150.2299409516163</v>
      </c>
      <c r="P339">
        <f t="shared" si="57"/>
        <v>2337.6613048021254</v>
      </c>
      <c r="Q339">
        <f t="shared" si="58"/>
        <v>1673.9923951978744</v>
      </c>
      <c r="R339">
        <f t="shared" si="59"/>
        <v>0</v>
      </c>
      <c r="S339">
        <f t="shared" si="60"/>
        <v>4011.6536999999998</v>
      </c>
    </row>
    <row r="340" spans="1:19" x14ac:dyDescent="0.3">
      <c r="A340" t="s">
        <v>13</v>
      </c>
      <c r="B340" t="s">
        <v>33</v>
      </c>
      <c r="C340" t="s">
        <v>15</v>
      </c>
      <c r="D340">
        <v>0</v>
      </c>
      <c r="E340">
        <v>9</v>
      </c>
      <c r="F340">
        <v>6</v>
      </c>
      <c r="G340">
        <v>20260422</v>
      </c>
      <c r="H340">
        <v>20260506</v>
      </c>
      <c r="I340">
        <v>5231.2186000000002</v>
      </c>
      <c r="J340">
        <f t="shared" si="51"/>
        <v>15</v>
      </c>
      <c r="K340">
        <f t="shared" si="52"/>
        <v>348.74790666666667</v>
      </c>
      <c r="L340">
        <f t="shared" si="53"/>
        <v>0</v>
      </c>
      <c r="M340">
        <f t="shared" si="54"/>
        <v>3138.7311599999998</v>
      </c>
      <c r="N340">
        <f t="shared" si="55"/>
        <v>1572.4947364206052</v>
      </c>
      <c r="O340">
        <f t="shared" si="56"/>
        <v>4711.2258964206048</v>
      </c>
      <c r="P340">
        <f t="shared" si="57"/>
        <v>0</v>
      </c>
      <c r="Q340">
        <f t="shared" si="58"/>
        <v>3485.1627125471418</v>
      </c>
      <c r="R340">
        <f t="shared" si="59"/>
        <v>1746.0558874528583</v>
      </c>
      <c r="S340">
        <f t="shared" si="60"/>
        <v>5231.2186000000002</v>
      </c>
    </row>
    <row r="341" spans="1:19" x14ac:dyDescent="0.3">
      <c r="A341" t="s">
        <v>13</v>
      </c>
      <c r="B341" t="s">
        <v>33</v>
      </c>
      <c r="C341" t="s">
        <v>14</v>
      </c>
      <c r="D341">
        <v>0</v>
      </c>
      <c r="E341">
        <v>29</v>
      </c>
      <c r="F341">
        <v>5</v>
      </c>
      <c r="G341">
        <v>20260402</v>
      </c>
      <c r="H341">
        <v>20260505</v>
      </c>
      <c r="I341">
        <v>25215.563399999999</v>
      </c>
      <c r="J341">
        <f t="shared" si="51"/>
        <v>34</v>
      </c>
      <c r="K341">
        <f t="shared" si="52"/>
        <v>741.63421764705879</v>
      </c>
      <c r="L341">
        <f t="shared" si="53"/>
        <v>0</v>
      </c>
      <c r="M341">
        <f t="shared" si="54"/>
        <v>21507.392311764706</v>
      </c>
      <c r="N341">
        <f t="shared" si="55"/>
        <v>2786.6736050740969</v>
      </c>
      <c r="O341">
        <f t="shared" si="56"/>
        <v>24294.065916838805</v>
      </c>
      <c r="P341">
        <f t="shared" si="57"/>
        <v>0</v>
      </c>
      <c r="Q341">
        <f t="shared" si="58"/>
        <v>22323.188562276835</v>
      </c>
      <c r="R341">
        <f t="shared" si="59"/>
        <v>2892.3748377231623</v>
      </c>
      <c r="S341">
        <f t="shared" si="60"/>
        <v>25215.563399999999</v>
      </c>
    </row>
    <row r="342" spans="1:19" x14ac:dyDescent="0.3">
      <c r="A342" t="s">
        <v>13</v>
      </c>
      <c r="B342" t="s">
        <v>33</v>
      </c>
      <c r="C342" t="s">
        <v>15</v>
      </c>
      <c r="D342">
        <v>15</v>
      </c>
      <c r="E342">
        <v>15</v>
      </c>
      <c r="F342">
        <v>0</v>
      </c>
      <c r="G342">
        <v>20260317</v>
      </c>
      <c r="H342">
        <v>20260415</v>
      </c>
      <c r="I342">
        <v>3418850.8009000001</v>
      </c>
      <c r="J342">
        <f t="shared" si="51"/>
        <v>30</v>
      </c>
      <c r="K342">
        <f t="shared" si="52"/>
        <v>113961.69336333334</v>
      </c>
      <c r="L342">
        <f t="shared" si="53"/>
        <v>2754394.655238945</v>
      </c>
      <c r="M342">
        <f t="shared" si="54"/>
        <v>1709425.4004500001</v>
      </c>
      <c r="N342">
        <f t="shared" si="55"/>
        <v>0</v>
      </c>
      <c r="O342">
        <f t="shared" si="56"/>
        <v>4463820.0556889456</v>
      </c>
      <c r="P342">
        <f t="shared" si="57"/>
        <v>2109597.666477832</v>
      </c>
      <c r="Q342">
        <f t="shared" si="58"/>
        <v>1309253.1344221674</v>
      </c>
      <c r="R342">
        <f t="shared" si="59"/>
        <v>0</v>
      </c>
      <c r="S342">
        <f t="shared" si="60"/>
        <v>3418850.8008999992</v>
      </c>
    </row>
    <row r="343" spans="1:19" x14ac:dyDescent="0.3">
      <c r="A343" t="s">
        <v>13</v>
      </c>
      <c r="B343" t="s">
        <v>24</v>
      </c>
      <c r="C343" t="s">
        <v>15</v>
      </c>
      <c r="D343">
        <v>15</v>
      </c>
      <c r="E343">
        <v>15</v>
      </c>
      <c r="F343">
        <v>0</v>
      </c>
      <c r="G343">
        <v>20260317</v>
      </c>
      <c r="H343">
        <v>20260415</v>
      </c>
      <c r="I343">
        <v>3418850.8084</v>
      </c>
      <c r="J343">
        <f t="shared" si="51"/>
        <v>30</v>
      </c>
      <c r="K343">
        <f t="shared" si="52"/>
        <v>113961.69361333334</v>
      </c>
      <c r="L343">
        <f t="shared" si="53"/>
        <v>2754394.6612813142</v>
      </c>
      <c r="M343">
        <f t="shared" si="54"/>
        <v>1709425.4042</v>
      </c>
      <c r="N343">
        <f t="shared" si="55"/>
        <v>0</v>
      </c>
      <c r="O343">
        <f t="shared" si="56"/>
        <v>4463820.0654813144</v>
      </c>
      <c r="P343">
        <f t="shared" si="57"/>
        <v>2109597.6711056978</v>
      </c>
      <c r="Q343">
        <f t="shared" si="58"/>
        <v>1309253.1372943018</v>
      </c>
      <c r="R343">
        <f t="shared" si="59"/>
        <v>0</v>
      </c>
      <c r="S343">
        <f t="shared" si="60"/>
        <v>3418850.8083999995</v>
      </c>
    </row>
    <row r="344" spans="1:19" x14ac:dyDescent="0.3">
      <c r="A344" t="s">
        <v>13</v>
      </c>
      <c r="B344" t="s">
        <v>24</v>
      </c>
      <c r="C344" t="s">
        <v>14</v>
      </c>
      <c r="D344">
        <v>15</v>
      </c>
      <c r="E344">
        <v>16</v>
      </c>
      <c r="F344">
        <v>0</v>
      </c>
      <c r="G344">
        <v>20260317</v>
      </c>
      <c r="H344">
        <v>20260416</v>
      </c>
      <c r="I344">
        <v>3452355.0290000001</v>
      </c>
      <c r="J344">
        <f t="shared" si="51"/>
        <v>31</v>
      </c>
      <c r="K344">
        <f t="shared" si="52"/>
        <v>111366.29125806452</v>
      </c>
      <c r="L344">
        <f t="shared" si="53"/>
        <v>2691665.1408208273</v>
      </c>
      <c r="M344">
        <f t="shared" si="54"/>
        <v>1781860.6601290323</v>
      </c>
      <c r="N344">
        <f t="shared" si="55"/>
        <v>0</v>
      </c>
      <c r="O344">
        <f t="shared" si="56"/>
        <v>4473525.8009498594</v>
      </c>
      <c r="P344">
        <f t="shared" si="57"/>
        <v>2077239.3183300053</v>
      </c>
      <c r="Q344">
        <f t="shared" si="58"/>
        <v>1375115.7106699951</v>
      </c>
      <c r="R344">
        <f t="shared" si="59"/>
        <v>0</v>
      </c>
      <c r="S344">
        <f t="shared" si="60"/>
        <v>3452355.0290000001</v>
      </c>
    </row>
    <row r="345" spans="1:19" x14ac:dyDescent="0.3">
      <c r="A345" t="s">
        <v>13</v>
      </c>
      <c r="B345" t="s">
        <v>33</v>
      </c>
      <c r="C345" t="s">
        <v>15</v>
      </c>
      <c r="D345">
        <v>0</v>
      </c>
      <c r="E345">
        <v>28</v>
      </c>
      <c r="F345">
        <v>2</v>
      </c>
      <c r="G345">
        <v>20260403</v>
      </c>
      <c r="H345">
        <v>20260502</v>
      </c>
      <c r="I345">
        <v>7206147.3844999997</v>
      </c>
      <c r="J345">
        <f t="shared" si="51"/>
        <v>30</v>
      </c>
      <c r="K345">
        <f t="shared" si="52"/>
        <v>240204.91281666665</v>
      </c>
      <c r="L345">
        <f t="shared" si="53"/>
        <v>0</v>
      </c>
      <c r="M345">
        <f t="shared" si="54"/>
        <v>6725737.5588666666</v>
      </c>
      <c r="N345">
        <f t="shared" si="55"/>
        <v>361025.78571900883</v>
      </c>
      <c r="O345">
        <f t="shared" si="56"/>
        <v>7086763.3445856757</v>
      </c>
      <c r="P345">
        <f t="shared" si="57"/>
        <v>0</v>
      </c>
      <c r="Q345">
        <f t="shared" si="58"/>
        <v>6839039.7367635006</v>
      </c>
      <c r="R345">
        <f t="shared" si="59"/>
        <v>367107.64773649914</v>
      </c>
      <c r="S345">
        <f t="shared" si="60"/>
        <v>7206147.3844999997</v>
      </c>
    </row>
    <row r="346" spans="1:19" x14ac:dyDescent="0.3">
      <c r="A346" t="s">
        <v>13</v>
      </c>
      <c r="B346" t="s">
        <v>33</v>
      </c>
      <c r="C346" t="s">
        <v>15</v>
      </c>
      <c r="D346">
        <v>27</v>
      </c>
      <c r="E346">
        <v>3</v>
      </c>
      <c r="F346">
        <v>0</v>
      </c>
      <c r="G346">
        <v>20260305</v>
      </c>
      <c r="H346">
        <v>20260403</v>
      </c>
      <c r="I346">
        <v>717457.83680000005</v>
      </c>
      <c r="J346">
        <f t="shared" si="51"/>
        <v>30</v>
      </c>
      <c r="K346">
        <f t="shared" si="52"/>
        <v>23915.261226666669</v>
      </c>
      <c r="L346">
        <f t="shared" si="53"/>
        <v>1040434.8896821693</v>
      </c>
      <c r="M346">
        <f t="shared" si="54"/>
        <v>71745.783680000008</v>
      </c>
      <c r="N346">
        <f t="shared" si="55"/>
        <v>0</v>
      </c>
      <c r="O346">
        <f t="shared" si="56"/>
        <v>1112180.6733621694</v>
      </c>
      <c r="P346">
        <f t="shared" si="57"/>
        <v>671175.27139364043</v>
      </c>
      <c r="Q346">
        <f t="shared" si="58"/>
        <v>46282.565406359492</v>
      </c>
      <c r="R346">
        <f t="shared" si="59"/>
        <v>0</v>
      </c>
      <c r="S346">
        <f t="shared" si="60"/>
        <v>717457.83679999993</v>
      </c>
    </row>
    <row r="347" spans="1:19" x14ac:dyDescent="0.3">
      <c r="A347" t="s">
        <v>13</v>
      </c>
      <c r="B347" t="s">
        <v>24</v>
      </c>
      <c r="C347" t="s">
        <v>14</v>
      </c>
      <c r="D347">
        <v>30</v>
      </c>
      <c r="E347">
        <v>2</v>
      </c>
      <c r="F347">
        <v>0</v>
      </c>
      <c r="G347">
        <v>20260302</v>
      </c>
      <c r="H347">
        <v>20260402</v>
      </c>
      <c r="I347">
        <v>1332522.9686</v>
      </c>
      <c r="J347">
        <f t="shared" si="51"/>
        <v>32</v>
      </c>
      <c r="K347">
        <f t="shared" si="52"/>
        <v>41641.342768750001</v>
      </c>
      <c r="L347">
        <f t="shared" si="53"/>
        <v>2012899.0465864914</v>
      </c>
      <c r="M347">
        <f t="shared" si="54"/>
        <v>83282.685537500001</v>
      </c>
      <c r="N347">
        <f t="shared" si="55"/>
        <v>0</v>
      </c>
      <c r="O347">
        <f t="shared" si="56"/>
        <v>2096181.7321239915</v>
      </c>
      <c r="P347">
        <f t="shared" si="57"/>
        <v>1279580.9504225201</v>
      </c>
      <c r="Q347">
        <f t="shared" si="58"/>
        <v>52942.018177479964</v>
      </c>
      <c r="R347">
        <f t="shared" si="59"/>
        <v>0</v>
      </c>
      <c r="S347">
        <f t="shared" si="60"/>
        <v>1332522.9686</v>
      </c>
    </row>
    <row r="348" spans="1:19" x14ac:dyDescent="0.3">
      <c r="A348" t="s">
        <v>13</v>
      </c>
      <c r="B348" t="s">
        <v>33</v>
      </c>
      <c r="C348" t="s">
        <v>15</v>
      </c>
      <c r="D348">
        <v>0</v>
      </c>
      <c r="E348">
        <v>23</v>
      </c>
      <c r="F348">
        <v>7</v>
      </c>
      <c r="G348">
        <v>20260408</v>
      </c>
      <c r="H348">
        <v>20260507</v>
      </c>
      <c r="I348">
        <v>897510.87879999995</v>
      </c>
      <c r="J348">
        <f t="shared" si="51"/>
        <v>30</v>
      </c>
      <c r="K348">
        <f t="shared" si="52"/>
        <v>29917.029293333333</v>
      </c>
      <c r="L348">
        <f t="shared" si="53"/>
        <v>0</v>
      </c>
      <c r="M348">
        <f t="shared" si="54"/>
        <v>688091.67374666664</v>
      </c>
      <c r="N348">
        <f t="shared" si="55"/>
        <v>157377.57434365011</v>
      </c>
      <c r="O348">
        <f t="shared" si="56"/>
        <v>845469.24809031677</v>
      </c>
      <c r="P348">
        <f t="shared" si="57"/>
        <v>0</v>
      </c>
      <c r="Q348">
        <f t="shared" si="58"/>
        <v>730446.15660978144</v>
      </c>
      <c r="R348">
        <f t="shared" si="59"/>
        <v>167064.72219021854</v>
      </c>
      <c r="S348">
        <f t="shared" si="60"/>
        <v>897510.87879999995</v>
      </c>
    </row>
    <row r="349" spans="1:19" x14ac:dyDescent="0.3">
      <c r="A349" t="s">
        <v>13</v>
      </c>
      <c r="B349" t="s">
        <v>33</v>
      </c>
      <c r="C349" t="s">
        <v>15</v>
      </c>
      <c r="D349">
        <v>28</v>
      </c>
      <c r="E349">
        <v>2</v>
      </c>
      <c r="F349">
        <v>0</v>
      </c>
      <c r="G349">
        <v>20260304</v>
      </c>
      <c r="H349">
        <v>20260402</v>
      </c>
      <c r="I349">
        <v>760980.86270000006</v>
      </c>
      <c r="J349">
        <f t="shared" si="51"/>
        <v>30</v>
      </c>
      <c r="K349">
        <f t="shared" si="52"/>
        <v>25366.02875666667</v>
      </c>
      <c r="L349">
        <f t="shared" si="53"/>
        <v>1144422.8641864168</v>
      </c>
      <c r="M349">
        <f t="shared" si="54"/>
        <v>50732.05751333334</v>
      </c>
      <c r="N349">
        <f t="shared" si="55"/>
        <v>0</v>
      </c>
      <c r="O349">
        <f t="shared" si="56"/>
        <v>1195154.9216997502</v>
      </c>
      <c r="P349">
        <f t="shared" si="57"/>
        <v>728678.66974401334</v>
      </c>
      <c r="Q349">
        <f t="shared" si="58"/>
        <v>32302.192955986629</v>
      </c>
      <c r="R349">
        <f t="shared" si="59"/>
        <v>0</v>
      </c>
      <c r="S349">
        <f t="shared" si="60"/>
        <v>760980.86269999994</v>
      </c>
    </row>
    <row r="350" spans="1:19" x14ac:dyDescent="0.3">
      <c r="A350" t="s">
        <v>13</v>
      </c>
      <c r="B350" t="s">
        <v>24</v>
      </c>
      <c r="C350" t="s">
        <v>15</v>
      </c>
      <c r="D350">
        <v>29</v>
      </c>
      <c r="E350">
        <v>1</v>
      </c>
      <c r="F350">
        <v>0</v>
      </c>
      <c r="G350">
        <v>20260303</v>
      </c>
      <c r="H350">
        <v>20260401</v>
      </c>
      <c r="I350">
        <v>5887049.9649</v>
      </c>
      <c r="J350">
        <f t="shared" si="51"/>
        <v>30</v>
      </c>
      <c r="K350">
        <f t="shared" si="52"/>
        <v>196234.99883</v>
      </c>
      <c r="L350">
        <f t="shared" si="53"/>
        <v>9169601.8570747133</v>
      </c>
      <c r="M350">
        <f t="shared" si="54"/>
        <v>196234.99883</v>
      </c>
      <c r="N350">
        <f t="shared" si="55"/>
        <v>0</v>
      </c>
      <c r="O350">
        <f t="shared" si="56"/>
        <v>9365836.8559047133</v>
      </c>
      <c r="P350">
        <f t="shared" si="57"/>
        <v>5763703.2463154271</v>
      </c>
      <c r="Q350">
        <f t="shared" si="58"/>
        <v>123346.71858457325</v>
      </c>
      <c r="R350">
        <f t="shared" si="59"/>
        <v>0</v>
      </c>
      <c r="S350">
        <f t="shared" si="60"/>
        <v>5887049.9649</v>
      </c>
    </row>
    <row r="351" spans="1:19" x14ac:dyDescent="0.3">
      <c r="A351" t="s">
        <v>13</v>
      </c>
      <c r="B351" t="s">
        <v>24</v>
      </c>
      <c r="C351" t="s">
        <v>14</v>
      </c>
      <c r="D351">
        <v>30</v>
      </c>
      <c r="E351">
        <v>3</v>
      </c>
      <c r="F351">
        <v>0</v>
      </c>
      <c r="G351">
        <v>20260302</v>
      </c>
      <c r="H351">
        <v>20260403</v>
      </c>
      <c r="I351">
        <v>643399.62580000004</v>
      </c>
      <c r="J351">
        <f t="shared" si="51"/>
        <v>33</v>
      </c>
      <c r="K351">
        <f t="shared" si="52"/>
        <v>19496.958357575757</v>
      </c>
      <c r="L351">
        <f t="shared" si="53"/>
        <v>942462.61719381262</v>
      </c>
      <c r="M351">
        <f t="shared" si="54"/>
        <v>58490.875072727271</v>
      </c>
      <c r="N351">
        <f t="shared" si="55"/>
        <v>0</v>
      </c>
      <c r="O351">
        <f t="shared" si="56"/>
        <v>1000953.4922665399</v>
      </c>
      <c r="P351">
        <f t="shared" si="57"/>
        <v>605802.46726539929</v>
      </c>
      <c r="Q351">
        <f t="shared" si="58"/>
        <v>37597.158534600661</v>
      </c>
      <c r="R351">
        <f t="shared" si="59"/>
        <v>0</v>
      </c>
      <c r="S351">
        <f t="shared" si="60"/>
        <v>643399.62579999992</v>
      </c>
    </row>
    <row r="352" spans="1:19" x14ac:dyDescent="0.3">
      <c r="A352" t="s">
        <v>13</v>
      </c>
      <c r="B352" t="s">
        <v>24</v>
      </c>
      <c r="C352" t="s">
        <v>14</v>
      </c>
      <c r="D352">
        <v>14</v>
      </c>
      <c r="E352">
        <v>15</v>
      </c>
      <c r="F352">
        <v>0</v>
      </c>
      <c r="G352">
        <v>20260318</v>
      </c>
      <c r="H352">
        <v>20260415</v>
      </c>
      <c r="I352">
        <v>562281.30740000005</v>
      </c>
      <c r="J352">
        <f t="shared" si="51"/>
        <v>29</v>
      </c>
      <c r="K352">
        <f t="shared" si="52"/>
        <v>19389.010600000001</v>
      </c>
      <c r="L352">
        <f t="shared" si="53"/>
        <v>437380.78312240832</v>
      </c>
      <c r="M352">
        <f t="shared" si="54"/>
        <v>290835.15900000004</v>
      </c>
      <c r="N352">
        <f t="shared" si="55"/>
        <v>0</v>
      </c>
      <c r="O352">
        <f t="shared" si="56"/>
        <v>728215.94212240842</v>
      </c>
      <c r="P352">
        <f t="shared" si="57"/>
        <v>337717.18571407523</v>
      </c>
      <c r="Q352">
        <f t="shared" si="58"/>
        <v>224564.12168592482</v>
      </c>
      <c r="R352">
        <f t="shared" si="59"/>
        <v>0</v>
      </c>
      <c r="S352">
        <f t="shared" si="60"/>
        <v>562281.30740000005</v>
      </c>
    </row>
    <row r="353" spans="1:19" x14ac:dyDescent="0.3">
      <c r="A353" t="s">
        <v>13</v>
      </c>
      <c r="B353" t="s">
        <v>33</v>
      </c>
      <c r="C353" t="s">
        <v>15</v>
      </c>
      <c r="D353">
        <v>16</v>
      </c>
      <c r="E353">
        <v>15</v>
      </c>
      <c r="F353">
        <v>0</v>
      </c>
      <c r="G353">
        <v>20260316</v>
      </c>
      <c r="H353">
        <v>20260415</v>
      </c>
      <c r="I353">
        <v>2620521.6354</v>
      </c>
      <c r="J353">
        <f t="shared" si="51"/>
        <v>31</v>
      </c>
      <c r="K353">
        <f t="shared" si="52"/>
        <v>84532.955980645158</v>
      </c>
      <c r="L353">
        <f t="shared" si="53"/>
        <v>2179325.2594313342</v>
      </c>
      <c r="M353">
        <f t="shared" si="54"/>
        <v>1267994.3397096773</v>
      </c>
      <c r="N353">
        <f t="shared" si="55"/>
        <v>0</v>
      </c>
      <c r="O353">
        <f t="shared" si="56"/>
        <v>3447319.5991410115</v>
      </c>
      <c r="P353">
        <f t="shared" si="57"/>
        <v>1656640.4212526639</v>
      </c>
      <c r="Q353">
        <f t="shared" si="58"/>
        <v>963881.21414733632</v>
      </c>
      <c r="R353">
        <f t="shared" si="59"/>
        <v>0</v>
      </c>
      <c r="S353">
        <f t="shared" si="60"/>
        <v>2620521.6354</v>
      </c>
    </row>
    <row r="354" spans="1:19" x14ac:dyDescent="0.3">
      <c r="A354" t="s">
        <v>13</v>
      </c>
      <c r="B354" t="s">
        <v>33</v>
      </c>
      <c r="C354" t="s">
        <v>15</v>
      </c>
      <c r="D354">
        <v>0</v>
      </c>
      <c r="E354">
        <v>26</v>
      </c>
      <c r="F354">
        <v>4</v>
      </c>
      <c r="G354">
        <v>20260405</v>
      </c>
      <c r="H354">
        <v>20260504</v>
      </c>
      <c r="I354">
        <v>965409.89879999997</v>
      </c>
      <c r="J354">
        <f t="shared" si="51"/>
        <v>30</v>
      </c>
      <c r="K354">
        <f t="shared" si="52"/>
        <v>32180.329959999999</v>
      </c>
      <c r="L354">
        <f t="shared" si="53"/>
        <v>0</v>
      </c>
      <c r="M354">
        <f t="shared" si="54"/>
        <v>836688.57895999996</v>
      </c>
      <c r="N354">
        <f t="shared" si="55"/>
        <v>96733.482860720644</v>
      </c>
      <c r="O354">
        <f t="shared" si="56"/>
        <v>933422.06182072056</v>
      </c>
      <c r="P354">
        <f t="shared" si="57"/>
        <v>0</v>
      </c>
      <c r="Q354">
        <f t="shared" si="58"/>
        <v>865361.41514087212</v>
      </c>
      <c r="R354">
        <f t="shared" si="59"/>
        <v>100048.48365912792</v>
      </c>
      <c r="S354">
        <f t="shared" si="60"/>
        <v>965409.89880000008</v>
      </c>
    </row>
    <row r="355" spans="1:19" x14ac:dyDescent="0.3">
      <c r="A355" t="s">
        <v>13</v>
      </c>
      <c r="B355" t="s">
        <v>33</v>
      </c>
      <c r="C355" t="s">
        <v>15</v>
      </c>
      <c r="D355">
        <v>27</v>
      </c>
      <c r="E355">
        <v>4</v>
      </c>
      <c r="F355">
        <v>0</v>
      </c>
      <c r="G355">
        <v>20260305</v>
      </c>
      <c r="H355">
        <v>20260404</v>
      </c>
      <c r="I355">
        <v>229933.7438</v>
      </c>
      <c r="J355">
        <f t="shared" si="51"/>
        <v>31</v>
      </c>
      <c r="K355">
        <f t="shared" si="52"/>
        <v>7417.2175419354835</v>
      </c>
      <c r="L355">
        <f t="shared" si="53"/>
        <v>322686.49887826951</v>
      </c>
      <c r="M355">
        <f t="shared" si="54"/>
        <v>29668.870167741934</v>
      </c>
      <c r="N355">
        <f t="shared" si="55"/>
        <v>0</v>
      </c>
      <c r="O355">
        <f t="shared" si="56"/>
        <v>352355.36904601147</v>
      </c>
      <c r="P355">
        <f t="shared" si="57"/>
        <v>210572.96490664867</v>
      </c>
      <c r="Q355">
        <f t="shared" si="58"/>
        <v>19360.778893351329</v>
      </c>
      <c r="R355">
        <f t="shared" si="59"/>
        <v>0</v>
      </c>
      <c r="S355">
        <f t="shared" si="60"/>
        <v>229933.7438</v>
      </c>
    </row>
    <row r="356" spans="1:19" x14ac:dyDescent="0.3">
      <c r="A356" t="s">
        <v>13</v>
      </c>
      <c r="B356" t="s">
        <v>24</v>
      </c>
      <c r="C356" t="s">
        <v>15</v>
      </c>
      <c r="D356">
        <v>27</v>
      </c>
      <c r="E356">
        <v>4</v>
      </c>
      <c r="F356">
        <v>0</v>
      </c>
      <c r="G356">
        <v>20260305</v>
      </c>
      <c r="H356">
        <v>20260404</v>
      </c>
      <c r="I356">
        <v>1552052.7705999999</v>
      </c>
      <c r="J356">
        <f t="shared" si="51"/>
        <v>31</v>
      </c>
      <c r="K356">
        <f t="shared" si="52"/>
        <v>50066.218406451611</v>
      </c>
      <c r="L356">
        <f t="shared" si="53"/>
        <v>2178133.8673581495</v>
      </c>
      <c r="M356">
        <f t="shared" si="54"/>
        <v>200264.87362580645</v>
      </c>
      <c r="N356">
        <f t="shared" si="55"/>
        <v>0</v>
      </c>
      <c r="O356">
        <f t="shared" si="56"/>
        <v>2378398.740983956</v>
      </c>
      <c r="P356">
        <f t="shared" si="57"/>
        <v>1421367.5130740886</v>
      </c>
      <c r="Q356">
        <f t="shared" si="58"/>
        <v>130685.25752591141</v>
      </c>
      <c r="R356">
        <f t="shared" si="59"/>
        <v>0</v>
      </c>
      <c r="S356">
        <f t="shared" si="60"/>
        <v>1552052.7705999999</v>
      </c>
    </row>
    <row r="357" spans="1:19" x14ac:dyDescent="0.3">
      <c r="A357" t="s">
        <v>13</v>
      </c>
      <c r="B357" t="s">
        <v>33</v>
      </c>
      <c r="C357" t="s">
        <v>15</v>
      </c>
      <c r="D357">
        <v>0</v>
      </c>
      <c r="E357">
        <v>29</v>
      </c>
      <c r="F357">
        <v>7</v>
      </c>
      <c r="G357">
        <v>20260402</v>
      </c>
      <c r="H357">
        <v>20260507</v>
      </c>
      <c r="I357">
        <v>1203389.8407000001</v>
      </c>
      <c r="J357">
        <f t="shared" si="51"/>
        <v>36</v>
      </c>
      <c r="K357">
        <f t="shared" si="52"/>
        <v>33427.495575000001</v>
      </c>
      <c r="L357">
        <f t="shared" si="53"/>
        <v>0</v>
      </c>
      <c r="M357">
        <f t="shared" si="54"/>
        <v>969397.37167500006</v>
      </c>
      <c r="N357">
        <f t="shared" si="55"/>
        <v>175844.26977677536</v>
      </c>
      <c r="O357">
        <f t="shared" si="56"/>
        <v>1145241.6414517753</v>
      </c>
      <c r="P357">
        <f t="shared" si="57"/>
        <v>0</v>
      </c>
      <c r="Q357">
        <f t="shared" si="58"/>
        <v>1018617.3000103049</v>
      </c>
      <c r="R357">
        <f t="shared" si="59"/>
        <v>184772.54068969525</v>
      </c>
      <c r="S357">
        <f t="shared" si="60"/>
        <v>1203389.8407000001</v>
      </c>
    </row>
    <row r="358" spans="1:19" x14ac:dyDescent="0.3">
      <c r="A358" t="s">
        <v>13</v>
      </c>
      <c r="B358" t="s">
        <v>24</v>
      </c>
      <c r="C358" t="s">
        <v>15</v>
      </c>
      <c r="D358">
        <v>25</v>
      </c>
      <c r="E358">
        <v>2</v>
      </c>
      <c r="F358">
        <v>0</v>
      </c>
      <c r="G358">
        <v>20260307</v>
      </c>
      <c r="H358">
        <v>20260402</v>
      </c>
      <c r="I358">
        <v>618825.4656</v>
      </c>
      <c r="J358">
        <f t="shared" si="51"/>
        <v>27</v>
      </c>
      <c r="K358">
        <f t="shared" si="52"/>
        <v>22919.461688888889</v>
      </c>
      <c r="L358">
        <f t="shared" si="53"/>
        <v>923252.38001334795</v>
      </c>
      <c r="M358">
        <f t="shared" si="54"/>
        <v>45838.923377777777</v>
      </c>
      <c r="N358">
        <f t="shared" si="55"/>
        <v>0</v>
      </c>
      <c r="O358">
        <f t="shared" si="56"/>
        <v>969091.30339112575</v>
      </c>
      <c r="P358">
        <f t="shared" si="57"/>
        <v>589554.4433520505</v>
      </c>
      <c r="Q358">
        <f t="shared" si="58"/>
        <v>29271.022247949535</v>
      </c>
      <c r="R358">
        <f t="shared" si="59"/>
        <v>0</v>
      </c>
      <c r="S358">
        <f t="shared" si="60"/>
        <v>618825.4656</v>
      </c>
    </row>
    <row r="359" spans="1:19" x14ac:dyDescent="0.3">
      <c r="A359" t="s">
        <v>13</v>
      </c>
      <c r="B359" t="s">
        <v>33</v>
      </c>
      <c r="C359" t="s">
        <v>14</v>
      </c>
      <c r="D359">
        <v>0</v>
      </c>
      <c r="E359">
        <v>28</v>
      </c>
      <c r="F359">
        <v>2</v>
      </c>
      <c r="G359">
        <v>20260403</v>
      </c>
      <c r="H359">
        <v>20260502</v>
      </c>
      <c r="I359">
        <v>708169.36360000004</v>
      </c>
      <c r="J359">
        <f t="shared" si="51"/>
        <v>30</v>
      </c>
      <c r="K359">
        <f t="shared" si="52"/>
        <v>23605.645453333334</v>
      </c>
      <c r="L359">
        <f t="shared" si="53"/>
        <v>0</v>
      </c>
      <c r="M359">
        <f t="shared" si="54"/>
        <v>660958.07269333338</v>
      </c>
      <c r="N359">
        <f t="shared" si="55"/>
        <v>35479.069088393342</v>
      </c>
      <c r="O359">
        <f t="shared" si="56"/>
        <v>696437.14178172674</v>
      </c>
      <c r="P359">
        <f t="shared" si="57"/>
        <v>0</v>
      </c>
      <c r="Q359">
        <f t="shared" si="58"/>
        <v>672092.61198797508</v>
      </c>
      <c r="R359">
        <f t="shared" si="59"/>
        <v>36076.751612024935</v>
      </c>
      <c r="S359">
        <f t="shared" si="60"/>
        <v>708169.36360000004</v>
      </c>
    </row>
    <row r="360" spans="1:19" x14ac:dyDescent="0.3">
      <c r="A360" t="s">
        <v>13</v>
      </c>
      <c r="B360" t="s">
        <v>33</v>
      </c>
      <c r="C360" t="s">
        <v>14</v>
      </c>
      <c r="D360">
        <v>26</v>
      </c>
      <c r="E360">
        <v>1</v>
      </c>
      <c r="F360">
        <v>0</v>
      </c>
      <c r="G360">
        <v>20260306</v>
      </c>
      <c r="H360">
        <v>20260401</v>
      </c>
      <c r="I360">
        <v>9539.3495999999996</v>
      </c>
      <c r="J360">
        <f t="shared" si="51"/>
        <v>27</v>
      </c>
      <c r="K360">
        <f t="shared" si="52"/>
        <v>353.3092444444444</v>
      </c>
      <c r="L360">
        <f t="shared" si="53"/>
        <v>14801.453430779035</v>
      </c>
      <c r="M360">
        <f t="shared" si="54"/>
        <v>353.3092444444444</v>
      </c>
      <c r="N360">
        <f t="shared" si="55"/>
        <v>0</v>
      </c>
      <c r="O360">
        <f t="shared" si="56"/>
        <v>15154.762675223479</v>
      </c>
      <c r="P360">
        <f t="shared" si="57"/>
        <v>9316.9548009591945</v>
      </c>
      <c r="Q360">
        <f t="shared" si="58"/>
        <v>222.39479904080466</v>
      </c>
      <c r="R360">
        <f t="shared" si="59"/>
        <v>0</v>
      </c>
      <c r="S360">
        <f t="shared" si="60"/>
        <v>9539.3495999999996</v>
      </c>
    </row>
    <row r="361" spans="1:19" x14ac:dyDescent="0.3">
      <c r="A361" t="s">
        <v>13</v>
      </c>
      <c r="B361" t="s">
        <v>33</v>
      </c>
      <c r="C361" t="s">
        <v>15</v>
      </c>
      <c r="D361">
        <v>0</v>
      </c>
      <c r="E361">
        <v>29</v>
      </c>
      <c r="F361">
        <v>8</v>
      </c>
      <c r="G361">
        <v>20260402</v>
      </c>
      <c r="H361">
        <v>20260508</v>
      </c>
      <c r="I361">
        <v>232665.2585</v>
      </c>
      <c r="J361">
        <f t="shared" si="51"/>
        <v>37</v>
      </c>
      <c r="K361">
        <f t="shared" si="52"/>
        <v>6288.2502297297297</v>
      </c>
      <c r="L361">
        <f t="shared" si="53"/>
        <v>0</v>
      </c>
      <c r="M361">
        <f t="shared" si="54"/>
        <v>182359.25666216217</v>
      </c>
      <c r="N361">
        <f t="shared" si="55"/>
        <v>37804.730192485789</v>
      </c>
      <c r="O361">
        <f t="shared" si="56"/>
        <v>220163.98685464796</v>
      </c>
      <c r="P361">
        <f t="shared" si="57"/>
        <v>0</v>
      </c>
      <c r="Q361">
        <f t="shared" si="58"/>
        <v>192713.91382997241</v>
      </c>
      <c r="R361">
        <f t="shared" si="59"/>
        <v>39951.344670027574</v>
      </c>
      <c r="S361">
        <f t="shared" si="60"/>
        <v>232665.2585</v>
      </c>
    </row>
    <row r="362" spans="1:19" x14ac:dyDescent="0.3">
      <c r="A362" t="s">
        <v>13</v>
      </c>
      <c r="B362" t="s">
        <v>24</v>
      </c>
      <c r="C362" t="s">
        <v>15</v>
      </c>
      <c r="D362">
        <v>30</v>
      </c>
      <c r="E362">
        <v>3</v>
      </c>
      <c r="F362">
        <v>0</v>
      </c>
      <c r="G362">
        <v>20260302</v>
      </c>
      <c r="H362">
        <v>20260403</v>
      </c>
      <c r="I362">
        <v>2923093.6124</v>
      </c>
      <c r="J362">
        <f t="shared" si="51"/>
        <v>33</v>
      </c>
      <c r="K362">
        <f t="shared" si="52"/>
        <v>88578.594315151509</v>
      </c>
      <c r="L362">
        <f t="shared" si="53"/>
        <v>4281796.7959175957</v>
      </c>
      <c r="M362">
        <f t="shared" si="54"/>
        <v>265735.78294545453</v>
      </c>
      <c r="N362">
        <f t="shared" si="55"/>
        <v>0</v>
      </c>
      <c r="O362">
        <f t="shared" si="56"/>
        <v>4547532.5788630499</v>
      </c>
      <c r="P362">
        <f t="shared" si="57"/>
        <v>2752282.1764744162</v>
      </c>
      <c r="Q362">
        <f t="shared" si="58"/>
        <v>170811.43592558385</v>
      </c>
      <c r="R362">
        <f t="shared" si="59"/>
        <v>0</v>
      </c>
      <c r="S362">
        <f t="shared" si="60"/>
        <v>2923093.6124</v>
      </c>
    </row>
    <row r="363" spans="1:19" x14ac:dyDescent="0.3">
      <c r="A363" t="s">
        <v>13</v>
      </c>
      <c r="B363" t="s">
        <v>33</v>
      </c>
      <c r="C363" t="s">
        <v>14</v>
      </c>
      <c r="D363">
        <v>26</v>
      </c>
      <c r="E363">
        <v>7</v>
      </c>
      <c r="F363">
        <v>0</v>
      </c>
      <c r="G363">
        <v>20260306</v>
      </c>
      <c r="H363">
        <v>20260407</v>
      </c>
      <c r="I363">
        <v>94205.749100000001</v>
      </c>
      <c r="J363">
        <f t="shared" si="51"/>
        <v>33</v>
      </c>
      <c r="K363">
        <f t="shared" si="52"/>
        <v>2854.7196696969695</v>
      </c>
      <c r="L363">
        <f t="shared" si="53"/>
        <v>119594.94667452091</v>
      </c>
      <c r="M363">
        <f t="shared" si="54"/>
        <v>19983.037687878787</v>
      </c>
      <c r="N363">
        <f t="shared" si="55"/>
        <v>0</v>
      </c>
      <c r="O363">
        <f t="shared" si="56"/>
        <v>139577.9843623997</v>
      </c>
      <c r="P363">
        <f t="shared" si="57"/>
        <v>80718.543053289977</v>
      </c>
      <c r="Q363">
        <f t="shared" si="58"/>
        <v>13487.206046710015</v>
      </c>
      <c r="R363">
        <f t="shared" si="59"/>
        <v>0</v>
      </c>
      <c r="S363">
        <f t="shared" si="60"/>
        <v>94205.749099999986</v>
      </c>
    </row>
    <row r="364" spans="1:19" x14ac:dyDescent="0.3">
      <c r="A364" t="s">
        <v>13</v>
      </c>
      <c r="B364" t="s">
        <v>24</v>
      </c>
      <c r="C364" t="s">
        <v>14</v>
      </c>
      <c r="D364">
        <v>28</v>
      </c>
      <c r="E364">
        <v>6</v>
      </c>
      <c r="F364">
        <v>0</v>
      </c>
      <c r="G364">
        <v>20260304</v>
      </c>
      <c r="H364">
        <v>20260406</v>
      </c>
      <c r="I364">
        <v>317570.77840000001</v>
      </c>
      <c r="J364">
        <f t="shared" si="51"/>
        <v>34</v>
      </c>
      <c r="K364">
        <f t="shared" si="52"/>
        <v>9340.317011764706</v>
      </c>
      <c r="L364">
        <f t="shared" si="53"/>
        <v>421401.09709540306</v>
      </c>
      <c r="M364">
        <f t="shared" si="54"/>
        <v>56041.902070588236</v>
      </c>
      <c r="N364">
        <f t="shared" si="55"/>
        <v>0</v>
      </c>
      <c r="O364">
        <f t="shared" si="56"/>
        <v>477442.99916599132</v>
      </c>
      <c r="P364">
        <f t="shared" si="57"/>
        <v>280294.55800371821</v>
      </c>
      <c r="Q364">
        <f t="shared" si="58"/>
        <v>37276.220396281795</v>
      </c>
      <c r="R364">
        <f t="shared" si="59"/>
        <v>0</v>
      </c>
      <c r="S364">
        <f t="shared" si="60"/>
        <v>317570.77840000001</v>
      </c>
    </row>
    <row r="365" spans="1:19" x14ac:dyDescent="0.3">
      <c r="A365" t="s">
        <v>13</v>
      </c>
      <c r="B365" t="s">
        <v>33</v>
      </c>
      <c r="C365" t="s">
        <v>14</v>
      </c>
      <c r="D365">
        <v>0</v>
      </c>
      <c r="E365">
        <v>23</v>
      </c>
      <c r="F365">
        <v>6</v>
      </c>
      <c r="G365">
        <v>20260408</v>
      </c>
      <c r="H365">
        <v>20260506</v>
      </c>
      <c r="I365">
        <v>534132.24159999995</v>
      </c>
      <c r="J365">
        <f t="shared" si="51"/>
        <v>29</v>
      </c>
      <c r="K365">
        <f t="shared" si="52"/>
        <v>18418.353158620688</v>
      </c>
      <c r="L365">
        <f t="shared" si="53"/>
        <v>0</v>
      </c>
      <c r="M365">
        <f t="shared" si="54"/>
        <v>423622.12264827581</v>
      </c>
      <c r="N365">
        <f t="shared" si="55"/>
        <v>83047.848723431845</v>
      </c>
      <c r="O365">
        <f t="shared" si="56"/>
        <v>506669.97137170762</v>
      </c>
      <c r="P365">
        <f t="shared" si="57"/>
        <v>0</v>
      </c>
      <c r="Q365">
        <f t="shared" si="58"/>
        <v>446583.07526868477</v>
      </c>
      <c r="R365">
        <f t="shared" si="59"/>
        <v>87549.166331315209</v>
      </c>
      <c r="S365">
        <f t="shared" si="60"/>
        <v>534132.24159999995</v>
      </c>
    </row>
    <row r="366" spans="1:19" x14ac:dyDescent="0.3">
      <c r="A366" t="s">
        <v>13</v>
      </c>
      <c r="B366" t="s">
        <v>33</v>
      </c>
      <c r="C366" t="s">
        <v>15</v>
      </c>
      <c r="D366">
        <v>27</v>
      </c>
      <c r="E366">
        <v>8</v>
      </c>
      <c r="F366">
        <v>0</v>
      </c>
      <c r="G366">
        <v>20260305</v>
      </c>
      <c r="H366">
        <v>20260408</v>
      </c>
      <c r="I366">
        <v>74664.290599999993</v>
      </c>
      <c r="J366">
        <f t="shared" si="51"/>
        <v>35</v>
      </c>
      <c r="K366">
        <f t="shared" si="52"/>
        <v>2133.2654457142853</v>
      </c>
      <c r="L366">
        <f t="shared" si="53"/>
        <v>92807.84255869429</v>
      </c>
      <c r="M366">
        <f t="shared" si="54"/>
        <v>17066.123565714282</v>
      </c>
      <c r="N366">
        <f t="shared" si="55"/>
        <v>0</v>
      </c>
      <c r="O366">
        <f t="shared" si="56"/>
        <v>109873.96612440857</v>
      </c>
      <c r="P366">
        <f t="shared" si="57"/>
        <v>63067.093791037914</v>
      </c>
      <c r="Q366">
        <f t="shared" si="58"/>
        <v>11597.196808962086</v>
      </c>
      <c r="R366">
        <f t="shared" si="59"/>
        <v>0</v>
      </c>
      <c r="S366">
        <f t="shared" si="60"/>
        <v>74664.290600000008</v>
      </c>
    </row>
    <row r="367" spans="1:19" x14ac:dyDescent="0.3">
      <c r="A367" t="s">
        <v>13</v>
      </c>
      <c r="B367" t="s">
        <v>33</v>
      </c>
      <c r="C367" t="s">
        <v>15</v>
      </c>
      <c r="D367">
        <v>30</v>
      </c>
      <c r="E367">
        <v>5</v>
      </c>
      <c r="F367">
        <v>0</v>
      </c>
      <c r="G367">
        <v>20260302</v>
      </c>
      <c r="H367">
        <v>20260405</v>
      </c>
      <c r="I367">
        <v>36145.8033</v>
      </c>
      <c r="J367">
        <f t="shared" si="51"/>
        <v>35</v>
      </c>
      <c r="K367">
        <f t="shared" si="52"/>
        <v>1032.7372371428571</v>
      </c>
      <c r="L367">
        <f t="shared" si="53"/>
        <v>49921.440131351133</v>
      </c>
      <c r="M367">
        <f t="shared" si="54"/>
        <v>5163.6861857142858</v>
      </c>
      <c r="N367">
        <f t="shared" si="55"/>
        <v>0</v>
      </c>
      <c r="O367">
        <f t="shared" si="56"/>
        <v>55085.12631706542</v>
      </c>
      <c r="P367">
        <f t="shared" si="57"/>
        <v>32757.491469734978</v>
      </c>
      <c r="Q367">
        <f t="shared" si="58"/>
        <v>3388.3118302650214</v>
      </c>
      <c r="R367">
        <f t="shared" si="59"/>
        <v>0</v>
      </c>
      <c r="S367">
        <f t="shared" si="60"/>
        <v>36145.8033</v>
      </c>
    </row>
    <row r="368" spans="1:19" x14ac:dyDescent="0.3">
      <c r="A368" t="s">
        <v>13</v>
      </c>
      <c r="B368" t="s">
        <v>24</v>
      </c>
      <c r="C368" t="s">
        <v>15</v>
      </c>
      <c r="D368">
        <v>25</v>
      </c>
      <c r="E368">
        <v>8</v>
      </c>
      <c r="F368">
        <v>0</v>
      </c>
      <c r="G368">
        <v>20260307</v>
      </c>
      <c r="H368">
        <v>20260408</v>
      </c>
      <c r="I368">
        <v>125043.428</v>
      </c>
      <c r="J368">
        <f t="shared" si="51"/>
        <v>33</v>
      </c>
      <c r="K368">
        <f t="shared" si="52"/>
        <v>3789.1947878787878</v>
      </c>
      <c r="L368">
        <f t="shared" si="53"/>
        <v>152638.10091749419</v>
      </c>
      <c r="M368">
        <f t="shared" si="54"/>
        <v>30313.558303030302</v>
      </c>
      <c r="N368">
        <f t="shared" si="55"/>
        <v>0</v>
      </c>
      <c r="O368">
        <f t="shared" si="56"/>
        <v>182951.65922052448</v>
      </c>
      <c r="P368">
        <f t="shared" si="57"/>
        <v>104324.77881562829</v>
      </c>
      <c r="Q368">
        <f t="shared" si="58"/>
        <v>20718.649184371719</v>
      </c>
      <c r="R368">
        <f t="shared" si="59"/>
        <v>0</v>
      </c>
      <c r="S368">
        <f t="shared" si="60"/>
        <v>125043.42800000001</v>
      </c>
    </row>
    <row r="369" spans="1:19" x14ac:dyDescent="0.3">
      <c r="A369" t="s">
        <v>13</v>
      </c>
      <c r="B369" t="s">
        <v>33</v>
      </c>
      <c r="C369" t="s">
        <v>14</v>
      </c>
      <c r="D369">
        <v>0</v>
      </c>
      <c r="E369">
        <v>25</v>
      </c>
      <c r="F369">
        <v>4</v>
      </c>
      <c r="G369">
        <v>20260406</v>
      </c>
      <c r="H369">
        <v>20260504</v>
      </c>
      <c r="I369">
        <v>146689.14139999999</v>
      </c>
      <c r="J369">
        <f t="shared" si="51"/>
        <v>29</v>
      </c>
      <c r="K369">
        <f t="shared" si="52"/>
        <v>5058.2462551724138</v>
      </c>
      <c r="L369">
        <f t="shared" si="53"/>
        <v>0</v>
      </c>
      <c r="M369">
        <f t="shared" si="54"/>
        <v>126456.15637931034</v>
      </c>
      <c r="N369">
        <f t="shared" si="55"/>
        <v>15204.995661580379</v>
      </c>
      <c r="O369">
        <f t="shared" si="56"/>
        <v>141661.15204089071</v>
      </c>
      <c r="P369">
        <f t="shared" si="57"/>
        <v>0</v>
      </c>
      <c r="Q369">
        <f t="shared" si="58"/>
        <v>130944.47374443737</v>
      </c>
      <c r="R369">
        <f t="shared" si="59"/>
        <v>15744.66765556262</v>
      </c>
      <c r="S369">
        <f t="shared" si="60"/>
        <v>146689.14139999999</v>
      </c>
    </row>
    <row r="370" spans="1:19" x14ac:dyDescent="0.3">
      <c r="A370" t="s">
        <v>13</v>
      </c>
      <c r="B370" t="s">
        <v>33</v>
      </c>
      <c r="C370" t="s">
        <v>15</v>
      </c>
      <c r="D370">
        <v>25</v>
      </c>
      <c r="E370">
        <v>1</v>
      </c>
      <c r="F370">
        <v>0</v>
      </c>
      <c r="G370">
        <v>20260307</v>
      </c>
      <c r="H370">
        <v>20260401</v>
      </c>
      <c r="I370">
        <v>22553.363700000002</v>
      </c>
      <c r="J370">
        <f t="shared" si="51"/>
        <v>26</v>
      </c>
      <c r="K370">
        <f t="shared" si="52"/>
        <v>867.43706538461549</v>
      </c>
      <c r="L370">
        <f t="shared" si="53"/>
        <v>34942.501966195414</v>
      </c>
      <c r="M370">
        <f t="shared" si="54"/>
        <v>867.43706538461549</v>
      </c>
      <c r="N370">
        <f t="shared" si="55"/>
        <v>0</v>
      </c>
      <c r="O370">
        <f t="shared" si="56"/>
        <v>35809.939031580026</v>
      </c>
      <c r="P370">
        <f t="shared" si="57"/>
        <v>22007.045438881851</v>
      </c>
      <c r="Q370">
        <f t="shared" si="58"/>
        <v>546.31826111815417</v>
      </c>
      <c r="R370">
        <f t="shared" si="59"/>
        <v>0</v>
      </c>
      <c r="S370">
        <f t="shared" si="60"/>
        <v>22553.363700000005</v>
      </c>
    </row>
    <row r="371" spans="1:19" x14ac:dyDescent="0.3">
      <c r="A371" t="s">
        <v>13</v>
      </c>
      <c r="B371" t="s">
        <v>33</v>
      </c>
      <c r="C371" t="s">
        <v>14</v>
      </c>
      <c r="D371">
        <v>0</v>
      </c>
      <c r="E371">
        <v>14</v>
      </c>
      <c r="F371">
        <v>16</v>
      </c>
      <c r="G371">
        <v>20260417</v>
      </c>
      <c r="H371">
        <v>20260516</v>
      </c>
      <c r="I371">
        <v>497920.78409999999</v>
      </c>
      <c r="J371">
        <f t="shared" si="51"/>
        <v>30</v>
      </c>
      <c r="K371">
        <f t="shared" si="52"/>
        <v>16597.359469999999</v>
      </c>
      <c r="L371">
        <f t="shared" si="53"/>
        <v>0</v>
      </c>
      <c r="M371">
        <f t="shared" si="54"/>
        <v>232363.03258</v>
      </c>
      <c r="N371">
        <f t="shared" si="55"/>
        <v>199565.43513632318</v>
      </c>
      <c r="O371">
        <f t="shared" si="56"/>
        <v>431928.46771632321</v>
      </c>
      <c r="P371">
        <f t="shared" si="57"/>
        <v>0</v>
      </c>
      <c r="Q371">
        <f t="shared" si="58"/>
        <v>267864.68599720648</v>
      </c>
      <c r="R371">
        <f t="shared" si="59"/>
        <v>230056.0981027935</v>
      </c>
      <c r="S371">
        <f t="shared" si="60"/>
        <v>497920.78409999999</v>
      </c>
    </row>
    <row r="372" spans="1:19" x14ac:dyDescent="0.3">
      <c r="A372" t="s">
        <v>13</v>
      </c>
      <c r="B372" t="s">
        <v>24</v>
      </c>
      <c r="C372" t="s">
        <v>14</v>
      </c>
      <c r="D372">
        <v>13</v>
      </c>
      <c r="E372">
        <v>16</v>
      </c>
      <c r="F372">
        <v>0</v>
      </c>
      <c r="G372">
        <v>20260319</v>
      </c>
      <c r="H372">
        <v>20260416</v>
      </c>
      <c r="I372">
        <v>18182.738300000001</v>
      </c>
      <c r="J372">
        <f t="shared" si="51"/>
        <v>29</v>
      </c>
      <c r="K372">
        <f t="shared" si="52"/>
        <v>626.99097586206904</v>
      </c>
      <c r="L372">
        <f t="shared" si="53"/>
        <v>13133.50538751668</v>
      </c>
      <c r="M372">
        <f t="shared" si="54"/>
        <v>10031.855613793105</v>
      </c>
      <c r="N372">
        <f t="shared" si="55"/>
        <v>0</v>
      </c>
      <c r="O372">
        <f t="shared" si="56"/>
        <v>23165.361001309786</v>
      </c>
      <c r="P372">
        <f t="shared" si="57"/>
        <v>10308.628102508474</v>
      </c>
      <c r="Q372">
        <f t="shared" si="58"/>
        <v>7874.1101974915264</v>
      </c>
      <c r="R372">
        <f t="shared" si="59"/>
        <v>0</v>
      </c>
      <c r="S372">
        <f t="shared" si="60"/>
        <v>18182.738300000001</v>
      </c>
    </row>
    <row r="373" spans="1:19" x14ac:dyDescent="0.3">
      <c r="A373" t="s">
        <v>13</v>
      </c>
      <c r="B373" t="s">
        <v>33</v>
      </c>
      <c r="C373" t="s">
        <v>14</v>
      </c>
      <c r="D373">
        <v>27</v>
      </c>
      <c r="E373">
        <v>7</v>
      </c>
      <c r="F373">
        <v>0</v>
      </c>
      <c r="G373">
        <v>20260305</v>
      </c>
      <c r="H373">
        <v>20260407</v>
      </c>
      <c r="I373">
        <v>134004.3959</v>
      </c>
      <c r="J373">
        <f t="shared" si="51"/>
        <v>34</v>
      </c>
      <c r="K373">
        <f t="shared" si="52"/>
        <v>3941.3057617647059</v>
      </c>
      <c r="L373">
        <f t="shared" si="53"/>
        <v>171466.74613250358</v>
      </c>
      <c r="M373">
        <f t="shared" si="54"/>
        <v>27589.140332352941</v>
      </c>
      <c r="N373">
        <f t="shared" si="55"/>
        <v>0</v>
      </c>
      <c r="O373">
        <f t="shared" si="56"/>
        <v>199055.88646485654</v>
      </c>
      <c r="P373">
        <f t="shared" si="57"/>
        <v>115431.39035218366</v>
      </c>
      <c r="Q373">
        <f t="shared" si="58"/>
        <v>18573.005547816345</v>
      </c>
      <c r="R373">
        <f t="shared" si="59"/>
        <v>0</v>
      </c>
      <c r="S373">
        <f t="shared" si="60"/>
        <v>134004.3959</v>
      </c>
    </row>
    <row r="374" spans="1:19" x14ac:dyDescent="0.3">
      <c r="A374" t="s">
        <v>13</v>
      </c>
      <c r="B374" t="s">
        <v>33</v>
      </c>
      <c r="C374" t="s">
        <v>14</v>
      </c>
      <c r="D374">
        <v>0</v>
      </c>
      <c r="E374">
        <v>23</v>
      </c>
      <c r="F374">
        <v>4</v>
      </c>
      <c r="G374">
        <v>20260408</v>
      </c>
      <c r="H374">
        <v>20260504</v>
      </c>
      <c r="I374">
        <v>255059.3469</v>
      </c>
      <c r="J374">
        <f t="shared" si="51"/>
        <v>27</v>
      </c>
      <c r="K374">
        <f t="shared" si="52"/>
        <v>9446.6424777777775</v>
      </c>
      <c r="L374">
        <f t="shared" si="53"/>
        <v>0</v>
      </c>
      <c r="M374">
        <f t="shared" si="54"/>
        <v>217272.77698888889</v>
      </c>
      <c r="N374">
        <f t="shared" si="55"/>
        <v>28396.43438558056</v>
      </c>
      <c r="O374">
        <f t="shared" si="56"/>
        <v>245669.21137446945</v>
      </c>
      <c r="P374">
        <f t="shared" si="57"/>
        <v>0</v>
      </c>
      <c r="Q374">
        <f t="shared" si="58"/>
        <v>225577.52470440205</v>
      </c>
      <c r="R374">
        <f t="shared" si="59"/>
        <v>29481.822195597961</v>
      </c>
      <c r="S374">
        <f t="shared" si="60"/>
        <v>255059.3469</v>
      </c>
    </row>
    <row r="375" spans="1:19" x14ac:dyDescent="0.3">
      <c r="A375" t="s">
        <v>13</v>
      </c>
      <c r="B375" t="s">
        <v>33</v>
      </c>
      <c r="C375" t="s">
        <v>14</v>
      </c>
      <c r="D375">
        <v>25</v>
      </c>
      <c r="E375">
        <v>4</v>
      </c>
      <c r="F375">
        <v>0</v>
      </c>
      <c r="G375">
        <v>20260307</v>
      </c>
      <c r="H375">
        <v>20260404</v>
      </c>
      <c r="I375">
        <v>569.56050000000005</v>
      </c>
      <c r="J375">
        <f t="shared" si="51"/>
        <v>29</v>
      </c>
      <c r="K375">
        <f t="shared" si="52"/>
        <v>19.640017241379311</v>
      </c>
      <c r="L375">
        <f t="shared" si="53"/>
        <v>791.14827860015464</v>
      </c>
      <c r="M375">
        <f t="shared" si="54"/>
        <v>78.560068965517246</v>
      </c>
      <c r="N375">
        <f t="shared" si="55"/>
        <v>0</v>
      </c>
      <c r="O375">
        <f t="shared" si="56"/>
        <v>869.70834756567183</v>
      </c>
      <c r="P375">
        <f t="shared" si="57"/>
        <v>518.11254933323266</v>
      </c>
      <c r="Q375">
        <f t="shared" si="58"/>
        <v>51.447950666767412</v>
      </c>
      <c r="R375">
        <f t="shared" si="59"/>
        <v>0</v>
      </c>
      <c r="S375">
        <f t="shared" si="60"/>
        <v>569.56050000000005</v>
      </c>
    </row>
    <row r="376" spans="1:19" x14ac:dyDescent="0.3">
      <c r="A376" t="s">
        <v>13</v>
      </c>
      <c r="B376" t="s">
        <v>33</v>
      </c>
      <c r="C376" t="s">
        <v>14</v>
      </c>
      <c r="D376">
        <v>0</v>
      </c>
      <c r="E376">
        <v>24</v>
      </c>
      <c r="F376">
        <v>5</v>
      </c>
      <c r="G376">
        <v>20260407</v>
      </c>
      <c r="H376">
        <v>20260505</v>
      </c>
      <c r="I376">
        <v>78325.206099999996</v>
      </c>
      <c r="J376">
        <f t="shared" si="51"/>
        <v>29</v>
      </c>
      <c r="K376">
        <f t="shared" si="52"/>
        <v>2700.8691758620689</v>
      </c>
      <c r="L376">
        <f t="shared" si="53"/>
        <v>0</v>
      </c>
      <c r="M376">
        <f t="shared" si="54"/>
        <v>64820.860220689654</v>
      </c>
      <c r="N376">
        <f t="shared" si="55"/>
        <v>10148.454135532975</v>
      </c>
      <c r="O376">
        <f t="shared" si="56"/>
        <v>74969.314356222632</v>
      </c>
      <c r="P376">
        <f t="shared" si="57"/>
        <v>0</v>
      </c>
      <c r="Q376">
        <f t="shared" si="58"/>
        <v>67722.471253245443</v>
      </c>
      <c r="R376">
        <f t="shared" si="59"/>
        <v>10602.734846754547</v>
      </c>
      <c r="S376">
        <f t="shared" si="60"/>
        <v>78325.206099999996</v>
      </c>
    </row>
    <row r="377" spans="1:19" x14ac:dyDescent="0.3">
      <c r="A377" t="s">
        <v>13</v>
      </c>
      <c r="B377" t="s">
        <v>33</v>
      </c>
      <c r="C377" t="s">
        <v>14</v>
      </c>
      <c r="D377">
        <v>28</v>
      </c>
      <c r="E377">
        <v>4</v>
      </c>
      <c r="F377">
        <v>0</v>
      </c>
      <c r="G377">
        <v>20260304</v>
      </c>
      <c r="H377">
        <v>20260404</v>
      </c>
      <c r="I377">
        <v>4185.9071999999996</v>
      </c>
      <c r="J377">
        <f t="shared" si="51"/>
        <v>32</v>
      </c>
      <c r="K377">
        <f t="shared" si="52"/>
        <v>130.80959999999999</v>
      </c>
      <c r="L377">
        <f t="shared" si="53"/>
        <v>5901.6528969176979</v>
      </c>
      <c r="M377">
        <f t="shared" si="54"/>
        <v>523.23839999999996</v>
      </c>
      <c r="N377">
        <f t="shared" si="55"/>
        <v>0</v>
      </c>
      <c r="O377">
        <f t="shared" si="56"/>
        <v>6424.8912969176981</v>
      </c>
      <c r="P377">
        <f t="shared" si="57"/>
        <v>3845.0100105133497</v>
      </c>
      <c r="Q377">
        <f t="shared" si="58"/>
        <v>340.89718948664978</v>
      </c>
      <c r="R377">
        <f t="shared" si="59"/>
        <v>0</v>
      </c>
      <c r="S377">
        <f t="shared" si="60"/>
        <v>4185.9071999999996</v>
      </c>
    </row>
    <row r="378" spans="1:19" x14ac:dyDescent="0.3">
      <c r="A378" t="s">
        <v>13</v>
      </c>
      <c r="B378" t="s">
        <v>24</v>
      </c>
      <c r="C378" t="s">
        <v>14</v>
      </c>
      <c r="D378">
        <v>28</v>
      </c>
      <c r="E378">
        <v>4</v>
      </c>
      <c r="F378">
        <v>0</v>
      </c>
      <c r="G378">
        <v>20260304</v>
      </c>
      <c r="H378">
        <v>20260404</v>
      </c>
      <c r="I378">
        <v>29301.3508</v>
      </c>
      <c r="J378">
        <f t="shared" si="51"/>
        <v>32</v>
      </c>
      <c r="K378">
        <f t="shared" si="52"/>
        <v>915.66721250000001</v>
      </c>
      <c r="L378">
        <f t="shared" si="53"/>
        <v>41311.57084237838</v>
      </c>
      <c r="M378">
        <f t="shared" si="54"/>
        <v>3662.66885</v>
      </c>
      <c r="N378">
        <f t="shared" si="55"/>
        <v>0</v>
      </c>
      <c r="O378">
        <f t="shared" si="56"/>
        <v>44974.239692378382</v>
      </c>
      <c r="P378">
        <f t="shared" si="57"/>
        <v>26915.070441017746</v>
      </c>
      <c r="Q378">
        <f t="shared" si="58"/>
        <v>2386.2803589822533</v>
      </c>
      <c r="R378">
        <f t="shared" si="59"/>
        <v>0</v>
      </c>
      <c r="S378">
        <f t="shared" si="60"/>
        <v>29301.3508</v>
      </c>
    </row>
    <row r="379" spans="1:19" x14ac:dyDescent="0.3">
      <c r="A379" t="s">
        <v>13</v>
      </c>
      <c r="B379" t="s">
        <v>33</v>
      </c>
      <c r="C379" t="s">
        <v>15</v>
      </c>
      <c r="D379">
        <v>0</v>
      </c>
      <c r="E379">
        <v>22</v>
      </c>
      <c r="F379">
        <v>8</v>
      </c>
      <c r="G379">
        <v>20260409</v>
      </c>
      <c r="H379">
        <v>20260508</v>
      </c>
      <c r="I379">
        <v>108574.2218</v>
      </c>
      <c r="J379">
        <f t="shared" si="51"/>
        <v>30</v>
      </c>
      <c r="K379">
        <f t="shared" si="52"/>
        <v>3619.1407266666665</v>
      </c>
      <c r="L379">
        <f t="shared" si="53"/>
        <v>0</v>
      </c>
      <c r="M379">
        <f t="shared" si="54"/>
        <v>79621.095986666667</v>
      </c>
      <c r="N379">
        <f t="shared" si="55"/>
        <v>21758.141565901213</v>
      </c>
      <c r="O379">
        <f t="shared" si="56"/>
        <v>101379.23755256788</v>
      </c>
      <c r="P379">
        <f t="shared" si="57"/>
        <v>0</v>
      </c>
      <c r="Q379">
        <f t="shared" si="58"/>
        <v>85271.883516907241</v>
      </c>
      <c r="R379">
        <f t="shared" si="59"/>
        <v>23302.338283092759</v>
      </c>
      <c r="S379">
        <f t="shared" si="60"/>
        <v>108574.2218</v>
      </c>
    </row>
    <row r="380" spans="1:19" x14ac:dyDescent="0.3">
      <c r="A380" t="s">
        <v>13</v>
      </c>
      <c r="B380" t="s">
        <v>33</v>
      </c>
      <c r="C380" t="s">
        <v>15</v>
      </c>
      <c r="D380">
        <v>0</v>
      </c>
      <c r="E380">
        <v>23</v>
      </c>
      <c r="F380">
        <v>10</v>
      </c>
      <c r="G380">
        <v>20260408</v>
      </c>
      <c r="H380">
        <v>20260510</v>
      </c>
      <c r="I380">
        <v>273611.46240000002</v>
      </c>
      <c r="J380">
        <f t="shared" si="51"/>
        <v>33</v>
      </c>
      <c r="K380">
        <f t="shared" si="52"/>
        <v>8291.2564363636375</v>
      </c>
      <c r="L380">
        <f t="shared" si="53"/>
        <v>0</v>
      </c>
      <c r="M380">
        <f t="shared" si="54"/>
        <v>190698.89803636365</v>
      </c>
      <c r="N380">
        <f t="shared" si="55"/>
        <v>62308.412730521733</v>
      </c>
      <c r="O380">
        <f t="shared" si="56"/>
        <v>253007.31076688538</v>
      </c>
      <c r="P380">
        <f t="shared" si="57"/>
        <v>0</v>
      </c>
      <c r="Q380">
        <f t="shared" si="58"/>
        <v>206228.8406277434</v>
      </c>
      <c r="R380">
        <f t="shared" si="59"/>
        <v>67382.621772256636</v>
      </c>
      <c r="S380">
        <f t="shared" si="60"/>
        <v>273611.46240000002</v>
      </c>
    </row>
    <row r="381" spans="1:19" x14ac:dyDescent="0.3">
      <c r="A381" t="s">
        <v>13</v>
      </c>
      <c r="B381" t="s">
        <v>33</v>
      </c>
      <c r="C381" t="s">
        <v>14</v>
      </c>
      <c r="D381">
        <v>0</v>
      </c>
      <c r="E381">
        <v>13</v>
      </c>
      <c r="F381">
        <v>15</v>
      </c>
      <c r="G381">
        <v>20260418</v>
      </c>
      <c r="H381">
        <v>20260515</v>
      </c>
      <c r="I381">
        <v>291247.6078</v>
      </c>
      <c r="J381">
        <f t="shared" si="51"/>
        <v>28</v>
      </c>
      <c r="K381">
        <f t="shared" si="52"/>
        <v>10401.700278571428</v>
      </c>
      <c r="L381">
        <f t="shared" si="53"/>
        <v>0</v>
      </c>
      <c r="M381">
        <f t="shared" si="54"/>
        <v>135222.10362142857</v>
      </c>
      <c r="N381">
        <f t="shared" si="55"/>
        <v>117252.45245351376</v>
      </c>
      <c r="O381">
        <f t="shared" si="56"/>
        <v>252474.55607494235</v>
      </c>
      <c r="P381">
        <f t="shared" si="57"/>
        <v>0</v>
      </c>
      <c r="Q381">
        <f t="shared" si="58"/>
        <v>155988.44815766165</v>
      </c>
      <c r="R381">
        <f t="shared" si="59"/>
        <v>135259.15964233832</v>
      </c>
      <c r="S381">
        <f t="shared" si="60"/>
        <v>291247.6078</v>
      </c>
    </row>
    <row r="382" spans="1:19" x14ac:dyDescent="0.3">
      <c r="A382" t="s">
        <v>13</v>
      </c>
      <c r="B382" t="s">
        <v>33</v>
      </c>
      <c r="C382" t="s">
        <v>15</v>
      </c>
      <c r="D382">
        <v>22</v>
      </c>
      <c r="E382">
        <v>3</v>
      </c>
      <c r="F382">
        <v>0</v>
      </c>
      <c r="G382">
        <v>20260310</v>
      </c>
      <c r="H382">
        <v>20260403</v>
      </c>
      <c r="I382">
        <v>8681.0244000000002</v>
      </c>
      <c r="J382">
        <f t="shared" si="51"/>
        <v>25</v>
      </c>
      <c r="K382">
        <f t="shared" si="52"/>
        <v>347.24097599999999</v>
      </c>
      <c r="L382">
        <f t="shared" si="53"/>
        <v>12309.195322999569</v>
      </c>
      <c r="M382">
        <f t="shared" si="54"/>
        <v>1041.7229279999999</v>
      </c>
      <c r="N382">
        <f t="shared" si="55"/>
        <v>0</v>
      </c>
      <c r="O382">
        <f t="shared" si="56"/>
        <v>13350.918250999568</v>
      </c>
      <c r="P382">
        <f t="shared" si="57"/>
        <v>8003.6760718930263</v>
      </c>
      <c r="Q382">
        <f t="shared" si="58"/>
        <v>677.3483281069739</v>
      </c>
      <c r="R382">
        <f t="shared" si="59"/>
        <v>0</v>
      </c>
      <c r="S382">
        <f t="shared" si="60"/>
        <v>8681.0244000000002</v>
      </c>
    </row>
    <row r="383" spans="1:19" x14ac:dyDescent="0.3">
      <c r="A383" t="s">
        <v>13</v>
      </c>
      <c r="B383" t="s">
        <v>33</v>
      </c>
      <c r="C383" t="s">
        <v>15</v>
      </c>
      <c r="D383">
        <v>0</v>
      </c>
      <c r="E383">
        <v>24</v>
      </c>
      <c r="F383">
        <v>11</v>
      </c>
      <c r="G383">
        <v>20260407</v>
      </c>
      <c r="H383">
        <v>20260511</v>
      </c>
      <c r="I383">
        <v>70990.528999999995</v>
      </c>
      <c r="J383">
        <f t="shared" si="51"/>
        <v>35</v>
      </c>
      <c r="K383">
        <f t="shared" si="52"/>
        <v>2028.3008285714284</v>
      </c>
      <c r="L383">
        <f t="shared" si="53"/>
        <v>0</v>
      </c>
      <c r="M383">
        <f t="shared" si="54"/>
        <v>48679.219885714279</v>
      </c>
      <c r="N383">
        <f t="shared" si="55"/>
        <v>16766.846707986624</v>
      </c>
      <c r="O383">
        <f t="shared" si="56"/>
        <v>65446.066593700903</v>
      </c>
      <c r="P383">
        <f t="shared" si="57"/>
        <v>0</v>
      </c>
      <c r="Q383">
        <f t="shared" si="58"/>
        <v>52803.227922742546</v>
      </c>
      <c r="R383">
        <f t="shared" si="59"/>
        <v>18187.301077257442</v>
      </c>
      <c r="S383">
        <f t="shared" si="60"/>
        <v>70990.52899999998</v>
      </c>
    </row>
    <row r="384" spans="1:19" x14ac:dyDescent="0.3">
      <c r="A384" t="s">
        <v>13</v>
      </c>
      <c r="B384" t="s">
        <v>33</v>
      </c>
      <c r="C384" t="s">
        <v>14</v>
      </c>
      <c r="D384">
        <v>0</v>
      </c>
      <c r="E384">
        <v>10</v>
      </c>
      <c r="F384">
        <v>15</v>
      </c>
      <c r="G384">
        <v>20260421</v>
      </c>
      <c r="H384">
        <v>20260515</v>
      </c>
      <c r="I384">
        <v>188956.67569999999</v>
      </c>
      <c r="J384">
        <f t="shared" si="51"/>
        <v>25</v>
      </c>
      <c r="K384">
        <f t="shared" si="52"/>
        <v>7558.2670279999993</v>
      </c>
      <c r="L384">
        <f t="shared" si="53"/>
        <v>0</v>
      </c>
      <c r="M384">
        <f t="shared" si="54"/>
        <v>75582.670279999991</v>
      </c>
      <c r="N384">
        <f t="shared" si="55"/>
        <v>85200.046299857917</v>
      </c>
      <c r="O384">
        <f t="shared" si="56"/>
        <v>160782.71657985792</v>
      </c>
      <c r="P384">
        <f t="shared" si="57"/>
        <v>0</v>
      </c>
      <c r="Q384">
        <f t="shared" si="58"/>
        <v>88827.023329615433</v>
      </c>
      <c r="R384">
        <f t="shared" si="59"/>
        <v>100129.65237038453</v>
      </c>
      <c r="S384">
        <f t="shared" si="60"/>
        <v>188956.67569999996</v>
      </c>
    </row>
    <row r="385" spans="1:19" x14ac:dyDescent="0.3">
      <c r="A385" t="s">
        <v>13</v>
      </c>
      <c r="B385" t="s">
        <v>33</v>
      </c>
      <c r="C385" t="s">
        <v>15</v>
      </c>
      <c r="D385">
        <v>0</v>
      </c>
      <c r="E385">
        <v>26</v>
      </c>
      <c r="F385">
        <v>0</v>
      </c>
      <c r="G385">
        <v>20260402</v>
      </c>
      <c r="H385">
        <v>20260427</v>
      </c>
      <c r="I385">
        <v>30524.964400000001</v>
      </c>
      <c r="J385">
        <f t="shared" si="51"/>
        <v>26</v>
      </c>
      <c r="K385">
        <f t="shared" si="52"/>
        <v>1174.0370923076923</v>
      </c>
      <c r="L385">
        <f t="shared" si="53"/>
        <v>0</v>
      </c>
      <c r="M385">
        <f t="shared" si="54"/>
        <v>30524.964400000001</v>
      </c>
      <c r="N385">
        <f t="shared" si="55"/>
        <v>0</v>
      </c>
      <c r="O385">
        <f t="shared" si="56"/>
        <v>30524.964400000001</v>
      </c>
      <c r="P385">
        <f t="shared" si="57"/>
        <v>0</v>
      </c>
      <c r="Q385">
        <f t="shared" si="58"/>
        <v>30524.964400000001</v>
      </c>
      <c r="R385">
        <f t="shared" si="59"/>
        <v>0</v>
      </c>
      <c r="S385">
        <f t="shared" si="60"/>
        <v>30524.964400000001</v>
      </c>
    </row>
    <row r="386" spans="1:19" x14ac:dyDescent="0.3">
      <c r="A386" t="s">
        <v>13</v>
      </c>
      <c r="B386" t="s">
        <v>24</v>
      </c>
      <c r="C386" t="s">
        <v>15</v>
      </c>
      <c r="D386">
        <v>24</v>
      </c>
      <c r="E386">
        <v>1</v>
      </c>
      <c r="F386">
        <v>0</v>
      </c>
      <c r="G386">
        <v>20260308</v>
      </c>
      <c r="H386">
        <v>20260401</v>
      </c>
      <c r="I386">
        <v>251734.80470000001</v>
      </c>
      <c r="J386">
        <f t="shared" si="51"/>
        <v>25</v>
      </c>
      <c r="K386">
        <f t="shared" si="52"/>
        <v>10069.392188</v>
      </c>
      <c r="L386">
        <f t="shared" si="53"/>
        <v>389395.12680924236</v>
      </c>
      <c r="M386">
        <f t="shared" si="54"/>
        <v>10069.392188</v>
      </c>
      <c r="N386">
        <f t="shared" si="55"/>
        <v>0</v>
      </c>
      <c r="O386">
        <f t="shared" si="56"/>
        <v>399464.51899724238</v>
      </c>
      <c r="P386">
        <f t="shared" si="57"/>
        <v>245389.2687253484</v>
      </c>
      <c r="Q386">
        <f t="shared" si="58"/>
        <v>6345.5359746515669</v>
      </c>
      <c r="R386">
        <f t="shared" si="59"/>
        <v>0</v>
      </c>
      <c r="S386">
        <f t="shared" si="60"/>
        <v>251734.80469999998</v>
      </c>
    </row>
    <row r="387" spans="1:19" x14ac:dyDescent="0.3">
      <c r="A387" t="s">
        <v>13</v>
      </c>
      <c r="B387" t="s">
        <v>33</v>
      </c>
      <c r="C387" t="s">
        <v>15</v>
      </c>
      <c r="D387">
        <v>0</v>
      </c>
      <c r="E387">
        <v>29</v>
      </c>
      <c r="F387">
        <v>0</v>
      </c>
      <c r="G387">
        <v>20260402</v>
      </c>
      <c r="H387">
        <v>20260430</v>
      </c>
      <c r="I387">
        <v>27449.100999999999</v>
      </c>
      <c r="J387">
        <f t="shared" si="51"/>
        <v>29</v>
      </c>
      <c r="K387">
        <f t="shared" si="52"/>
        <v>946.52072413793098</v>
      </c>
      <c r="L387">
        <f t="shared" si="53"/>
        <v>0</v>
      </c>
      <c r="M387">
        <f t="shared" si="54"/>
        <v>27449.100999999999</v>
      </c>
      <c r="N387">
        <f t="shared" si="55"/>
        <v>0</v>
      </c>
      <c r="O387">
        <f t="shared" si="56"/>
        <v>27449.100999999999</v>
      </c>
      <c r="P387">
        <f t="shared" si="57"/>
        <v>0</v>
      </c>
      <c r="Q387">
        <f t="shared" si="58"/>
        <v>27449.100999999999</v>
      </c>
      <c r="R387">
        <f t="shared" si="59"/>
        <v>0</v>
      </c>
      <c r="S387">
        <f t="shared" si="60"/>
        <v>27449.100999999999</v>
      </c>
    </row>
    <row r="388" spans="1:19" x14ac:dyDescent="0.3">
      <c r="A388" t="s">
        <v>13</v>
      </c>
      <c r="B388" t="s">
        <v>24</v>
      </c>
      <c r="C388" t="s">
        <v>14</v>
      </c>
      <c r="D388">
        <v>23</v>
      </c>
      <c r="E388">
        <v>2</v>
      </c>
      <c r="F388">
        <v>0</v>
      </c>
      <c r="G388">
        <v>20260309</v>
      </c>
      <c r="H388">
        <v>20260402</v>
      </c>
      <c r="I388">
        <v>852.58979999999997</v>
      </c>
      <c r="J388">
        <f t="shared" si="51"/>
        <v>25</v>
      </c>
      <c r="K388">
        <f t="shared" si="52"/>
        <v>34.103591999999999</v>
      </c>
      <c r="L388">
        <f t="shared" si="53"/>
        <v>1263.8745654557363</v>
      </c>
      <c r="M388">
        <f t="shared" si="54"/>
        <v>68.207183999999998</v>
      </c>
      <c r="N388">
        <f t="shared" si="55"/>
        <v>0</v>
      </c>
      <c r="O388">
        <f t="shared" si="56"/>
        <v>1332.0817494557364</v>
      </c>
      <c r="P388">
        <f t="shared" si="57"/>
        <v>808.93425904773972</v>
      </c>
      <c r="Q388">
        <f t="shared" si="58"/>
        <v>43.655540952260111</v>
      </c>
      <c r="R388">
        <f t="shared" si="59"/>
        <v>0</v>
      </c>
      <c r="S388">
        <f t="shared" si="60"/>
        <v>852.58979999999985</v>
      </c>
    </row>
    <row r="389" spans="1:19" x14ac:dyDescent="0.3">
      <c r="A389" t="s">
        <v>13</v>
      </c>
      <c r="B389" t="s">
        <v>33</v>
      </c>
      <c r="C389" t="s">
        <v>15</v>
      </c>
      <c r="D389">
        <v>0</v>
      </c>
      <c r="E389">
        <v>28</v>
      </c>
      <c r="F389">
        <v>12</v>
      </c>
      <c r="G389">
        <v>20260403</v>
      </c>
      <c r="H389">
        <v>20260512</v>
      </c>
      <c r="I389">
        <v>117250.3253</v>
      </c>
      <c r="J389">
        <f t="shared" si="51"/>
        <v>40</v>
      </c>
      <c r="K389">
        <f t="shared" si="52"/>
        <v>2931.2581325000001</v>
      </c>
      <c r="L389">
        <f t="shared" si="53"/>
        <v>0</v>
      </c>
      <c r="M389">
        <f t="shared" si="54"/>
        <v>82075.227710000006</v>
      </c>
      <c r="N389">
        <f t="shared" si="55"/>
        <v>26433.924885759949</v>
      </c>
      <c r="O389">
        <f t="shared" si="56"/>
        <v>108509.15259575995</v>
      </c>
      <c r="P389">
        <f t="shared" si="57"/>
        <v>0</v>
      </c>
      <c r="Q389">
        <f t="shared" si="58"/>
        <v>88686.962508313896</v>
      </c>
      <c r="R389">
        <f t="shared" si="59"/>
        <v>28563.362791686101</v>
      </c>
      <c r="S389">
        <f t="shared" si="60"/>
        <v>117250.3253</v>
      </c>
    </row>
    <row r="390" spans="1:19" x14ac:dyDescent="0.3">
      <c r="A390" t="s">
        <v>13</v>
      </c>
      <c r="B390" t="s">
        <v>24</v>
      </c>
      <c r="C390" t="s">
        <v>15</v>
      </c>
      <c r="D390">
        <v>24</v>
      </c>
      <c r="E390">
        <v>14</v>
      </c>
      <c r="F390">
        <v>0</v>
      </c>
      <c r="G390">
        <v>20260308</v>
      </c>
      <c r="H390">
        <v>20260414</v>
      </c>
      <c r="I390">
        <v>2793.683</v>
      </c>
      <c r="J390">
        <f t="shared" si="51"/>
        <v>38</v>
      </c>
      <c r="K390">
        <f t="shared" si="52"/>
        <v>73.517973684210531</v>
      </c>
      <c r="L390">
        <f t="shared" si="53"/>
        <v>2843.0256912267268</v>
      </c>
      <c r="M390">
        <f t="shared" si="54"/>
        <v>1029.2516315789474</v>
      </c>
      <c r="N390">
        <f t="shared" si="55"/>
        <v>0</v>
      </c>
      <c r="O390">
        <f t="shared" si="56"/>
        <v>3872.277322805674</v>
      </c>
      <c r="P390">
        <f t="shared" si="57"/>
        <v>2051.1218283272588</v>
      </c>
      <c r="Q390">
        <f t="shared" si="58"/>
        <v>742.56117167274169</v>
      </c>
      <c r="R390">
        <f t="shared" si="59"/>
        <v>0</v>
      </c>
      <c r="S390">
        <f t="shared" si="60"/>
        <v>2793.6830000000004</v>
      </c>
    </row>
    <row r="391" spans="1:19" x14ac:dyDescent="0.3">
      <c r="A391" t="s">
        <v>13</v>
      </c>
      <c r="B391" t="s">
        <v>24</v>
      </c>
      <c r="C391" t="s">
        <v>15</v>
      </c>
      <c r="D391">
        <v>23</v>
      </c>
      <c r="E391">
        <v>1</v>
      </c>
      <c r="F391">
        <v>0</v>
      </c>
      <c r="G391">
        <v>20260309</v>
      </c>
      <c r="H391">
        <v>20260401</v>
      </c>
      <c r="I391">
        <v>85624.307000000001</v>
      </c>
      <c r="J391">
        <f t="shared" si="51"/>
        <v>24</v>
      </c>
      <c r="K391">
        <f t="shared" si="52"/>
        <v>3567.6794583333335</v>
      </c>
      <c r="L391">
        <f t="shared" si="53"/>
        <v>132217.72431145667</v>
      </c>
      <c r="M391">
        <f t="shared" si="54"/>
        <v>3567.6794583333335</v>
      </c>
      <c r="N391">
        <f t="shared" si="55"/>
        <v>0</v>
      </c>
      <c r="O391">
        <f t="shared" si="56"/>
        <v>135785.40376978999</v>
      </c>
      <c r="P391">
        <f t="shared" si="57"/>
        <v>83374.580057803512</v>
      </c>
      <c r="Q391">
        <f t="shared" si="58"/>
        <v>2249.726942196502</v>
      </c>
      <c r="R391">
        <f t="shared" si="59"/>
        <v>0</v>
      </c>
      <c r="S391">
        <f t="shared" si="60"/>
        <v>85624.307000000015</v>
      </c>
    </row>
    <row r="392" spans="1:19" x14ac:dyDescent="0.3">
      <c r="A392" t="s">
        <v>13</v>
      </c>
      <c r="B392" t="s">
        <v>33</v>
      </c>
      <c r="C392" t="s">
        <v>15</v>
      </c>
      <c r="D392">
        <v>29</v>
      </c>
      <c r="E392">
        <v>9</v>
      </c>
      <c r="F392">
        <v>0</v>
      </c>
      <c r="G392">
        <v>20260303</v>
      </c>
      <c r="H392">
        <v>20260409</v>
      </c>
      <c r="I392">
        <v>5803.1473999999998</v>
      </c>
      <c r="J392">
        <f t="shared" si="51"/>
        <v>38</v>
      </c>
      <c r="K392">
        <f t="shared" si="52"/>
        <v>152.71440526315789</v>
      </c>
      <c r="L392">
        <f t="shared" si="53"/>
        <v>7135.9864573201376</v>
      </c>
      <c r="M392">
        <f t="shared" si="54"/>
        <v>1374.429647368421</v>
      </c>
      <c r="N392">
        <f t="shared" si="55"/>
        <v>0</v>
      </c>
      <c r="O392">
        <f t="shared" si="56"/>
        <v>8510.4161046885583</v>
      </c>
      <c r="P392">
        <f t="shared" si="57"/>
        <v>4865.9408361264868</v>
      </c>
      <c r="Q392">
        <f t="shared" si="58"/>
        <v>937.20656387351266</v>
      </c>
      <c r="R392">
        <f t="shared" si="59"/>
        <v>0</v>
      </c>
      <c r="S392">
        <f t="shared" si="60"/>
        <v>5803.1473999999998</v>
      </c>
    </row>
    <row r="393" spans="1:19" x14ac:dyDescent="0.3">
      <c r="A393" t="s">
        <v>13</v>
      </c>
      <c r="B393" t="s">
        <v>33</v>
      </c>
      <c r="C393" t="s">
        <v>15</v>
      </c>
      <c r="D393">
        <v>0</v>
      </c>
      <c r="E393">
        <v>13</v>
      </c>
      <c r="F393">
        <v>0</v>
      </c>
      <c r="G393">
        <v>20260404</v>
      </c>
      <c r="H393">
        <v>20260416</v>
      </c>
      <c r="I393">
        <v>336.99990000000003</v>
      </c>
      <c r="J393">
        <f t="shared" si="51"/>
        <v>13</v>
      </c>
      <c r="K393">
        <f t="shared" si="52"/>
        <v>25.923069230769233</v>
      </c>
      <c r="L393">
        <f t="shared" si="53"/>
        <v>0</v>
      </c>
      <c r="M393">
        <f t="shared" si="54"/>
        <v>336.99990000000003</v>
      </c>
      <c r="N393">
        <f t="shared" si="55"/>
        <v>0</v>
      </c>
      <c r="O393">
        <f t="shared" si="56"/>
        <v>336.99990000000003</v>
      </c>
      <c r="P393">
        <f t="shared" si="57"/>
        <v>0</v>
      </c>
      <c r="Q393">
        <f t="shared" si="58"/>
        <v>336.99990000000003</v>
      </c>
      <c r="R393">
        <f t="shared" si="59"/>
        <v>0</v>
      </c>
      <c r="S393">
        <f t="shared" si="60"/>
        <v>336.99990000000003</v>
      </c>
    </row>
    <row r="394" spans="1:19" x14ac:dyDescent="0.3">
      <c r="A394" t="s">
        <v>13</v>
      </c>
      <c r="B394" t="s">
        <v>33</v>
      </c>
      <c r="C394" t="s">
        <v>14</v>
      </c>
      <c r="D394">
        <v>0</v>
      </c>
      <c r="E394">
        <v>23</v>
      </c>
      <c r="F394">
        <v>11</v>
      </c>
      <c r="G394">
        <v>20260408</v>
      </c>
      <c r="H394">
        <v>20260511</v>
      </c>
      <c r="I394">
        <v>42.210999999999999</v>
      </c>
      <c r="J394">
        <f t="shared" si="51"/>
        <v>34</v>
      </c>
      <c r="K394">
        <f t="shared" si="52"/>
        <v>1.2415</v>
      </c>
      <c r="L394">
        <f t="shared" si="53"/>
        <v>0</v>
      </c>
      <c r="M394">
        <f t="shared" si="54"/>
        <v>28.554500000000001</v>
      </c>
      <c r="N394">
        <f t="shared" si="55"/>
        <v>10.262797261009126</v>
      </c>
      <c r="O394">
        <f t="shared" si="56"/>
        <v>38.817297261009131</v>
      </c>
      <c r="P394">
        <f t="shared" si="57"/>
        <v>0</v>
      </c>
      <c r="Q394">
        <f t="shared" si="58"/>
        <v>31.050951110671573</v>
      </c>
      <c r="R394">
        <f t="shared" si="59"/>
        <v>11.160048889328424</v>
      </c>
      <c r="S394">
        <f t="shared" si="60"/>
        <v>42.210999999999999</v>
      </c>
    </row>
    <row r="395" spans="1:19" x14ac:dyDescent="0.3">
      <c r="A395" t="s">
        <v>13</v>
      </c>
      <c r="B395" t="s">
        <v>33</v>
      </c>
      <c r="C395" t="s">
        <v>15</v>
      </c>
      <c r="D395">
        <v>0</v>
      </c>
      <c r="E395">
        <v>10</v>
      </c>
      <c r="F395">
        <v>15</v>
      </c>
      <c r="G395">
        <v>20260421</v>
      </c>
      <c r="H395">
        <v>20260515</v>
      </c>
      <c r="I395">
        <v>20123.3164</v>
      </c>
      <c r="J395">
        <f t="shared" ref="J395:J458" si="61">IF(D395&lt;0,0,D395)+E395+F395</f>
        <v>25</v>
      </c>
      <c r="K395">
        <f t="shared" ref="K395:K458" si="62">I395/J395</f>
        <v>804.93265599999995</v>
      </c>
      <c r="L395">
        <f t="shared" ref="L395:L458" si="63">IF(D395&lt;0,0,D395)*$K395*$B$6</f>
        <v>0</v>
      </c>
      <c r="M395">
        <f t="shared" ref="M395:M458" si="64">IF(E395&lt;0,0,E395)*$K395*$C$6</f>
        <v>8049.3265599999995</v>
      </c>
      <c r="N395">
        <f t="shared" ref="N395:N458" si="65">IF(F395&lt;0,0,F395)*$K395*$D$6</f>
        <v>9073.5481169702325</v>
      </c>
      <c r="O395">
        <f t="shared" ref="O395:O458" si="66">L395+M395+N395</f>
        <v>17122.874676970234</v>
      </c>
      <c r="P395">
        <f t="shared" ref="P395:P458" si="67">L395/$O395*$I395</f>
        <v>0</v>
      </c>
      <c r="Q395">
        <f t="shared" ref="Q395:Q458" si="68">M395/$O395*$I395</f>
        <v>9459.8102380356013</v>
      </c>
      <c r="R395">
        <f t="shared" ref="R395:R458" si="69">N395/$O395*$I395</f>
        <v>10663.506161964395</v>
      </c>
      <c r="S395">
        <f t="shared" ref="S395:S458" si="70">P395+Q395+R395</f>
        <v>20123.316399999996</v>
      </c>
    </row>
    <row r="396" spans="1:19" x14ac:dyDescent="0.3">
      <c r="A396" t="s">
        <v>13</v>
      </c>
      <c r="B396" t="s">
        <v>33</v>
      </c>
      <c r="C396" t="s">
        <v>15</v>
      </c>
      <c r="D396">
        <v>29</v>
      </c>
      <c r="E396">
        <v>8</v>
      </c>
      <c r="F396">
        <v>0</v>
      </c>
      <c r="G396">
        <v>20260303</v>
      </c>
      <c r="H396">
        <v>20260408</v>
      </c>
      <c r="I396">
        <v>5653.6493</v>
      </c>
      <c r="J396">
        <f t="shared" si="61"/>
        <v>37</v>
      </c>
      <c r="K396">
        <f t="shared" si="62"/>
        <v>152.80133243243245</v>
      </c>
      <c r="L396">
        <f t="shared" si="63"/>
        <v>7140.0483603321518</v>
      </c>
      <c r="M396">
        <f t="shared" si="64"/>
        <v>1222.4106594594596</v>
      </c>
      <c r="N396">
        <f t="shared" si="65"/>
        <v>0</v>
      </c>
      <c r="O396">
        <f t="shared" si="66"/>
        <v>8362.4590197916114</v>
      </c>
      <c r="P396">
        <f t="shared" si="67"/>
        <v>4827.2080399819952</v>
      </c>
      <c r="Q396">
        <f t="shared" si="68"/>
        <v>826.44126001800521</v>
      </c>
      <c r="R396">
        <f t="shared" si="69"/>
        <v>0</v>
      </c>
      <c r="S396">
        <f t="shared" si="70"/>
        <v>5653.6493</v>
      </c>
    </row>
    <row r="397" spans="1:19" x14ac:dyDescent="0.3">
      <c r="A397" t="s">
        <v>13</v>
      </c>
      <c r="B397" t="s">
        <v>24</v>
      </c>
      <c r="C397" t="s">
        <v>15</v>
      </c>
      <c r="D397">
        <v>16</v>
      </c>
      <c r="E397">
        <v>16</v>
      </c>
      <c r="F397">
        <v>0</v>
      </c>
      <c r="G397">
        <v>20260316</v>
      </c>
      <c r="H397">
        <v>20260416</v>
      </c>
      <c r="I397">
        <v>6845.7925999999998</v>
      </c>
      <c r="J397">
        <f t="shared" si="61"/>
        <v>32</v>
      </c>
      <c r="K397">
        <f t="shared" si="62"/>
        <v>213.93101874999999</v>
      </c>
      <c r="L397">
        <f t="shared" si="63"/>
        <v>5515.3078172789938</v>
      </c>
      <c r="M397">
        <f t="shared" si="64"/>
        <v>3422.8962999999999</v>
      </c>
      <c r="N397">
        <f t="shared" si="65"/>
        <v>0</v>
      </c>
      <c r="O397">
        <f t="shared" si="66"/>
        <v>8938.2041172789941</v>
      </c>
      <c r="P397">
        <f t="shared" si="67"/>
        <v>4224.1878734074744</v>
      </c>
      <c r="Q397">
        <f t="shared" si="68"/>
        <v>2621.6047265925249</v>
      </c>
      <c r="R397">
        <f t="shared" si="69"/>
        <v>0</v>
      </c>
      <c r="S397">
        <f t="shared" si="70"/>
        <v>6845.7925999999989</v>
      </c>
    </row>
    <row r="398" spans="1:19" x14ac:dyDescent="0.3">
      <c r="A398" t="s">
        <v>13</v>
      </c>
      <c r="B398" t="s">
        <v>24</v>
      </c>
      <c r="C398" t="s">
        <v>15</v>
      </c>
      <c r="D398">
        <v>30</v>
      </c>
      <c r="E398">
        <v>11</v>
      </c>
      <c r="F398">
        <v>0</v>
      </c>
      <c r="G398">
        <v>20260302</v>
      </c>
      <c r="H398">
        <v>20260411</v>
      </c>
      <c r="I398">
        <v>11944.5144</v>
      </c>
      <c r="J398">
        <f t="shared" si="61"/>
        <v>41</v>
      </c>
      <c r="K398">
        <f t="shared" si="62"/>
        <v>291.32961951219511</v>
      </c>
      <c r="L398">
        <f t="shared" si="63"/>
        <v>14082.569734004428</v>
      </c>
      <c r="M398">
        <f t="shared" si="64"/>
        <v>3204.6258146341461</v>
      </c>
      <c r="N398">
        <f t="shared" si="65"/>
        <v>0</v>
      </c>
      <c r="O398">
        <f t="shared" si="66"/>
        <v>17287.195548638574</v>
      </c>
      <c r="P398">
        <f t="shared" si="67"/>
        <v>9730.2917933422195</v>
      </c>
      <c r="Q398">
        <f t="shared" si="68"/>
        <v>2214.2226066577805</v>
      </c>
      <c r="R398">
        <f t="shared" si="69"/>
        <v>0</v>
      </c>
      <c r="S398">
        <f t="shared" si="70"/>
        <v>11944.5144</v>
      </c>
    </row>
    <row r="399" spans="1:19" x14ac:dyDescent="0.3">
      <c r="A399" t="s">
        <v>13</v>
      </c>
      <c r="B399" t="s">
        <v>24</v>
      </c>
      <c r="C399" t="s">
        <v>15</v>
      </c>
      <c r="D399">
        <v>23</v>
      </c>
      <c r="E399">
        <v>3</v>
      </c>
      <c r="F399">
        <v>0</v>
      </c>
      <c r="G399">
        <v>20260309</v>
      </c>
      <c r="H399">
        <v>20260403</v>
      </c>
      <c r="I399">
        <v>24330.237300000001</v>
      </c>
      <c r="J399">
        <f t="shared" si="61"/>
        <v>26</v>
      </c>
      <c r="K399">
        <f t="shared" si="62"/>
        <v>935.77835769230774</v>
      </c>
      <c r="L399">
        <f t="shared" si="63"/>
        <v>34679.82097578601</v>
      </c>
      <c r="M399">
        <f t="shared" si="64"/>
        <v>2807.3350730769234</v>
      </c>
      <c r="N399">
        <f t="shared" si="65"/>
        <v>0</v>
      </c>
      <c r="O399">
        <f t="shared" si="66"/>
        <v>37487.156048862933</v>
      </c>
      <c r="P399">
        <f t="shared" si="67"/>
        <v>22508.196481018051</v>
      </c>
      <c r="Q399">
        <f t="shared" si="68"/>
        <v>1822.0408189819505</v>
      </c>
      <c r="R399">
        <f t="shared" si="69"/>
        <v>0</v>
      </c>
      <c r="S399">
        <f t="shared" si="70"/>
        <v>24330.237300000001</v>
      </c>
    </row>
    <row r="400" spans="1:19" x14ac:dyDescent="0.3">
      <c r="A400" t="s">
        <v>13</v>
      </c>
      <c r="B400" t="s">
        <v>33</v>
      </c>
      <c r="C400" t="s">
        <v>15</v>
      </c>
      <c r="D400">
        <v>0</v>
      </c>
      <c r="E400">
        <v>27</v>
      </c>
      <c r="F400">
        <v>14</v>
      </c>
      <c r="G400">
        <v>20260404</v>
      </c>
      <c r="H400">
        <v>20260514</v>
      </c>
      <c r="I400">
        <v>57906.807500000003</v>
      </c>
      <c r="J400">
        <f t="shared" si="61"/>
        <v>41</v>
      </c>
      <c r="K400">
        <f t="shared" si="62"/>
        <v>1412.3611585365854</v>
      </c>
      <c r="L400">
        <f t="shared" si="63"/>
        <v>0</v>
      </c>
      <c r="M400">
        <f t="shared" si="64"/>
        <v>38133.751280487806</v>
      </c>
      <c r="N400">
        <f t="shared" si="65"/>
        <v>14859.361272023521</v>
      </c>
      <c r="O400">
        <f t="shared" si="66"/>
        <v>52993.112552511331</v>
      </c>
      <c r="P400">
        <f t="shared" si="67"/>
        <v>0</v>
      </c>
      <c r="Q400">
        <f t="shared" si="68"/>
        <v>41669.637586657278</v>
      </c>
      <c r="R400">
        <f t="shared" si="69"/>
        <v>16237.169913342716</v>
      </c>
      <c r="S400">
        <f t="shared" si="70"/>
        <v>57906.807499999995</v>
      </c>
    </row>
    <row r="401" spans="1:19" x14ac:dyDescent="0.3">
      <c r="A401" t="s">
        <v>13</v>
      </c>
      <c r="B401" t="s">
        <v>33</v>
      </c>
      <c r="C401" t="s">
        <v>15</v>
      </c>
      <c r="D401">
        <v>21</v>
      </c>
      <c r="E401">
        <v>2</v>
      </c>
      <c r="F401">
        <v>0</v>
      </c>
      <c r="G401">
        <v>20260311</v>
      </c>
      <c r="H401">
        <v>20260402</v>
      </c>
      <c r="I401">
        <v>952.03359999999998</v>
      </c>
      <c r="J401">
        <f t="shared" si="61"/>
        <v>23</v>
      </c>
      <c r="K401">
        <f t="shared" si="62"/>
        <v>41.3927652173913</v>
      </c>
      <c r="L401">
        <f t="shared" si="63"/>
        <v>1400.6181470434024</v>
      </c>
      <c r="M401">
        <f t="shared" si="64"/>
        <v>82.785530434782601</v>
      </c>
      <c r="N401">
        <f t="shared" si="65"/>
        <v>0</v>
      </c>
      <c r="O401">
        <f t="shared" si="66"/>
        <v>1483.403677478185</v>
      </c>
      <c r="P401">
        <f t="shared" si="67"/>
        <v>898.9026769988368</v>
      </c>
      <c r="Q401">
        <f t="shared" si="68"/>
        <v>53.130923001163104</v>
      </c>
      <c r="R401">
        <f t="shared" si="69"/>
        <v>0</v>
      </c>
      <c r="S401">
        <f t="shared" si="70"/>
        <v>952.03359999999986</v>
      </c>
    </row>
    <row r="402" spans="1:19" x14ac:dyDescent="0.3">
      <c r="A402" t="s">
        <v>13</v>
      </c>
      <c r="B402" t="s">
        <v>33</v>
      </c>
      <c r="C402" t="s">
        <v>15</v>
      </c>
      <c r="D402">
        <v>0</v>
      </c>
      <c r="E402">
        <v>25</v>
      </c>
      <c r="F402">
        <v>0</v>
      </c>
      <c r="G402">
        <v>20260406</v>
      </c>
      <c r="H402">
        <v>20260430</v>
      </c>
      <c r="I402">
        <v>4345.7952999999998</v>
      </c>
      <c r="J402">
        <f t="shared" si="61"/>
        <v>25</v>
      </c>
      <c r="K402">
        <f t="shared" si="62"/>
        <v>173.83181199999999</v>
      </c>
      <c r="L402">
        <f t="shared" si="63"/>
        <v>0</v>
      </c>
      <c r="M402">
        <f t="shared" si="64"/>
        <v>4345.7952999999998</v>
      </c>
      <c r="N402">
        <f t="shared" si="65"/>
        <v>0</v>
      </c>
      <c r="O402">
        <f t="shared" si="66"/>
        <v>4345.7952999999998</v>
      </c>
      <c r="P402">
        <f t="shared" si="67"/>
        <v>0</v>
      </c>
      <c r="Q402">
        <f t="shared" si="68"/>
        <v>4345.7952999999998</v>
      </c>
      <c r="R402">
        <f t="shared" si="69"/>
        <v>0</v>
      </c>
      <c r="S402">
        <f t="shared" si="70"/>
        <v>4345.7952999999998</v>
      </c>
    </row>
    <row r="403" spans="1:19" x14ac:dyDescent="0.3">
      <c r="A403" t="s">
        <v>13</v>
      </c>
      <c r="B403" t="s">
        <v>24</v>
      </c>
      <c r="C403" t="s">
        <v>15</v>
      </c>
      <c r="D403">
        <v>29</v>
      </c>
      <c r="E403">
        <v>14</v>
      </c>
      <c r="F403">
        <v>0</v>
      </c>
      <c r="G403">
        <v>20260303</v>
      </c>
      <c r="H403">
        <v>20260414</v>
      </c>
      <c r="I403">
        <v>6712.5950999999995</v>
      </c>
      <c r="J403">
        <f t="shared" si="61"/>
        <v>43</v>
      </c>
      <c r="K403">
        <f t="shared" si="62"/>
        <v>156.10686279069768</v>
      </c>
      <c r="L403">
        <f t="shared" si="63"/>
        <v>7294.5080514804358</v>
      </c>
      <c r="M403">
        <f t="shared" si="64"/>
        <v>2185.4960790697673</v>
      </c>
      <c r="N403">
        <f t="shared" si="65"/>
        <v>0</v>
      </c>
      <c r="O403">
        <f t="shared" si="66"/>
        <v>9480.0041305502036</v>
      </c>
      <c r="P403">
        <f t="shared" si="67"/>
        <v>5165.0904713726395</v>
      </c>
      <c r="Q403">
        <f t="shared" si="68"/>
        <v>1547.50462862736</v>
      </c>
      <c r="R403">
        <f t="shared" si="69"/>
        <v>0</v>
      </c>
      <c r="S403">
        <f t="shared" si="70"/>
        <v>6712.5950999999995</v>
      </c>
    </row>
    <row r="404" spans="1:19" x14ac:dyDescent="0.3">
      <c r="A404" t="s">
        <v>13</v>
      </c>
      <c r="B404" t="s">
        <v>33</v>
      </c>
      <c r="C404" t="s">
        <v>15</v>
      </c>
      <c r="D404">
        <v>21</v>
      </c>
      <c r="E404">
        <v>7</v>
      </c>
      <c r="F404">
        <v>0</v>
      </c>
      <c r="G404">
        <v>20260311</v>
      </c>
      <c r="H404">
        <v>20260407</v>
      </c>
      <c r="I404">
        <v>1136.4942000000001</v>
      </c>
      <c r="J404">
        <f t="shared" si="61"/>
        <v>28</v>
      </c>
      <c r="K404">
        <f t="shared" si="62"/>
        <v>40.589078571428573</v>
      </c>
      <c r="L404">
        <f t="shared" si="63"/>
        <v>1373.4235855068639</v>
      </c>
      <c r="M404">
        <f t="shared" si="64"/>
        <v>284.12355000000002</v>
      </c>
      <c r="N404">
        <f t="shared" si="65"/>
        <v>0</v>
      </c>
      <c r="O404">
        <f t="shared" si="66"/>
        <v>1657.5471355068639</v>
      </c>
      <c r="P404">
        <f t="shared" si="67"/>
        <v>941.68540105765896</v>
      </c>
      <c r="Q404">
        <f t="shared" si="68"/>
        <v>194.8087989423411</v>
      </c>
      <c r="R404">
        <f t="shared" si="69"/>
        <v>0</v>
      </c>
      <c r="S404">
        <f t="shared" si="70"/>
        <v>1136.4942000000001</v>
      </c>
    </row>
    <row r="405" spans="1:19" x14ac:dyDescent="0.3">
      <c r="A405" t="s">
        <v>13</v>
      </c>
      <c r="B405" t="s">
        <v>24</v>
      </c>
      <c r="C405" t="s">
        <v>15</v>
      </c>
      <c r="D405">
        <v>20</v>
      </c>
      <c r="E405">
        <v>3</v>
      </c>
      <c r="F405">
        <v>0</v>
      </c>
      <c r="G405">
        <v>20260312</v>
      </c>
      <c r="H405">
        <v>20260403</v>
      </c>
      <c r="I405">
        <v>9374.0892000000003</v>
      </c>
      <c r="J405">
        <f t="shared" si="61"/>
        <v>23</v>
      </c>
      <c r="K405">
        <f t="shared" si="62"/>
        <v>407.56909565217393</v>
      </c>
      <c r="L405">
        <f t="shared" si="63"/>
        <v>13134.309790990543</v>
      </c>
      <c r="M405">
        <f t="shared" si="64"/>
        <v>1222.7072869565218</v>
      </c>
      <c r="N405">
        <f t="shared" si="65"/>
        <v>0</v>
      </c>
      <c r="O405">
        <f t="shared" si="66"/>
        <v>14357.017077947065</v>
      </c>
      <c r="P405">
        <f t="shared" si="67"/>
        <v>8575.7501640294886</v>
      </c>
      <c r="Q405">
        <f t="shared" si="68"/>
        <v>798.33903597051165</v>
      </c>
      <c r="R405">
        <f t="shared" si="69"/>
        <v>0</v>
      </c>
      <c r="S405">
        <f t="shared" si="70"/>
        <v>9374.0892000000003</v>
      </c>
    </row>
    <row r="406" spans="1:19" x14ac:dyDescent="0.3">
      <c r="A406" t="s">
        <v>13</v>
      </c>
      <c r="B406" t="s">
        <v>33</v>
      </c>
      <c r="C406" t="s">
        <v>14</v>
      </c>
      <c r="D406">
        <v>0</v>
      </c>
      <c r="E406">
        <v>23</v>
      </c>
      <c r="F406">
        <v>0</v>
      </c>
      <c r="G406">
        <v>20260402</v>
      </c>
      <c r="H406">
        <v>20260424</v>
      </c>
      <c r="I406">
        <v>84.331000000000003</v>
      </c>
      <c r="J406">
        <f t="shared" si="61"/>
        <v>23</v>
      </c>
      <c r="K406">
        <f t="shared" si="62"/>
        <v>3.6665652173913044</v>
      </c>
      <c r="L406">
        <f t="shared" si="63"/>
        <v>0</v>
      </c>
      <c r="M406">
        <f t="shared" si="64"/>
        <v>84.331000000000003</v>
      </c>
      <c r="N406">
        <f t="shared" si="65"/>
        <v>0</v>
      </c>
      <c r="O406">
        <f t="shared" si="66"/>
        <v>84.331000000000003</v>
      </c>
      <c r="P406">
        <f t="shared" si="67"/>
        <v>0</v>
      </c>
      <c r="Q406">
        <f t="shared" si="68"/>
        <v>84.331000000000003</v>
      </c>
      <c r="R406">
        <f t="shared" si="69"/>
        <v>0</v>
      </c>
      <c r="S406">
        <f t="shared" si="70"/>
        <v>84.331000000000003</v>
      </c>
    </row>
    <row r="407" spans="1:19" x14ac:dyDescent="0.3">
      <c r="A407" t="s">
        <v>13</v>
      </c>
      <c r="B407" t="s">
        <v>24</v>
      </c>
      <c r="C407" t="s">
        <v>15</v>
      </c>
      <c r="D407">
        <v>31</v>
      </c>
      <c r="E407">
        <v>1</v>
      </c>
      <c r="F407">
        <v>0</v>
      </c>
      <c r="G407">
        <v>20260226</v>
      </c>
      <c r="H407">
        <v>20260401</v>
      </c>
      <c r="I407">
        <v>15507.123</v>
      </c>
      <c r="J407">
        <f t="shared" si="61"/>
        <v>32</v>
      </c>
      <c r="K407">
        <f t="shared" si="62"/>
        <v>484.59759374999999</v>
      </c>
      <c r="L407">
        <f t="shared" si="63"/>
        <v>24205.773282808164</v>
      </c>
      <c r="M407">
        <f t="shared" si="64"/>
        <v>484.59759374999999</v>
      </c>
      <c r="N407">
        <f t="shared" si="65"/>
        <v>0</v>
      </c>
      <c r="O407">
        <f t="shared" si="66"/>
        <v>24690.370876558165</v>
      </c>
      <c r="P407">
        <f t="shared" si="67"/>
        <v>15202.764894998019</v>
      </c>
      <c r="Q407">
        <f t="shared" si="68"/>
        <v>304.3581050019784</v>
      </c>
      <c r="R407">
        <f t="shared" si="69"/>
        <v>0</v>
      </c>
      <c r="S407">
        <f t="shared" si="70"/>
        <v>15507.122999999998</v>
      </c>
    </row>
    <row r="408" spans="1:19" x14ac:dyDescent="0.3">
      <c r="A408" t="s">
        <v>13</v>
      </c>
      <c r="B408" t="s">
        <v>33</v>
      </c>
      <c r="C408" t="s">
        <v>14</v>
      </c>
      <c r="D408">
        <v>31</v>
      </c>
      <c r="E408">
        <v>1</v>
      </c>
      <c r="F408">
        <v>0</v>
      </c>
      <c r="G408">
        <v>20260227</v>
      </c>
      <c r="H408">
        <v>20260401</v>
      </c>
      <c r="I408">
        <v>19.8719</v>
      </c>
      <c r="J408">
        <f t="shared" si="61"/>
        <v>32</v>
      </c>
      <c r="K408">
        <f t="shared" si="62"/>
        <v>0.620996875</v>
      </c>
      <c r="L408">
        <f t="shared" si="63"/>
        <v>31.018952135649894</v>
      </c>
      <c r="M408">
        <f t="shared" si="64"/>
        <v>0.620996875</v>
      </c>
      <c r="N408">
        <f t="shared" si="65"/>
        <v>0</v>
      </c>
      <c r="O408">
        <f t="shared" si="66"/>
        <v>31.639949010649893</v>
      </c>
      <c r="P408">
        <f t="shared" si="67"/>
        <v>19.481874472583417</v>
      </c>
      <c r="Q408">
        <f t="shared" si="68"/>
        <v>0.39002552741658247</v>
      </c>
      <c r="R408">
        <f t="shared" si="69"/>
        <v>0</v>
      </c>
      <c r="S408">
        <f t="shared" si="70"/>
        <v>19.8719</v>
      </c>
    </row>
    <row r="409" spans="1:19" x14ac:dyDescent="0.3">
      <c r="A409" t="s">
        <v>13</v>
      </c>
      <c r="B409" t="s">
        <v>33</v>
      </c>
      <c r="C409" t="s">
        <v>15</v>
      </c>
      <c r="D409">
        <v>31</v>
      </c>
      <c r="E409">
        <v>1</v>
      </c>
      <c r="F409">
        <v>0</v>
      </c>
      <c r="G409">
        <v>20260227</v>
      </c>
      <c r="H409">
        <v>20260401</v>
      </c>
      <c r="I409">
        <v>1055.694</v>
      </c>
      <c r="J409">
        <f t="shared" si="61"/>
        <v>32</v>
      </c>
      <c r="K409">
        <f t="shared" si="62"/>
        <v>32.990437499999999</v>
      </c>
      <c r="L409">
        <f t="shared" si="63"/>
        <v>1647.8807590563952</v>
      </c>
      <c r="M409">
        <f t="shared" si="64"/>
        <v>32.990437499999999</v>
      </c>
      <c r="N409">
        <f t="shared" si="65"/>
        <v>0</v>
      </c>
      <c r="O409">
        <f t="shared" si="66"/>
        <v>1680.8711965563953</v>
      </c>
      <c r="P409">
        <f t="shared" si="67"/>
        <v>1034.9739073495477</v>
      </c>
      <c r="Q409">
        <f t="shared" si="68"/>
        <v>20.720092650452223</v>
      </c>
      <c r="R409">
        <f t="shared" si="69"/>
        <v>0</v>
      </c>
      <c r="S409">
        <f t="shared" si="70"/>
        <v>1055.694</v>
      </c>
    </row>
    <row r="410" spans="1:19" x14ac:dyDescent="0.3">
      <c r="A410" t="s">
        <v>13</v>
      </c>
      <c r="B410" t="s">
        <v>33</v>
      </c>
      <c r="C410" t="s">
        <v>15</v>
      </c>
      <c r="D410">
        <v>31</v>
      </c>
      <c r="E410">
        <v>3</v>
      </c>
      <c r="F410">
        <v>0</v>
      </c>
      <c r="G410">
        <v>20260226</v>
      </c>
      <c r="H410">
        <v>20260403</v>
      </c>
      <c r="I410">
        <v>2434.0315999999998</v>
      </c>
      <c r="J410">
        <f t="shared" si="61"/>
        <v>34</v>
      </c>
      <c r="K410">
        <f t="shared" si="62"/>
        <v>71.589164705882354</v>
      </c>
      <c r="L410">
        <f t="shared" si="63"/>
        <v>3575.8970179083772</v>
      </c>
      <c r="M410">
        <f t="shared" si="64"/>
        <v>214.76749411764706</v>
      </c>
      <c r="N410">
        <f t="shared" si="65"/>
        <v>0</v>
      </c>
      <c r="O410">
        <f t="shared" si="66"/>
        <v>3790.6645120260241</v>
      </c>
      <c r="P410">
        <f t="shared" si="67"/>
        <v>2296.1267905195723</v>
      </c>
      <c r="Q410">
        <f t="shared" si="68"/>
        <v>137.90480948042762</v>
      </c>
      <c r="R410">
        <f t="shared" si="69"/>
        <v>0</v>
      </c>
      <c r="S410">
        <f t="shared" si="70"/>
        <v>2434.0315999999998</v>
      </c>
    </row>
    <row r="411" spans="1:19" x14ac:dyDescent="0.3">
      <c r="A411" t="s">
        <v>13</v>
      </c>
      <c r="B411" t="s">
        <v>24</v>
      </c>
      <c r="C411" t="s">
        <v>15</v>
      </c>
      <c r="D411">
        <v>31</v>
      </c>
      <c r="E411">
        <v>3</v>
      </c>
      <c r="F411">
        <v>0</v>
      </c>
      <c r="G411">
        <v>20260226</v>
      </c>
      <c r="H411">
        <v>20260403</v>
      </c>
      <c r="I411">
        <v>27585.691900000002</v>
      </c>
      <c r="J411">
        <f t="shared" si="61"/>
        <v>34</v>
      </c>
      <c r="K411">
        <f t="shared" si="62"/>
        <v>811.34387941176476</v>
      </c>
      <c r="L411">
        <f t="shared" si="63"/>
        <v>40526.833506249175</v>
      </c>
      <c r="M411">
        <f t="shared" si="64"/>
        <v>2434.0316382352944</v>
      </c>
      <c r="N411">
        <f t="shared" si="65"/>
        <v>0</v>
      </c>
      <c r="O411">
        <f t="shared" si="66"/>
        <v>42960.865144484473</v>
      </c>
      <c r="P411">
        <f t="shared" si="67"/>
        <v>26022.77070133714</v>
      </c>
      <c r="Q411">
        <f t="shared" si="68"/>
        <v>1562.9211986628586</v>
      </c>
      <c r="R411">
        <f t="shared" si="69"/>
        <v>0</v>
      </c>
      <c r="S411">
        <f t="shared" si="70"/>
        <v>27585.691899999998</v>
      </c>
    </row>
    <row r="412" spans="1:19" x14ac:dyDescent="0.3">
      <c r="A412" t="s">
        <v>13</v>
      </c>
      <c r="B412" t="s">
        <v>24</v>
      </c>
      <c r="C412" t="s">
        <v>15</v>
      </c>
      <c r="D412">
        <v>31</v>
      </c>
      <c r="E412">
        <v>2</v>
      </c>
      <c r="F412">
        <v>0</v>
      </c>
      <c r="G412">
        <v>20260228</v>
      </c>
      <c r="H412">
        <v>20260402</v>
      </c>
      <c r="I412">
        <v>13948.1068</v>
      </c>
      <c r="J412">
        <f t="shared" si="61"/>
        <v>33</v>
      </c>
      <c r="K412">
        <f t="shared" si="62"/>
        <v>422.66990303030303</v>
      </c>
      <c r="L412">
        <f t="shared" si="63"/>
        <v>21112.469352243927</v>
      </c>
      <c r="M412">
        <f t="shared" si="64"/>
        <v>845.33980606060607</v>
      </c>
      <c r="N412">
        <f t="shared" si="65"/>
        <v>0</v>
      </c>
      <c r="O412">
        <f t="shared" si="66"/>
        <v>21957.809158304532</v>
      </c>
      <c r="P412">
        <f t="shared" si="67"/>
        <v>13411.127458745215</v>
      </c>
      <c r="Q412">
        <f t="shared" si="68"/>
        <v>536.97934125478355</v>
      </c>
      <c r="R412">
        <f t="shared" si="69"/>
        <v>0</v>
      </c>
      <c r="S412">
        <f t="shared" si="70"/>
        <v>13948.1068</v>
      </c>
    </row>
    <row r="413" spans="1:19" x14ac:dyDescent="0.3">
      <c r="A413" t="s">
        <v>13</v>
      </c>
      <c r="B413" t="s">
        <v>24</v>
      </c>
      <c r="C413" t="s">
        <v>14</v>
      </c>
      <c r="D413">
        <v>31</v>
      </c>
      <c r="E413">
        <v>3</v>
      </c>
      <c r="F413">
        <v>0</v>
      </c>
      <c r="G413">
        <v>20260226</v>
      </c>
      <c r="H413">
        <v>20260403</v>
      </c>
      <c r="I413">
        <v>931.1626</v>
      </c>
      <c r="J413">
        <f t="shared" si="61"/>
        <v>34</v>
      </c>
      <c r="K413">
        <f t="shared" si="62"/>
        <v>27.387135294117648</v>
      </c>
      <c r="L413">
        <f t="shared" si="63"/>
        <v>1367.9943861566182</v>
      </c>
      <c r="M413">
        <f t="shared" si="64"/>
        <v>82.161405882352938</v>
      </c>
      <c r="N413">
        <f t="shared" si="65"/>
        <v>0</v>
      </c>
      <c r="O413">
        <f t="shared" si="66"/>
        <v>1450.1557920389712</v>
      </c>
      <c r="P413">
        <f t="shared" si="67"/>
        <v>878.40576605080241</v>
      </c>
      <c r="Q413">
        <f t="shared" si="68"/>
        <v>52.756833949197549</v>
      </c>
      <c r="R413">
        <f t="shared" si="69"/>
        <v>0</v>
      </c>
      <c r="S413">
        <f t="shared" si="70"/>
        <v>931.1626</v>
      </c>
    </row>
    <row r="414" spans="1:19" x14ac:dyDescent="0.3">
      <c r="A414" t="s">
        <v>13</v>
      </c>
      <c r="B414" t="s">
        <v>24</v>
      </c>
      <c r="C414" t="s">
        <v>15</v>
      </c>
      <c r="D414">
        <v>19</v>
      </c>
      <c r="E414">
        <v>1</v>
      </c>
      <c r="F414">
        <v>0</v>
      </c>
      <c r="G414">
        <v>20260313</v>
      </c>
      <c r="H414">
        <v>20260401</v>
      </c>
      <c r="I414">
        <v>28531.353599999999</v>
      </c>
      <c r="J414">
        <f t="shared" si="61"/>
        <v>20</v>
      </c>
      <c r="K414">
        <f t="shared" si="62"/>
        <v>1426.5676799999999</v>
      </c>
      <c r="L414">
        <f t="shared" si="63"/>
        <v>43673.902031519217</v>
      </c>
      <c r="M414">
        <f t="shared" si="64"/>
        <v>1426.5676799999999</v>
      </c>
      <c r="N414">
        <f t="shared" si="65"/>
        <v>0</v>
      </c>
      <c r="O414">
        <f t="shared" si="66"/>
        <v>45100.469711519218</v>
      </c>
      <c r="P414">
        <f t="shared" si="67"/>
        <v>27628.881692883344</v>
      </c>
      <c r="Q414">
        <f t="shared" si="68"/>
        <v>902.47190711665417</v>
      </c>
      <c r="R414">
        <f t="shared" si="69"/>
        <v>0</v>
      </c>
      <c r="S414">
        <f t="shared" si="70"/>
        <v>28531.353599999999</v>
      </c>
    </row>
    <row r="415" spans="1:19" x14ac:dyDescent="0.3">
      <c r="A415" t="s">
        <v>13</v>
      </c>
      <c r="B415" t="s">
        <v>24</v>
      </c>
      <c r="C415" t="s">
        <v>15</v>
      </c>
      <c r="D415">
        <v>1</v>
      </c>
      <c r="E415">
        <v>30</v>
      </c>
      <c r="F415">
        <v>1</v>
      </c>
      <c r="G415">
        <v>20260331</v>
      </c>
      <c r="H415">
        <v>20260501</v>
      </c>
      <c r="I415">
        <v>839.45550000000003</v>
      </c>
      <c r="J415">
        <f t="shared" si="61"/>
        <v>32</v>
      </c>
      <c r="K415">
        <f t="shared" si="62"/>
        <v>26.232984375000001</v>
      </c>
      <c r="L415">
        <f t="shared" si="63"/>
        <v>42.26916947323096</v>
      </c>
      <c r="M415">
        <f t="shared" si="64"/>
        <v>786.98953125000003</v>
      </c>
      <c r="N415">
        <f t="shared" si="65"/>
        <v>19.713967721732889</v>
      </c>
      <c r="O415">
        <f t="shared" si="66"/>
        <v>848.9726684449638</v>
      </c>
      <c r="P415">
        <f t="shared" si="67"/>
        <v>41.795322880922747</v>
      </c>
      <c r="Q415">
        <f t="shared" si="68"/>
        <v>778.1672072674761</v>
      </c>
      <c r="R415">
        <f t="shared" si="69"/>
        <v>19.492969851601252</v>
      </c>
      <c r="S415">
        <f t="shared" si="70"/>
        <v>839.45550000000014</v>
      </c>
    </row>
    <row r="416" spans="1:19" x14ac:dyDescent="0.3">
      <c r="A416" t="s">
        <v>13</v>
      </c>
      <c r="B416" t="s">
        <v>33</v>
      </c>
      <c r="C416" t="s">
        <v>15</v>
      </c>
      <c r="D416">
        <v>6</v>
      </c>
      <c r="E416">
        <v>30</v>
      </c>
      <c r="F416">
        <v>4</v>
      </c>
      <c r="G416">
        <v>20260326</v>
      </c>
      <c r="H416">
        <v>20260504</v>
      </c>
      <c r="I416">
        <v>23811.039499999999</v>
      </c>
      <c r="J416">
        <f t="shared" si="61"/>
        <v>40</v>
      </c>
      <c r="K416">
        <f t="shared" si="62"/>
        <v>595.27598749999993</v>
      </c>
      <c r="L416">
        <f t="shared" si="63"/>
        <v>5755.0039841356966</v>
      </c>
      <c r="M416">
        <f t="shared" si="64"/>
        <v>17858.279624999999</v>
      </c>
      <c r="N416">
        <f t="shared" si="65"/>
        <v>1789.3887230430935</v>
      </c>
      <c r="O416">
        <f t="shared" si="66"/>
        <v>25402.672332178787</v>
      </c>
      <c r="P416">
        <f t="shared" si="67"/>
        <v>5394.4177760906923</v>
      </c>
      <c r="Q416">
        <f t="shared" si="68"/>
        <v>16739.349151635051</v>
      </c>
      <c r="R416">
        <f t="shared" si="69"/>
        <v>1677.2725722742587</v>
      </c>
      <c r="S416">
        <f t="shared" si="70"/>
        <v>23811.039500000003</v>
      </c>
    </row>
    <row r="417" spans="1:19" x14ac:dyDescent="0.3">
      <c r="A417" t="s">
        <v>13</v>
      </c>
      <c r="B417" t="s">
        <v>33</v>
      </c>
      <c r="C417" t="s">
        <v>15</v>
      </c>
      <c r="D417">
        <v>0</v>
      </c>
      <c r="E417">
        <v>30</v>
      </c>
      <c r="F417">
        <v>4</v>
      </c>
      <c r="G417">
        <v>20260401</v>
      </c>
      <c r="H417">
        <v>20260504</v>
      </c>
      <c r="I417">
        <v>23402.952600000001</v>
      </c>
      <c r="J417">
        <f t="shared" si="61"/>
        <v>34</v>
      </c>
      <c r="K417">
        <f t="shared" si="62"/>
        <v>688.32213529411763</v>
      </c>
      <c r="L417">
        <f t="shared" si="63"/>
        <v>0</v>
      </c>
      <c r="M417">
        <f t="shared" si="64"/>
        <v>20649.664058823528</v>
      </c>
      <c r="N417">
        <f t="shared" si="65"/>
        <v>2069.083740281455</v>
      </c>
      <c r="O417">
        <f t="shared" si="66"/>
        <v>22718.747799104982</v>
      </c>
      <c r="P417">
        <f t="shared" si="67"/>
        <v>0</v>
      </c>
      <c r="Q417">
        <f t="shared" si="68"/>
        <v>21271.555696991763</v>
      </c>
      <c r="R417">
        <f t="shared" si="69"/>
        <v>2131.396903008239</v>
      </c>
      <c r="S417">
        <f t="shared" si="70"/>
        <v>23402.952600000004</v>
      </c>
    </row>
    <row r="418" spans="1:19" x14ac:dyDescent="0.3">
      <c r="A418" t="s">
        <v>13</v>
      </c>
      <c r="B418" t="s">
        <v>33</v>
      </c>
      <c r="C418" t="s">
        <v>15</v>
      </c>
      <c r="D418">
        <v>15</v>
      </c>
      <c r="E418">
        <v>1</v>
      </c>
      <c r="F418">
        <v>0</v>
      </c>
      <c r="G418">
        <v>20260317</v>
      </c>
      <c r="H418">
        <v>20260401</v>
      </c>
      <c r="I418">
        <v>848.32219999999995</v>
      </c>
      <c r="J418">
        <f t="shared" si="61"/>
        <v>16</v>
      </c>
      <c r="K418">
        <f t="shared" si="62"/>
        <v>53.020137499999997</v>
      </c>
      <c r="L418">
        <f t="shared" si="63"/>
        <v>1281.4690536795861</v>
      </c>
      <c r="M418">
        <f t="shared" si="64"/>
        <v>53.020137499999997</v>
      </c>
      <c r="N418">
        <f t="shared" si="65"/>
        <v>0</v>
      </c>
      <c r="O418">
        <f t="shared" si="66"/>
        <v>1334.489191179586</v>
      </c>
      <c r="P418">
        <f t="shared" si="67"/>
        <v>814.61779835659274</v>
      </c>
      <c r="Q418">
        <f t="shared" si="68"/>
        <v>33.70440164340728</v>
      </c>
      <c r="R418">
        <f t="shared" si="69"/>
        <v>0</v>
      </c>
      <c r="S418">
        <f t="shared" si="70"/>
        <v>848.32220000000007</v>
      </c>
    </row>
    <row r="419" spans="1:19" x14ac:dyDescent="0.3">
      <c r="A419" t="s">
        <v>13</v>
      </c>
      <c r="B419" t="s">
        <v>33</v>
      </c>
      <c r="C419" t="s">
        <v>15</v>
      </c>
      <c r="D419">
        <v>0</v>
      </c>
      <c r="E419">
        <v>17</v>
      </c>
      <c r="F419">
        <v>2</v>
      </c>
      <c r="G419">
        <v>20260414</v>
      </c>
      <c r="H419">
        <v>20260502</v>
      </c>
      <c r="I419">
        <v>7811.4048000000003</v>
      </c>
      <c r="J419">
        <f t="shared" si="61"/>
        <v>19</v>
      </c>
      <c r="K419">
        <f t="shared" si="62"/>
        <v>411.12656842105264</v>
      </c>
      <c r="L419">
        <f t="shared" si="63"/>
        <v>0</v>
      </c>
      <c r="M419">
        <f t="shared" si="64"/>
        <v>6989.1516631578952</v>
      </c>
      <c r="N419">
        <f t="shared" si="65"/>
        <v>617.91946989633652</v>
      </c>
      <c r="O419">
        <f t="shared" si="66"/>
        <v>7607.0711330542317</v>
      </c>
      <c r="P419">
        <f t="shared" si="67"/>
        <v>0</v>
      </c>
      <c r="Q419">
        <f t="shared" si="68"/>
        <v>7176.8873847245977</v>
      </c>
      <c r="R419">
        <f t="shared" si="69"/>
        <v>634.51741527540253</v>
      </c>
      <c r="S419">
        <f t="shared" si="70"/>
        <v>7811.4048000000003</v>
      </c>
    </row>
    <row r="420" spans="1:19" x14ac:dyDescent="0.3">
      <c r="A420" t="s">
        <v>13</v>
      </c>
      <c r="B420" t="s">
        <v>33</v>
      </c>
      <c r="C420" t="s">
        <v>14</v>
      </c>
      <c r="D420">
        <v>14</v>
      </c>
      <c r="E420">
        <v>6</v>
      </c>
      <c r="F420">
        <v>0</v>
      </c>
      <c r="G420">
        <v>20260318</v>
      </c>
      <c r="H420">
        <v>20260406</v>
      </c>
      <c r="I420">
        <v>1984.4128000000001</v>
      </c>
      <c r="J420">
        <f t="shared" si="61"/>
        <v>20</v>
      </c>
      <c r="K420">
        <f t="shared" si="62"/>
        <v>99.220640000000003</v>
      </c>
      <c r="L420">
        <f t="shared" si="63"/>
        <v>2238.2370158231051</v>
      </c>
      <c r="M420">
        <f t="shared" si="64"/>
        <v>595.32384000000002</v>
      </c>
      <c r="N420">
        <f t="shared" si="65"/>
        <v>0</v>
      </c>
      <c r="O420">
        <f t="shared" si="66"/>
        <v>2833.5608558231052</v>
      </c>
      <c r="P420">
        <f t="shared" si="67"/>
        <v>1567.4927801552233</v>
      </c>
      <c r="Q420">
        <f t="shared" si="68"/>
        <v>416.92001984477696</v>
      </c>
      <c r="R420">
        <f t="shared" si="69"/>
        <v>0</v>
      </c>
      <c r="S420">
        <f t="shared" si="70"/>
        <v>1984.4128000000003</v>
      </c>
    </row>
    <row r="421" spans="1:19" x14ac:dyDescent="0.3">
      <c r="A421" t="s">
        <v>13</v>
      </c>
      <c r="B421" t="s">
        <v>24</v>
      </c>
      <c r="C421" t="s">
        <v>14</v>
      </c>
      <c r="D421">
        <v>14</v>
      </c>
      <c r="E421">
        <v>6</v>
      </c>
      <c r="F421">
        <v>0</v>
      </c>
      <c r="G421">
        <v>20260318</v>
      </c>
      <c r="H421">
        <v>20260406</v>
      </c>
      <c r="I421">
        <v>4630.2965999999997</v>
      </c>
      <c r="J421">
        <f t="shared" si="61"/>
        <v>20</v>
      </c>
      <c r="K421">
        <f t="shared" si="62"/>
        <v>231.51482999999999</v>
      </c>
      <c r="L421">
        <f t="shared" si="63"/>
        <v>5222.5531121145104</v>
      </c>
      <c r="M421">
        <f t="shared" si="64"/>
        <v>1389.08898</v>
      </c>
      <c r="N421">
        <f t="shared" si="65"/>
        <v>0</v>
      </c>
      <c r="O421">
        <f t="shared" si="66"/>
        <v>6611.6420921145109</v>
      </c>
      <c r="P421">
        <f t="shared" si="67"/>
        <v>3657.4832063556914</v>
      </c>
      <c r="Q421">
        <f t="shared" si="68"/>
        <v>972.81339364430767</v>
      </c>
      <c r="R421">
        <f t="shared" si="69"/>
        <v>0</v>
      </c>
      <c r="S421">
        <f t="shared" si="70"/>
        <v>4630.2965999999988</v>
      </c>
    </row>
    <row r="422" spans="1:19" x14ac:dyDescent="0.3">
      <c r="A422" t="s">
        <v>13</v>
      </c>
      <c r="B422" t="s">
        <v>33</v>
      </c>
      <c r="C422" t="s">
        <v>14</v>
      </c>
      <c r="D422">
        <v>13</v>
      </c>
      <c r="E422">
        <v>1</v>
      </c>
      <c r="F422">
        <v>0</v>
      </c>
      <c r="G422">
        <v>20260319</v>
      </c>
      <c r="H422">
        <v>20260401</v>
      </c>
      <c r="I422">
        <v>219.96090000000001</v>
      </c>
      <c r="J422">
        <f t="shared" si="61"/>
        <v>14</v>
      </c>
      <c r="K422">
        <f t="shared" si="62"/>
        <v>15.711492857142858</v>
      </c>
      <c r="L422">
        <f t="shared" si="63"/>
        <v>329.10677191406586</v>
      </c>
      <c r="M422">
        <f t="shared" si="64"/>
        <v>15.711492857142858</v>
      </c>
      <c r="N422">
        <f t="shared" si="65"/>
        <v>0</v>
      </c>
      <c r="O422">
        <f t="shared" si="66"/>
        <v>344.8182647712087</v>
      </c>
      <c r="P422">
        <f t="shared" si="67"/>
        <v>209.93847815557203</v>
      </c>
      <c r="Q422">
        <f t="shared" si="68"/>
        <v>10.022421844427985</v>
      </c>
      <c r="R422">
        <f t="shared" si="69"/>
        <v>0</v>
      </c>
      <c r="S422">
        <f t="shared" si="70"/>
        <v>219.96090000000001</v>
      </c>
    </row>
    <row r="423" spans="1:19" x14ac:dyDescent="0.3">
      <c r="A423" t="s">
        <v>13</v>
      </c>
      <c r="B423" t="s">
        <v>24</v>
      </c>
      <c r="C423" t="s">
        <v>15</v>
      </c>
      <c r="D423">
        <v>9</v>
      </c>
      <c r="E423">
        <v>1</v>
      </c>
      <c r="F423">
        <v>0</v>
      </c>
      <c r="G423">
        <v>20260323</v>
      </c>
      <c r="H423">
        <v>20260401</v>
      </c>
      <c r="I423">
        <v>5746.2735000000002</v>
      </c>
      <c r="J423">
        <f t="shared" si="61"/>
        <v>10</v>
      </c>
      <c r="K423">
        <f t="shared" si="62"/>
        <v>574.62734999999998</v>
      </c>
      <c r="L423">
        <f t="shared" si="63"/>
        <v>8333.065900739035</v>
      </c>
      <c r="M423">
        <f t="shared" si="64"/>
        <v>574.62734999999998</v>
      </c>
      <c r="N423">
        <f t="shared" si="65"/>
        <v>0</v>
      </c>
      <c r="O423">
        <f t="shared" si="66"/>
        <v>8907.6932507390356</v>
      </c>
      <c r="P423">
        <f t="shared" si="67"/>
        <v>5375.586519573696</v>
      </c>
      <c r="Q423">
        <f t="shared" si="68"/>
        <v>370.68698042630439</v>
      </c>
      <c r="R423">
        <f t="shared" si="69"/>
        <v>0</v>
      </c>
      <c r="S423">
        <f t="shared" si="70"/>
        <v>5746.2735000000002</v>
      </c>
    </row>
    <row r="424" spans="1:19" x14ac:dyDescent="0.3">
      <c r="A424" t="s">
        <v>13</v>
      </c>
      <c r="B424" t="s">
        <v>24</v>
      </c>
      <c r="C424" t="s">
        <v>15</v>
      </c>
      <c r="D424">
        <v>8</v>
      </c>
      <c r="E424">
        <v>2</v>
      </c>
      <c r="F424">
        <v>0</v>
      </c>
      <c r="G424">
        <v>20260324</v>
      </c>
      <c r="H424">
        <v>20260402</v>
      </c>
      <c r="I424">
        <v>1149.8046999999999</v>
      </c>
      <c r="J424">
        <f t="shared" si="61"/>
        <v>10</v>
      </c>
      <c r="K424">
        <f t="shared" si="62"/>
        <v>114.98047</v>
      </c>
      <c r="L424">
        <f t="shared" si="63"/>
        <v>1482.1429092675996</v>
      </c>
      <c r="M424">
        <f t="shared" si="64"/>
        <v>229.96093999999999</v>
      </c>
      <c r="N424">
        <f t="shared" si="65"/>
        <v>0</v>
      </c>
      <c r="O424">
        <f t="shared" si="66"/>
        <v>1712.1038492675996</v>
      </c>
      <c r="P424">
        <f t="shared" si="67"/>
        <v>995.36887547829997</v>
      </c>
      <c r="Q424">
        <f t="shared" si="68"/>
        <v>154.43582452169994</v>
      </c>
      <c r="R424">
        <f t="shared" si="69"/>
        <v>0</v>
      </c>
      <c r="S424">
        <f t="shared" si="70"/>
        <v>1149.8046999999999</v>
      </c>
    </row>
    <row r="425" spans="1:19" x14ac:dyDescent="0.3">
      <c r="A425" t="s">
        <v>13</v>
      </c>
      <c r="B425" t="s">
        <v>33</v>
      </c>
      <c r="C425" t="s">
        <v>15</v>
      </c>
      <c r="D425">
        <v>5</v>
      </c>
      <c r="E425">
        <v>30</v>
      </c>
      <c r="F425">
        <v>3</v>
      </c>
      <c r="G425">
        <v>20260327</v>
      </c>
      <c r="H425">
        <v>20260503</v>
      </c>
      <c r="I425">
        <v>5128.7205000000004</v>
      </c>
      <c r="J425">
        <f t="shared" si="61"/>
        <v>38</v>
      </c>
      <c r="K425">
        <f t="shared" si="62"/>
        <v>134.96632894736842</v>
      </c>
      <c r="L425">
        <f t="shared" si="63"/>
        <v>1087.3552451952303</v>
      </c>
      <c r="M425">
        <f t="shared" si="64"/>
        <v>4048.989868421053</v>
      </c>
      <c r="N425">
        <f t="shared" si="65"/>
        <v>304.27973588756475</v>
      </c>
      <c r="O425">
        <f t="shared" si="66"/>
        <v>5440.6248495038481</v>
      </c>
      <c r="P425">
        <f t="shared" si="67"/>
        <v>1025.0185026677348</v>
      </c>
      <c r="Q425">
        <f t="shared" si="68"/>
        <v>3816.8662454933101</v>
      </c>
      <c r="R425">
        <f t="shared" si="69"/>
        <v>286.83575183895528</v>
      </c>
      <c r="S425">
        <f t="shared" si="70"/>
        <v>5128.7204999999994</v>
      </c>
    </row>
    <row r="426" spans="1:19" x14ac:dyDescent="0.3">
      <c r="A426" t="s">
        <v>13</v>
      </c>
      <c r="B426" t="s">
        <v>33</v>
      </c>
      <c r="C426" t="s">
        <v>15</v>
      </c>
      <c r="D426">
        <v>0</v>
      </c>
      <c r="E426">
        <v>21</v>
      </c>
      <c r="F426">
        <v>4</v>
      </c>
      <c r="G426">
        <v>20260410</v>
      </c>
      <c r="H426">
        <v>20260504</v>
      </c>
      <c r="I426">
        <v>1815.2838999999999</v>
      </c>
      <c r="J426">
        <f t="shared" si="61"/>
        <v>25</v>
      </c>
      <c r="K426">
        <f t="shared" si="62"/>
        <v>72.611356000000001</v>
      </c>
      <c r="L426">
        <f t="shared" si="63"/>
        <v>0</v>
      </c>
      <c r="M426">
        <f t="shared" si="64"/>
        <v>1524.8384759999999</v>
      </c>
      <c r="N426">
        <f t="shared" si="65"/>
        <v>218.26840712480021</v>
      </c>
      <c r="O426">
        <f t="shared" si="66"/>
        <v>1743.1068831248001</v>
      </c>
      <c r="P426">
        <f t="shared" si="67"/>
        <v>0</v>
      </c>
      <c r="Q426">
        <f t="shared" si="68"/>
        <v>1587.9776291292153</v>
      </c>
      <c r="R426">
        <f t="shared" si="69"/>
        <v>227.30627087078472</v>
      </c>
      <c r="S426">
        <f t="shared" si="70"/>
        <v>1815.2838999999999</v>
      </c>
    </row>
    <row r="427" spans="1:19" x14ac:dyDescent="0.3">
      <c r="A427" t="s">
        <v>13</v>
      </c>
      <c r="B427" t="s">
        <v>33</v>
      </c>
      <c r="C427" t="s">
        <v>15</v>
      </c>
      <c r="D427">
        <v>9</v>
      </c>
      <c r="E427">
        <v>2</v>
      </c>
      <c r="F427">
        <v>0</v>
      </c>
      <c r="G427">
        <v>20260323</v>
      </c>
      <c r="H427">
        <v>20260402</v>
      </c>
      <c r="I427">
        <v>107.5819</v>
      </c>
      <c r="J427">
        <f t="shared" si="61"/>
        <v>11</v>
      </c>
      <c r="K427">
        <f t="shared" si="62"/>
        <v>9.7801727272727277</v>
      </c>
      <c r="L427">
        <f t="shared" si="63"/>
        <v>141.82900249522453</v>
      </c>
      <c r="M427">
        <f t="shared" si="64"/>
        <v>19.560345454545455</v>
      </c>
      <c r="N427">
        <f t="shared" si="65"/>
        <v>0</v>
      </c>
      <c r="O427">
        <f t="shared" si="66"/>
        <v>161.38934794976998</v>
      </c>
      <c r="P427">
        <f t="shared" si="67"/>
        <v>94.543002728345442</v>
      </c>
      <c r="Q427">
        <f t="shared" si="68"/>
        <v>13.038897271654557</v>
      </c>
      <c r="R427">
        <f t="shared" si="69"/>
        <v>0</v>
      </c>
      <c r="S427">
        <f t="shared" si="70"/>
        <v>107.5819</v>
      </c>
    </row>
    <row r="428" spans="1:19" x14ac:dyDescent="0.3">
      <c r="A428" t="s">
        <v>13</v>
      </c>
      <c r="B428" t="s">
        <v>33</v>
      </c>
      <c r="C428" t="s">
        <v>14</v>
      </c>
      <c r="D428">
        <v>0</v>
      </c>
      <c r="E428">
        <v>4</v>
      </c>
      <c r="F428">
        <v>4</v>
      </c>
      <c r="G428">
        <v>20260427</v>
      </c>
      <c r="H428">
        <v>20260504</v>
      </c>
      <c r="I428">
        <v>1223.4301</v>
      </c>
      <c r="J428">
        <f t="shared" si="61"/>
        <v>8</v>
      </c>
      <c r="K428">
        <f t="shared" si="62"/>
        <v>152.9287625</v>
      </c>
      <c r="L428">
        <f t="shared" si="63"/>
        <v>0</v>
      </c>
      <c r="M428">
        <f t="shared" si="64"/>
        <v>611.71505000000002</v>
      </c>
      <c r="N428">
        <f t="shared" si="65"/>
        <v>459.70106100816901</v>
      </c>
      <c r="O428">
        <f t="shared" si="66"/>
        <v>1071.4161110081691</v>
      </c>
      <c r="P428">
        <f t="shared" si="67"/>
        <v>0</v>
      </c>
      <c r="Q428">
        <f t="shared" si="68"/>
        <v>698.50602124023771</v>
      </c>
      <c r="R428">
        <f t="shared" si="69"/>
        <v>524.92407875976232</v>
      </c>
      <c r="S428">
        <f t="shared" si="70"/>
        <v>1223.4301</v>
      </c>
    </row>
    <row r="429" spans="1:19" x14ac:dyDescent="0.3">
      <c r="A429" t="s">
        <v>13</v>
      </c>
      <c r="B429" t="s">
        <v>33</v>
      </c>
      <c r="C429" t="s">
        <v>15</v>
      </c>
      <c r="D429">
        <v>8</v>
      </c>
      <c r="E429">
        <v>10</v>
      </c>
      <c r="F429">
        <v>0</v>
      </c>
      <c r="G429">
        <v>20260324</v>
      </c>
      <c r="H429">
        <v>20260410</v>
      </c>
      <c r="I429">
        <v>140.59119999999999</v>
      </c>
      <c r="J429">
        <f t="shared" si="61"/>
        <v>18</v>
      </c>
      <c r="K429">
        <f t="shared" si="62"/>
        <v>7.8106222222222215</v>
      </c>
      <c r="L429">
        <f t="shared" si="63"/>
        <v>100.68195358424443</v>
      </c>
      <c r="M429">
        <f t="shared" si="64"/>
        <v>78.106222222222215</v>
      </c>
      <c r="N429">
        <f t="shared" si="65"/>
        <v>0</v>
      </c>
      <c r="O429">
        <f t="shared" si="66"/>
        <v>178.78817580646665</v>
      </c>
      <c r="P429">
        <f t="shared" si="67"/>
        <v>79.171883760789768</v>
      </c>
      <c r="Q429">
        <f t="shared" si="68"/>
        <v>61.419316239210204</v>
      </c>
      <c r="R429">
        <f t="shared" si="69"/>
        <v>0</v>
      </c>
      <c r="S429">
        <f t="shared" si="70"/>
        <v>140.59119999999996</v>
      </c>
    </row>
    <row r="430" spans="1:19" x14ac:dyDescent="0.3">
      <c r="A430" t="s">
        <v>13</v>
      </c>
      <c r="B430" t="s">
        <v>33</v>
      </c>
      <c r="C430" t="s">
        <v>14</v>
      </c>
      <c r="D430">
        <v>5</v>
      </c>
      <c r="E430">
        <v>30</v>
      </c>
      <c r="F430">
        <v>1</v>
      </c>
      <c r="G430">
        <v>20260327</v>
      </c>
      <c r="H430">
        <v>20260501</v>
      </c>
      <c r="I430">
        <v>1852.5931</v>
      </c>
      <c r="J430">
        <f t="shared" si="61"/>
        <v>36</v>
      </c>
      <c r="K430">
        <f t="shared" si="62"/>
        <v>51.460919444444443</v>
      </c>
      <c r="L430">
        <f t="shared" si="63"/>
        <v>414.59452232939259</v>
      </c>
      <c r="M430">
        <f t="shared" si="64"/>
        <v>1543.8275833333332</v>
      </c>
      <c r="N430">
        <f t="shared" si="65"/>
        <v>38.672645489214339</v>
      </c>
      <c r="O430">
        <f t="shared" si="66"/>
        <v>1997.09475115194</v>
      </c>
      <c r="P430">
        <f t="shared" si="67"/>
        <v>384.59614944268264</v>
      </c>
      <c r="Q430">
        <f t="shared" si="68"/>
        <v>1432.1225003587281</v>
      </c>
      <c r="R430">
        <f t="shared" si="69"/>
        <v>35.874450198589422</v>
      </c>
      <c r="S430">
        <f t="shared" si="70"/>
        <v>1852.5931</v>
      </c>
    </row>
    <row r="431" spans="1:19" x14ac:dyDescent="0.3">
      <c r="A431" t="s">
        <v>13</v>
      </c>
      <c r="B431" t="s">
        <v>24</v>
      </c>
      <c r="C431" t="s">
        <v>14</v>
      </c>
      <c r="D431">
        <v>5</v>
      </c>
      <c r="E431">
        <v>30</v>
      </c>
      <c r="F431">
        <v>1</v>
      </c>
      <c r="G431">
        <v>20260327</v>
      </c>
      <c r="H431">
        <v>20260501</v>
      </c>
      <c r="I431">
        <v>298.80529999999999</v>
      </c>
      <c r="J431">
        <f t="shared" si="61"/>
        <v>36</v>
      </c>
      <c r="K431">
        <f t="shared" si="62"/>
        <v>8.3001472222222219</v>
      </c>
      <c r="L431">
        <f t="shared" si="63"/>
        <v>66.870075583780832</v>
      </c>
      <c r="M431">
        <f t="shared" si="64"/>
        <v>249.00441666666666</v>
      </c>
      <c r="N431">
        <f t="shared" si="65"/>
        <v>6.2375226579427174</v>
      </c>
      <c r="O431">
        <f t="shared" si="66"/>
        <v>322.11201490839017</v>
      </c>
      <c r="P431">
        <f t="shared" si="67"/>
        <v>62.031628970800774</v>
      </c>
      <c r="Q431">
        <f t="shared" si="68"/>
        <v>230.98747013385716</v>
      </c>
      <c r="R431">
        <f t="shared" si="69"/>
        <v>5.7862008953420876</v>
      </c>
      <c r="S431">
        <f t="shared" si="70"/>
        <v>298.80529999999999</v>
      </c>
    </row>
    <row r="432" spans="1:19" x14ac:dyDescent="0.3">
      <c r="A432" t="s">
        <v>13</v>
      </c>
      <c r="B432" t="s">
        <v>24</v>
      </c>
      <c r="C432" t="s">
        <v>15</v>
      </c>
      <c r="D432">
        <v>18</v>
      </c>
      <c r="E432">
        <v>4</v>
      </c>
      <c r="F432">
        <v>0</v>
      </c>
      <c r="G432">
        <v>20260314</v>
      </c>
      <c r="H432">
        <v>20260404</v>
      </c>
      <c r="I432">
        <v>4168.8086999999996</v>
      </c>
      <c r="J432">
        <f t="shared" si="61"/>
        <v>22</v>
      </c>
      <c r="K432">
        <f t="shared" si="62"/>
        <v>189.49130454545454</v>
      </c>
      <c r="L432">
        <f t="shared" si="63"/>
        <v>5495.8871289167946</v>
      </c>
      <c r="M432">
        <f t="shared" si="64"/>
        <v>757.96521818181816</v>
      </c>
      <c r="N432">
        <f t="shared" si="65"/>
        <v>0</v>
      </c>
      <c r="O432">
        <f t="shared" si="66"/>
        <v>6253.8523470986129</v>
      </c>
      <c r="P432">
        <f t="shared" si="67"/>
        <v>3663.550209636102</v>
      </c>
      <c r="Q432">
        <f t="shared" si="68"/>
        <v>505.25849036389741</v>
      </c>
      <c r="R432">
        <f t="shared" si="69"/>
        <v>0</v>
      </c>
      <c r="S432">
        <f t="shared" si="70"/>
        <v>4168.8086999999996</v>
      </c>
    </row>
    <row r="433" spans="1:19" x14ac:dyDescent="0.3">
      <c r="A433" t="s">
        <v>13</v>
      </c>
      <c r="B433" t="s">
        <v>24</v>
      </c>
      <c r="C433" t="s">
        <v>15</v>
      </c>
      <c r="D433">
        <v>4</v>
      </c>
      <c r="E433">
        <v>30</v>
      </c>
      <c r="F433">
        <v>4</v>
      </c>
      <c r="G433">
        <v>20260328</v>
      </c>
      <c r="H433">
        <v>20260504</v>
      </c>
      <c r="I433">
        <v>1043.4081000000001</v>
      </c>
      <c r="J433">
        <f t="shared" si="61"/>
        <v>38</v>
      </c>
      <c r="K433">
        <f t="shared" si="62"/>
        <v>27.458107894736845</v>
      </c>
      <c r="L433">
        <f t="shared" si="63"/>
        <v>176.97283685694151</v>
      </c>
      <c r="M433">
        <f t="shared" si="64"/>
        <v>823.74323684210538</v>
      </c>
      <c r="N433">
        <f t="shared" si="65"/>
        <v>82.538569763731061</v>
      </c>
      <c r="O433">
        <f t="shared" si="66"/>
        <v>1083.2546434627779</v>
      </c>
      <c r="P433">
        <f t="shared" si="67"/>
        <v>170.4630509279292</v>
      </c>
      <c r="Q433">
        <f t="shared" si="68"/>
        <v>793.44258603291632</v>
      </c>
      <c r="R433">
        <f t="shared" si="69"/>
        <v>79.502463039154577</v>
      </c>
      <c r="S433">
        <f t="shared" si="70"/>
        <v>1043.4081000000001</v>
      </c>
    </row>
    <row r="434" spans="1:19" x14ac:dyDescent="0.3">
      <c r="A434" t="s">
        <v>13</v>
      </c>
      <c r="B434" t="s">
        <v>33</v>
      </c>
      <c r="C434" t="s">
        <v>15</v>
      </c>
      <c r="D434">
        <v>8</v>
      </c>
      <c r="E434">
        <v>1</v>
      </c>
      <c r="F434">
        <v>0</v>
      </c>
      <c r="G434">
        <v>20260324</v>
      </c>
      <c r="H434">
        <v>20260401</v>
      </c>
      <c r="I434">
        <v>1489.6876999999999</v>
      </c>
      <c r="J434">
        <f t="shared" si="61"/>
        <v>9</v>
      </c>
      <c r="K434">
        <f t="shared" si="62"/>
        <v>165.52085555555556</v>
      </c>
      <c r="L434">
        <f t="shared" si="63"/>
        <v>2133.628105691108</v>
      </c>
      <c r="M434">
        <f t="shared" si="64"/>
        <v>165.52085555555556</v>
      </c>
      <c r="N434">
        <f t="shared" si="65"/>
        <v>0</v>
      </c>
      <c r="O434">
        <f t="shared" si="66"/>
        <v>2299.1489612466635</v>
      </c>
      <c r="P434">
        <f t="shared" si="67"/>
        <v>1382.4417638859309</v>
      </c>
      <c r="Q434">
        <f t="shared" si="68"/>
        <v>107.245936114069</v>
      </c>
      <c r="R434">
        <f t="shared" si="69"/>
        <v>0</v>
      </c>
      <c r="S434">
        <f t="shared" si="70"/>
        <v>1489.6876999999999</v>
      </c>
    </row>
    <row r="435" spans="1:19" x14ac:dyDescent="0.3">
      <c r="A435" t="s">
        <v>13</v>
      </c>
      <c r="B435" t="s">
        <v>24</v>
      </c>
      <c r="C435" t="s">
        <v>15</v>
      </c>
      <c r="D435">
        <v>12</v>
      </c>
      <c r="E435">
        <v>3</v>
      </c>
      <c r="F435">
        <v>0</v>
      </c>
      <c r="G435">
        <v>20260320</v>
      </c>
      <c r="H435">
        <v>20260403</v>
      </c>
      <c r="I435">
        <v>945.03859999999997</v>
      </c>
      <c r="J435">
        <f t="shared" si="61"/>
        <v>15</v>
      </c>
      <c r="K435">
        <f t="shared" si="62"/>
        <v>63.002573333333331</v>
      </c>
      <c r="L435">
        <f t="shared" si="63"/>
        <v>1218.1914545784859</v>
      </c>
      <c r="M435">
        <f t="shared" si="64"/>
        <v>189.00772000000001</v>
      </c>
      <c r="N435">
        <f t="shared" si="65"/>
        <v>0</v>
      </c>
      <c r="O435">
        <f t="shared" si="66"/>
        <v>1407.199174578486</v>
      </c>
      <c r="P435">
        <f t="shared" si="67"/>
        <v>818.10589969373666</v>
      </c>
      <c r="Q435">
        <f t="shared" si="68"/>
        <v>126.93270030626327</v>
      </c>
      <c r="R435">
        <f t="shared" si="69"/>
        <v>0</v>
      </c>
      <c r="S435">
        <f t="shared" si="70"/>
        <v>945.03859999999997</v>
      </c>
    </row>
    <row r="436" spans="1:19" x14ac:dyDescent="0.3">
      <c r="A436" t="s">
        <v>13</v>
      </c>
      <c r="B436" t="s">
        <v>24</v>
      </c>
      <c r="C436" t="s">
        <v>15</v>
      </c>
      <c r="D436">
        <v>8</v>
      </c>
      <c r="E436">
        <v>6</v>
      </c>
      <c r="F436">
        <v>0</v>
      </c>
      <c r="G436">
        <v>20260324</v>
      </c>
      <c r="H436">
        <v>20260406</v>
      </c>
      <c r="I436">
        <v>1060.8321000000001</v>
      </c>
      <c r="J436">
        <f t="shared" si="61"/>
        <v>14</v>
      </c>
      <c r="K436">
        <f t="shared" si="62"/>
        <v>75.773721428571434</v>
      </c>
      <c r="L436">
        <f t="shared" si="63"/>
        <v>976.75269482004671</v>
      </c>
      <c r="M436">
        <f t="shared" si="64"/>
        <v>454.64232857142861</v>
      </c>
      <c r="N436">
        <f t="shared" si="65"/>
        <v>0</v>
      </c>
      <c r="O436">
        <f t="shared" si="66"/>
        <v>1431.3950233914752</v>
      </c>
      <c r="P436">
        <f t="shared" si="67"/>
        <v>723.88865092709273</v>
      </c>
      <c r="Q436">
        <f t="shared" si="68"/>
        <v>336.94344907290741</v>
      </c>
      <c r="R436">
        <f t="shared" si="69"/>
        <v>0</v>
      </c>
      <c r="S436">
        <f t="shared" si="70"/>
        <v>1060.8321000000001</v>
      </c>
    </row>
    <row r="437" spans="1:19" x14ac:dyDescent="0.3">
      <c r="A437" t="s">
        <v>13</v>
      </c>
      <c r="B437" t="s">
        <v>33</v>
      </c>
      <c r="C437" t="s">
        <v>15</v>
      </c>
      <c r="D437">
        <v>21</v>
      </c>
      <c r="E437">
        <v>3</v>
      </c>
      <c r="F437">
        <v>0</v>
      </c>
      <c r="G437">
        <v>20260311</v>
      </c>
      <c r="H437">
        <v>20260403</v>
      </c>
      <c r="I437">
        <v>31.578199999999999</v>
      </c>
      <c r="J437">
        <f t="shared" si="61"/>
        <v>24</v>
      </c>
      <c r="K437">
        <f t="shared" si="62"/>
        <v>1.3157583333333334</v>
      </c>
      <c r="L437">
        <f t="shared" si="63"/>
        <v>44.521669163961995</v>
      </c>
      <c r="M437">
        <f t="shared" si="64"/>
        <v>3.9472750000000003</v>
      </c>
      <c r="N437">
        <f t="shared" si="65"/>
        <v>0</v>
      </c>
      <c r="O437">
        <f t="shared" si="66"/>
        <v>48.468944163961993</v>
      </c>
      <c r="P437">
        <f t="shared" si="67"/>
        <v>29.006494724487126</v>
      </c>
      <c r="Q437">
        <f t="shared" si="68"/>
        <v>2.5717052755128744</v>
      </c>
      <c r="R437">
        <f t="shared" si="69"/>
        <v>0</v>
      </c>
      <c r="S437">
        <f t="shared" si="70"/>
        <v>31.578200000000002</v>
      </c>
    </row>
    <row r="438" spans="1:19" x14ac:dyDescent="0.3">
      <c r="A438" t="s">
        <v>13</v>
      </c>
      <c r="B438" t="s">
        <v>24</v>
      </c>
      <c r="C438" t="s">
        <v>15</v>
      </c>
      <c r="D438">
        <v>16</v>
      </c>
      <c r="E438">
        <v>1</v>
      </c>
      <c r="F438">
        <v>0</v>
      </c>
      <c r="G438">
        <v>20260316</v>
      </c>
      <c r="H438">
        <v>20260401</v>
      </c>
      <c r="I438">
        <v>28833.5471</v>
      </c>
      <c r="J438">
        <f t="shared" si="61"/>
        <v>17</v>
      </c>
      <c r="K438">
        <f t="shared" si="62"/>
        <v>1696.0910058823529</v>
      </c>
      <c r="L438">
        <f t="shared" si="63"/>
        <v>43726.543435438733</v>
      </c>
      <c r="M438">
        <f t="shared" si="64"/>
        <v>1696.0910058823529</v>
      </c>
      <c r="N438">
        <f t="shared" si="65"/>
        <v>0</v>
      </c>
      <c r="O438">
        <f t="shared" si="66"/>
        <v>45422.634441321083</v>
      </c>
      <c r="P438">
        <f t="shared" si="67"/>
        <v>27756.896207653102</v>
      </c>
      <c r="Q438">
        <f t="shared" si="68"/>
        <v>1076.6508923468959</v>
      </c>
      <c r="R438">
        <f t="shared" si="69"/>
        <v>0</v>
      </c>
      <c r="S438">
        <f t="shared" si="70"/>
        <v>28833.5471</v>
      </c>
    </row>
    <row r="439" spans="1:19" x14ac:dyDescent="0.3">
      <c r="A439" t="s">
        <v>13</v>
      </c>
      <c r="B439" t="s">
        <v>24</v>
      </c>
      <c r="C439" t="s">
        <v>14</v>
      </c>
      <c r="D439">
        <v>16</v>
      </c>
      <c r="E439">
        <v>6</v>
      </c>
      <c r="F439">
        <v>0</v>
      </c>
      <c r="G439">
        <v>20260316</v>
      </c>
      <c r="H439">
        <v>20260406</v>
      </c>
      <c r="I439">
        <v>275.6431</v>
      </c>
      <c r="J439">
        <f t="shared" si="61"/>
        <v>22</v>
      </c>
      <c r="K439">
        <f t="shared" si="62"/>
        <v>12.529231818181819</v>
      </c>
      <c r="L439">
        <f t="shared" si="63"/>
        <v>323.01332735704034</v>
      </c>
      <c r="M439">
        <f t="shared" si="64"/>
        <v>75.175390909090908</v>
      </c>
      <c r="N439">
        <f t="shared" si="65"/>
        <v>0</v>
      </c>
      <c r="O439">
        <f t="shared" si="66"/>
        <v>398.18871826613122</v>
      </c>
      <c r="P439">
        <f t="shared" si="67"/>
        <v>223.6035096165169</v>
      </c>
      <c r="Q439">
        <f t="shared" si="68"/>
        <v>52.03959038348313</v>
      </c>
      <c r="R439">
        <f t="shared" si="69"/>
        <v>0</v>
      </c>
      <c r="S439">
        <f t="shared" si="70"/>
        <v>275.6431</v>
      </c>
    </row>
    <row r="440" spans="1:19" x14ac:dyDescent="0.3">
      <c r="A440" t="s">
        <v>13</v>
      </c>
      <c r="B440" t="s">
        <v>33</v>
      </c>
      <c r="C440" t="s">
        <v>15</v>
      </c>
      <c r="D440">
        <v>11</v>
      </c>
      <c r="E440">
        <v>2</v>
      </c>
      <c r="F440">
        <v>0</v>
      </c>
      <c r="G440">
        <v>20260321</v>
      </c>
      <c r="H440">
        <v>20260402</v>
      </c>
      <c r="I440">
        <v>506.6857</v>
      </c>
      <c r="J440">
        <f t="shared" si="61"/>
        <v>13</v>
      </c>
      <c r="K440">
        <f t="shared" si="62"/>
        <v>38.975823076923078</v>
      </c>
      <c r="L440">
        <f t="shared" si="63"/>
        <v>690.81855582694857</v>
      </c>
      <c r="M440">
        <f t="shared" si="64"/>
        <v>77.951646153846156</v>
      </c>
      <c r="N440">
        <f t="shared" si="65"/>
        <v>0</v>
      </c>
      <c r="O440">
        <f t="shared" si="66"/>
        <v>768.7702019807947</v>
      </c>
      <c r="P440">
        <f t="shared" si="67"/>
        <v>455.30885904564605</v>
      </c>
      <c r="Q440">
        <f t="shared" si="68"/>
        <v>51.376840954353945</v>
      </c>
      <c r="R440">
        <f t="shared" si="69"/>
        <v>0</v>
      </c>
      <c r="S440">
        <f t="shared" si="70"/>
        <v>506.6857</v>
      </c>
    </row>
    <row r="441" spans="1:19" x14ac:dyDescent="0.3">
      <c r="A441" t="s">
        <v>13</v>
      </c>
      <c r="B441" t="s">
        <v>24</v>
      </c>
      <c r="C441" t="s">
        <v>14</v>
      </c>
      <c r="D441">
        <v>7</v>
      </c>
      <c r="E441">
        <v>3</v>
      </c>
      <c r="F441">
        <v>0</v>
      </c>
      <c r="G441">
        <v>20260325</v>
      </c>
      <c r="H441">
        <v>20260403</v>
      </c>
      <c r="I441">
        <v>118.25709999999999</v>
      </c>
      <c r="J441">
        <f t="shared" si="61"/>
        <v>10</v>
      </c>
      <c r="K441">
        <f t="shared" si="62"/>
        <v>11.825709999999999</v>
      </c>
      <c r="L441">
        <f t="shared" si="63"/>
        <v>133.38324495986646</v>
      </c>
      <c r="M441">
        <f t="shared" si="64"/>
        <v>35.477129999999995</v>
      </c>
      <c r="N441">
        <f t="shared" si="65"/>
        <v>0</v>
      </c>
      <c r="O441">
        <f t="shared" si="66"/>
        <v>168.86037495986645</v>
      </c>
      <c r="P441">
        <f t="shared" si="67"/>
        <v>93.411587776542376</v>
      </c>
      <c r="Q441">
        <f t="shared" si="68"/>
        <v>24.845512223457622</v>
      </c>
      <c r="R441">
        <f t="shared" si="69"/>
        <v>0</v>
      </c>
      <c r="S441">
        <f t="shared" si="70"/>
        <v>118.25709999999999</v>
      </c>
    </row>
    <row r="442" spans="1:19" x14ac:dyDescent="0.3">
      <c r="A442" t="s">
        <v>13</v>
      </c>
      <c r="B442" t="s">
        <v>33</v>
      </c>
      <c r="C442" t="s">
        <v>15</v>
      </c>
      <c r="D442">
        <v>15</v>
      </c>
      <c r="E442">
        <v>6</v>
      </c>
      <c r="F442">
        <v>0</v>
      </c>
      <c r="G442">
        <v>20260317</v>
      </c>
      <c r="H442">
        <v>20260406</v>
      </c>
      <c r="I442">
        <v>1095.1213</v>
      </c>
      <c r="J442">
        <f t="shared" si="61"/>
        <v>21</v>
      </c>
      <c r="K442">
        <f t="shared" si="62"/>
        <v>52.148633333333336</v>
      </c>
      <c r="L442">
        <f t="shared" si="63"/>
        <v>1260.4052527843858</v>
      </c>
      <c r="M442">
        <f t="shared" si="64"/>
        <v>312.89179999999999</v>
      </c>
      <c r="N442">
        <f t="shared" si="65"/>
        <v>0</v>
      </c>
      <c r="O442">
        <f t="shared" si="66"/>
        <v>1573.2970527843859</v>
      </c>
      <c r="P442">
        <f t="shared" si="67"/>
        <v>877.32741665869582</v>
      </c>
      <c r="Q442">
        <f t="shared" si="68"/>
        <v>217.79388334130402</v>
      </c>
      <c r="R442">
        <f t="shared" si="69"/>
        <v>0</v>
      </c>
      <c r="S442">
        <f t="shared" si="70"/>
        <v>1095.1212999999998</v>
      </c>
    </row>
    <row r="443" spans="1:19" x14ac:dyDescent="0.3">
      <c r="A443" t="s">
        <v>13</v>
      </c>
      <c r="B443" t="s">
        <v>33</v>
      </c>
      <c r="C443" t="s">
        <v>15</v>
      </c>
      <c r="D443">
        <v>0</v>
      </c>
      <c r="E443">
        <v>20</v>
      </c>
      <c r="F443">
        <v>6</v>
      </c>
      <c r="G443">
        <v>20260411</v>
      </c>
      <c r="H443">
        <v>20260506</v>
      </c>
      <c r="I443">
        <v>1393.0922</v>
      </c>
      <c r="J443">
        <f t="shared" si="61"/>
        <v>26</v>
      </c>
      <c r="K443">
        <f t="shared" si="62"/>
        <v>53.580469230769232</v>
      </c>
      <c r="L443">
        <f t="shared" si="63"/>
        <v>0</v>
      </c>
      <c r="M443">
        <f t="shared" si="64"/>
        <v>1071.6093846153847</v>
      </c>
      <c r="N443">
        <f t="shared" si="65"/>
        <v>241.59286473040186</v>
      </c>
      <c r="O443">
        <f t="shared" si="66"/>
        <v>1313.2022493457866</v>
      </c>
      <c r="P443">
        <f t="shared" si="67"/>
        <v>0</v>
      </c>
      <c r="Q443">
        <f t="shared" si="68"/>
        <v>1136.8017956854728</v>
      </c>
      <c r="R443">
        <f t="shared" si="69"/>
        <v>256.290404314527</v>
      </c>
      <c r="S443">
        <f t="shared" si="70"/>
        <v>1393.0921999999998</v>
      </c>
    </row>
    <row r="444" spans="1:19" x14ac:dyDescent="0.3">
      <c r="A444" t="s">
        <v>13</v>
      </c>
      <c r="B444" t="s">
        <v>33</v>
      </c>
      <c r="C444" t="s">
        <v>15</v>
      </c>
      <c r="D444">
        <v>0</v>
      </c>
      <c r="E444">
        <v>14</v>
      </c>
      <c r="F444">
        <v>6</v>
      </c>
      <c r="G444">
        <v>20260417</v>
      </c>
      <c r="H444">
        <v>20260506</v>
      </c>
      <c r="I444">
        <v>42.218899999999998</v>
      </c>
      <c r="J444">
        <f t="shared" si="61"/>
        <v>20</v>
      </c>
      <c r="K444">
        <f t="shared" si="62"/>
        <v>2.1109450000000001</v>
      </c>
      <c r="L444">
        <f t="shared" si="63"/>
        <v>0</v>
      </c>
      <c r="M444">
        <f t="shared" si="64"/>
        <v>29.553229999999999</v>
      </c>
      <c r="N444">
        <f t="shared" si="65"/>
        <v>9.5181930498184339</v>
      </c>
      <c r="O444">
        <f t="shared" si="66"/>
        <v>39.071423049818435</v>
      </c>
      <c r="P444">
        <f t="shared" si="67"/>
        <v>0</v>
      </c>
      <c r="Q444">
        <f t="shared" si="68"/>
        <v>31.933949793845507</v>
      </c>
      <c r="R444">
        <f t="shared" si="69"/>
        <v>10.284950206154491</v>
      </c>
      <c r="S444">
        <f t="shared" si="70"/>
        <v>42.218899999999998</v>
      </c>
    </row>
    <row r="445" spans="1:19" x14ac:dyDescent="0.3">
      <c r="A445" t="s">
        <v>13</v>
      </c>
      <c r="B445" t="s">
        <v>33</v>
      </c>
      <c r="C445" t="s">
        <v>15</v>
      </c>
      <c r="D445">
        <v>28</v>
      </c>
      <c r="E445">
        <v>3</v>
      </c>
      <c r="F445">
        <v>0</v>
      </c>
      <c r="G445">
        <v>20260304</v>
      </c>
      <c r="H445">
        <v>20260403</v>
      </c>
      <c r="I445">
        <v>638818.88069999998</v>
      </c>
      <c r="J445">
        <f t="shared" si="61"/>
        <v>31</v>
      </c>
      <c r="K445">
        <f t="shared" si="62"/>
        <v>20607.060667741935</v>
      </c>
      <c r="L445">
        <f t="shared" si="63"/>
        <v>929715.55059214286</v>
      </c>
      <c r="M445">
        <f t="shared" si="64"/>
        <v>61821.182003225804</v>
      </c>
      <c r="N445">
        <f t="shared" si="65"/>
        <v>0</v>
      </c>
      <c r="O445">
        <f t="shared" si="66"/>
        <v>991536.73259536864</v>
      </c>
      <c r="P445">
        <f t="shared" si="67"/>
        <v>598989.25362458231</v>
      </c>
      <c r="Q445">
        <f t="shared" si="68"/>
        <v>39829.627075417695</v>
      </c>
      <c r="R445">
        <f t="shared" si="69"/>
        <v>0</v>
      </c>
      <c r="S445">
        <f t="shared" si="70"/>
        <v>638818.88069999998</v>
      </c>
    </row>
    <row r="446" spans="1:19" x14ac:dyDescent="0.3">
      <c r="A446" t="s">
        <v>13</v>
      </c>
      <c r="B446" t="s">
        <v>33</v>
      </c>
      <c r="C446" t="s">
        <v>14</v>
      </c>
      <c r="D446">
        <v>27</v>
      </c>
      <c r="E446">
        <v>1</v>
      </c>
      <c r="F446">
        <v>0</v>
      </c>
      <c r="G446">
        <v>20260305</v>
      </c>
      <c r="H446">
        <v>20260401</v>
      </c>
      <c r="I446">
        <v>56707.5308</v>
      </c>
      <c r="J446">
        <f t="shared" si="61"/>
        <v>28</v>
      </c>
      <c r="K446">
        <f t="shared" si="62"/>
        <v>2025.2689571428571</v>
      </c>
      <c r="L446">
        <f t="shared" si="63"/>
        <v>88109.448775414799</v>
      </c>
      <c r="M446">
        <f t="shared" si="64"/>
        <v>2025.2689571428571</v>
      </c>
      <c r="N446">
        <f t="shared" si="65"/>
        <v>0</v>
      </c>
      <c r="O446">
        <f t="shared" si="66"/>
        <v>90134.717732557663</v>
      </c>
      <c r="P446">
        <f t="shared" si="67"/>
        <v>55433.349167721164</v>
      </c>
      <c r="Q446">
        <f t="shared" si="68"/>
        <v>1274.1816322788359</v>
      </c>
      <c r="R446">
        <f t="shared" si="69"/>
        <v>0</v>
      </c>
      <c r="S446">
        <f t="shared" si="70"/>
        <v>56707.5308</v>
      </c>
    </row>
    <row r="447" spans="1:19" x14ac:dyDescent="0.3">
      <c r="A447" t="s">
        <v>13</v>
      </c>
      <c r="B447" t="s">
        <v>33</v>
      </c>
      <c r="C447" t="s">
        <v>14</v>
      </c>
      <c r="D447">
        <v>26</v>
      </c>
      <c r="E447">
        <v>3</v>
      </c>
      <c r="F447">
        <v>0</v>
      </c>
      <c r="G447">
        <v>20260306</v>
      </c>
      <c r="H447">
        <v>20260403</v>
      </c>
      <c r="I447">
        <v>87166.659599999999</v>
      </c>
      <c r="J447">
        <f t="shared" si="61"/>
        <v>29</v>
      </c>
      <c r="K447">
        <f t="shared" si="62"/>
        <v>3005.7468827586208</v>
      </c>
      <c r="L447">
        <f t="shared" si="63"/>
        <v>125922.04480756701</v>
      </c>
      <c r="M447">
        <f t="shared" si="64"/>
        <v>9017.2406482758634</v>
      </c>
      <c r="N447">
        <f t="shared" si="65"/>
        <v>0</v>
      </c>
      <c r="O447">
        <f t="shared" si="66"/>
        <v>134939.28545584288</v>
      </c>
      <c r="P447">
        <f t="shared" si="67"/>
        <v>81341.797377969371</v>
      </c>
      <c r="Q447">
        <f t="shared" si="68"/>
        <v>5824.8622220306233</v>
      </c>
      <c r="R447">
        <f t="shared" si="69"/>
        <v>0</v>
      </c>
      <c r="S447">
        <f t="shared" si="70"/>
        <v>87166.659599999999</v>
      </c>
    </row>
    <row r="448" spans="1:19" x14ac:dyDescent="0.3">
      <c r="A448" t="s">
        <v>13</v>
      </c>
      <c r="B448" t="s">
        <v>33</v>
      </c>
      <c r="C448" t="s">
        <v>15</v>
      </c>
      <c r="D448">
        <v>26</v>
      </c>
      <c r="E448">
        <v>6</v>
      </c>
      <c r="F448">
        <v>0</v>
      </c>
      <c r="G448">
        <v>20260306</v>
      </c>
      <c r="H448">
        <v>20260406</v>
      </c>
      <c r="I448">
        <v>260804.05809999999</v>
      </c>
      <c r="J448">
        <f t="shared" si="61"/>
        <v>32</v>
      </c>
      <c r="K448">
        <f t="shared" si="62"/>
        <v>8150.1268156249998</v>
      </c>
      <c r="L448">
        <f t="shared" si="63"/>
        <v>341439.4738131052</v>
      </c>
      <c r="M448">
        <f t="shared" si="64"/>
        <v>48900.760893749997</v>
      </c>
      <c r="N448">
        <f t="shared" si="65"/>
        <v>0</v>
      </c>
      <c r="O448">
        <f t="shared" si="66"/>
        <v>390340.2347068552</v>
      </c>
      <c r="P448">
        <f t="shared" si="67"/>
        <v>228131.23641446288</v>
      </c>
      <c r="Q448">
        <f t="shared" si="68"/>
        <v>32672.821685537107</v>
      </c>
      <c r="R448">
        <f t="shared" si="69"/>
        <v>0</v>
      </c>
      <c r="S448">
        <f t="shared" si="70"/>
        <v>260804.05809999999</v>
      </c>
    </row>
    <row r="449" spans="1:19" x14ac:dyDescent="0.3">
      <c r="A449" t="s">
        <v>13</v>
      </c>
      <c r="B449" t="s">
        <v>33</v>
      </c>
      <c r="C449" t="s">
        <v>14</v>
      </c>
      <c r="D449">
        <v>0</v>
      </c>
      <c r="E449">
        <v>15</v>
      </c>
      <c r="F449">
        <v>18</v>
      </c>
      <c r="G449">
        <v>20260416</v>
      </c>
      <c r="H449">
        <v>20260518</v>
      </c>
      <c r="I449">
        <v>2457161.0773999998</v>
      </c>
      <c r="J449">
        <f t="shared" si="61"/>
        <v>33</v>
      </c>
      <c r="K449">
        <f t="shared" si="62"/>
        <v>74459.426587878785</v>
      </c>
      <c r="L449">
        <f t="shared" si="63"/>
        <v>0</v>
      </c>
      <c r="M449">
        <f t="shared" si="64"/>
        <v>1116891.3988181818</v>
      </c>
      <c r="N449">
        <f t="shared" si="65"/>
        <v>1007206.5306896395</v>
      </c>
      <c r="O449">
        <f t="shared" si="66"/>
        <v>2124097.9295078213</v>
      </c>
      <c r="P449">
        <f t="shared" si="67"/>
        <v>0</v>
      </c>
      <c r="Q449">
        <f t="shared" si="68"/>
        <v>1292022.3850012333</v>
      </c>
      <c r="R449">
        <f t="shared" si="69"/>
        <v>1165138.6923987668</v>
      </c>
      <c r="S449">
        <f t="shared" si="70"/>
        <v>2457161.0773999998</v>
      </c>
    </row>
    <row r="450" spans="1:19" x14ac:dyDescent="0.3">
      <c r="A450" t="s">
        <v>13</v>
      </c>
      <c r="B450" t="s">
        <v>33</v>
      </c>
      <c r="C450" t="s">
        <v>14</v>
      </c>
      <c r="D450">
        <v>15</v>
      </c>
      <c r="E450">
        <v>16</v>
      </c>
      <c r="F450">
        <v>0</v>
      </c>
      <c r="G450">
        <v>20260317</v>
      </c>
      <c r="H450">
        <v>20260416</v>
      </c>
      <c r="I450">
        <v>3681155.0447999998</v>
      </c>
      <c r="J450">
        <f t="shared" si="61"/>
        <v>31</v>
      </c>
      <c r="K450">
        <f t="shared" si="62"/>
        <v>118746.93692903225</v>
      </c>
      <c r="L450">
        <f t="shared" si="63"/>
        <v>2870051.4949399456</v>
      </c>
      <c r="M450">
        <f t="shared" si="64"/>
        <v>1899950.990864516</v>
      </c>
      <c r="N450">
        <f t="shared" si="65"/>
        <v>0</v>
      </c>
      <c r="O450">
        <f t="shared" si="66"/>
        <v>4770002.4858044619</v>
      </c>
      <c r="P450">
        <f t="shared" si="67"/>
        <v>2214905.4577803127</v>
      </c>
      <c r="Q450">
        <f t="shared" si="68"/>
        <v>1466249.5870196866</v>
      </c>
      <c r="R450">
        <f t="shared" si="69"/>
        <v>0</v>
      </c>
      <c r="S450">
        <f t="shared" si="70"/>
        <v>3681155.0447999993</v>
      </c>
    </row>
    <row r="451" spans="1:19" x14ac:dyDescent="0.3">
      <c r="A451" t="s">
        <v>13</v>
      </c>
      <c r="B451" t="s">
        <v>33</v>
      </c>
      <c r="C451" t="s">
        <v>14</v>
      </c>
      <c r="D451">
        <v>30</v>
      </c>
      <c r="E451">
        <v>1</v>
      </c>
      <c r="F451">
        <v>0</v>
      </c>
      <c r="G451">
        <v>20260302</v>
      </c>
      <c r="H451">
        <v>20260401</v>
      </c>
      <c r="I451">
        <v>160966.00080000001</v>
      </c>
      <c r="J451">
        <f t="shared" si="61"/>
        <v>31</v>
      </c>
      <c r="K451">
        <f t="shared" si="62"/>
        <v>5192.4516387096774</v>
      </c>
      <c r="L451">
        <f t="shared" si="63"/>
        <v>250997.69263081622</v>
      </c>
      <c r="M451">
        <f t="shared" si="64"/>
        <v>5192.4516387096774</v>
      </c>
      <c r="N451">
        <f t="shared" si="65"/>
        <v>0</v>
      </c>
      <c r="O451">
        <f t="shared" si="66"/>
        <v>256190.14426952589</v>
      </c>
      <c r="P451">
        <f t="shared" si="67"/>
        <v>157703.54830787296</v>
      </c>
      <c r="Q451">
        <f t="shared" si="68"/>
        <v>3262.4524921270504</v>
      </c>
      <c r="R451">
        <f t="shared" si="69"/>
        <v>0</v>
      </c>
      <c r="S451">
        <f t="shared" si="70"/>
        <v>160966.00080000001</v>
      </c>
    </row>
    <row r="452" spans="1:19" x14ac:dyDescent="0.3">
      <c r="A452" t="s">
        <v>13</v>
      </c>
      <c r="B452" t="s">
        <v>33</v>
      </c>
      <c r="C452" t="s">
        <v>15</v>
      </c>
      <c r="D452">
        <v>0</v>
      </c>
      <c r="E452">
        <v>27</v>
      </c>
      <c r="F452">
        <v>9</v>
      </c>
      <c r="G452">
        <v>20260404</v>
      </c>
      <c r="H452">
        <v>20260509</v>
      </c>
      <c r="I452">
        <v>278935.538</v>
      </c>
      <c r="J452">
        <f t="shared" si="61"/>
        <v>36</v>
      </c>
      <c r="K452">
        <f t="shared" si="62"/>
        <v>7748.2093888888885</v>
      </c>
      <c r="L452">
        <f t="shared" si="63"/>
        <v>0</v>
      </c>
      <c r="M452">
        <f t="shared" si="64"/>
        <v>209201.65349999999</v>
      </c>
      <c r="N452">
        <f t="shared" si="65"/>
        <v>52404.695115595263</v>
      </c>
      <c r="O452">
        <f t="shared" si="66"/>
        <v>261606.34861559526</v>
      </c>
      <c r="P452">
        <f t="shared" si="67"/>
        <v>0</v>
      </c>
      <c r="Q452">
        <f t="shared" si="68"/>
        <v>223059.47878679808</v>
      </c>
      <c r="R452">
        <f t="shared" si="69"/>
        <v>55876.059213201886</v>
      </c>
      <c r="S452">
        <f t="shared" si="70"/>
        <v>278935.53799999994</v>
      </c>
    </row>
    <row r="453" spans="1:19" x14ac:dyDescent="0.3">
      <c r="A453" t="s">
        <v>13</v>
      </c>
      <c r="B453" t="s">
        <v>33</v>
      </c>
      <c r="C453" t="s">
        <v>15</v>
      </c>
      <c r="D453">
        <v>25</v>
      </c>
      <c r="E453">
        <v>3</v>
      </c>
      <c r="F453">
        <v>0</v>
      </c>
      <c r="G453">
        <v>20260307</v>
      </c>
      <c r="H453">
        <v>20260403</v>
      </c>
      <c r="I453">
        <v>110747.9418</v>
      </c>
      <c r="J453">
        <f t="shared" si="61"/>
        <v>28</v>
      </c>
      <c r="K453">
        <f t="shared" si="62"/>
        <v>3955.2836357142855</v>
      </c>
      <c r="L453">
        <f t="shared" si="63"/>
        <v>159328.56887609101</v>
      </c>
      <c r="M453">
        <f t="shared" si="64"/>
        <v>11865.850907142856</v>
      </c>
      <c r="N453">
        <f t="shared" si="65"/>
        <v>0</v>
      </c>
      <c r="O453">
        <f t="shared" si="66"/>
        <v>171194.41978323387</v>
      </c>
      <c r="P453">
        <f t="shared" si="67"/>
        <v>103071.76539579437</v>
      </c>
      <c r="Q453">
        <f t="shared" si="68"/>
        <v>7676.1764042056348</v>
      </c>
      <c r="R453">
        <f t="shared" si="69"/>
        <v>0</v>
      </c>
      <c r="S453">
        <f t="shared" si="70"/>
        <v>110747.9418</v>
      </c>
    </row>
    <row r="454" spans="1:19" x14ac:dyDescent="0.3">
      <c r="A454" t="s">
        <v>13</v>
      </c>
      <c r="B454" t="s">
        <v>33</v>
      </c>
      <c r="C454" t="s">
        <v>15</v>
      </c>
      <c r="D454">
        <v>27</v>
      </c>
      <c r="E454">
        <v>1</v>
      </c>
      <c r="F454">
        <v>0</v>
      </c>
      <c r="G454">
        <v>20260305</v>
      </c>
      <c r="H454">
        <v>20260401</v>
      </c>
      <c r="I454">
        <v>143116.83369999999</v>
      </c>
      <c r="J454">
        <f t="shared" si="61"/>
        <v>28</v>
      </c>
      <c r="K454">
        <f t="shared" si="62"/>
        <v>5111.3154892857137</v>
      </c>
      <c r="L454">
        <f t="shared" si="63"/>
        <v>222368.09026764586</v>
      </c>
      <c r="M454">
        <f t="shared" si="64"/>
        <v>5111.3154892857137</v>
      </c>
      <c r="N454">
        <f t="shared" si="65"/>
        <v>0</v>
      </c>
      <c r="O454">
        <f t="shared" si="66"/>
        <v>227479.40575693158</v>
      </c>
      <c r="P454">
        <f t="shared" si="67"/>
        <v>139901.09077841885</v>
      </c>
      <c r="Q454">
        <f t="shared" si="68"/>
        <v>3215.7429215811435</v>
      </c>
      <c r="R454">
        <f t="shared" si="69"/>
        <v>0</v>
      </c>
      <c r="S454">
        <f t="shared" si="70"/>
        <v>143116.83369999999</v>
      </c>
    </row>
    <row r="455" spans="1:19" x14ac:dyDescent="0.3">
      <c r="A455" t="s">
        <v>13</v>
      </c>
      <c r="B455" t="s">
        <v>33</v>
      </c>
      <c r="C455" t="s">
        <v>14</v>
      </c>
      <c r="D455">
        <v>0</v>
      </c>
      <c r="E455">
        <v>28</v>
      </c>
      <c r="F455">
        <v>4</v>
      </c>
      <c r="G455">
        <v>20260403</v>
      </c>
      <c r="H455">
        <v>20260504</v>
      </c>
      <c r="I455">
        <v>1828380.7921</v>
      </c>
      <c r="J455">
        <f t="shared" si="61"/>
        <v>32</v>
      </c>
      <c r="K455">
        <f t="shared" si="62"/>
        <v>57136.899753124999</v>
      </c>
      <c r="L455">
        <f t="shared" si="63"/>
        <v>0</v>
      </c>
      <c r="M455">
        <f t="shared" si="64"/>
        <v>1599833.1930875001</v>
      </c>
      <c r="N455">
        <f t="shared" si="65"/>
        <v>171752.47487684962</v>
      </c>
      <c r="O455">
        <f t="shared" si="66"/>
        <v>1771585.6679643497</v>
      </c>
      <c r="P455">
        <f t="shared" si="67"/>
        <v>0</v>
      </c>
      <c r="Q455">
        <f t="shared" si="68"/>
        <v>1651122.1182807956</v>
      </c>
      <c r="R455">
        <f t="shared" si="69"/>
        <v>177258.67381920421</v>
      </c>
      <c r="S455">
        <f t="shared" si="70"/>
        <v>1828380.7920999997</v>
      </c>
    </row>
    <row r="456" spans="1:19" x14ac:dyDescent="0.3">
      <c r="A456" t="s">
        <v>13</v>
      </c>
      <c r="B456" t="s">
        <v>33</v>
      </c>
      <c r="C456" t="s">
        <v>15</v>
      </c>
      <c r="D456">
        <v>0</v>
      </c>
      <c r="E456">
        <v>15</v>
      </c>
      <c r="F456">
        <v>0</v>
      </c>
      <c r="G456">
        <v>20260416</v>
      </c>
      <c r="H456">
        <v>20260430</v>
      </c>
      <c r="I456">
        <v>13640.524799999999</v>
      </c>
      <c r="J456">
        <f t="shared" si="61"/>
        <v>15</v>
      </c>
      <c r="K456">
        <f t="shared" si="62"/>
        <v>909.36831999999993</v>
      </c>
      <c r="L456">
        <f t="shared" si="63"/>
        <v>0</v>
      </c>
      <c r="M456">
        <f t="shared" si="64"/>
        <v>13640.524799999999</v>
      </c>
      <c r="N456">
        <f t="shared" si="65"/>
        <v>0</v>
      </c>
      <c r="O456">
        <f t="shared" si="66"/>
        <v>13640.524799999999</v>
      </c>
      <c r="P456">
        <f t="shared" si="67"/>
        <v>0</v>
      </c>
      <c r="Q456">
        <f t="shared" si="68"/>
        <v>13640.524799999999</v>
      </c>
      <c r="R456">
        <f t="shared" si="69"/>
        <v>0</v>
      </c>
      <c r="S456">
        <f t="shared" si="70"/>
        <v>13640.524799999999</v>
      </c>
    </row>
    <row r="457" spans="1:19" x14ac:dyDescent="0.3">
      <c r="A457" t="s">
        <v>13</v>
      </c>
      <c r="B457" t="s">
        <v>24</v>
      </c>
      <c r="C457" t="s">
        <v>15</v>
      </c>
      <c r="D457">
        <v>29</v>
      </c>
      <c r="E457">
        <v>3</v>
      </c>
      <c r="F457">
        <v>0</v>
      </c>
      <c r="G457">
        <v>20260303</v>
      </c>
      <c r="H457">
        <v>20260403</v>
      </c>
      <c r="I457">
        <v>1519533.186</v>
      </c>
      <c r="J457">
        <f t="shared" si="61"/>
        <v>32</v>
      </c>
      <c r="K457">
        <f t="shared" si="62"/>
        <v>47485.4120625</v>
      </c>
      <c r="L457">
        <f t="shared" si="63"/>
        <v>2218882.081322649</v>
      </c>
      <c r="M457">
        <f t="shared" si="64"/>
        <v>142456.23618750001</v>
      </c>
      <c r="N457">
        <f t="shared" si="65"/>
        <v>0</v>
      </c>
      <c r="O457">
        <f t="shared" si="66"/>
        <v>2361338.317510149</v>
      </c>
      <c r="P457">
        <f t="shared" si="67"/>
        <v>1427861.8753562088</v>
      </c>
      <c r="Q457">
        <f t="shared" si="68"/>
        <v>91671.310643791308</v>
      </c>
      <c r="R457">
        <f t="shared" si="69"/>
        <v>0</v>
      </c>
      <c r="S457">
        <f t="shared" si="70"/>
        <v>1519533.186</v>
      </c>
    </row>
    <row r="458" spans="1:19" x14ac:dyDescent="0.3">
      <c r="A458" t="s">
        <v>13</v>
      </c>
      <c r="B458" t="s">
        <v>33</v>
      </c>
      <c r="C458" t="s">
        <v>14</v>
      </c>
      <c r="D458">
        <v>0</v>
      </c>
      <c r="E458">
        <v>27</v>
      </c>
      <c r="F458">
        <v>1</v>
      </c>
      <c r="G458">
        <v>20260404</v>
      </c>
      <c r="H458">
        <v>20260501</v>
      </c>
      <c r="I458">
        <v>406041.4853</v>
      </c>
      <c r="J458">
        <f t="shared" si="61"/>
        <v>28</v>
      </c>
      <c r="K458">
        <f t="shared" si="62"/>
        <v>14501.481617857144</v>
      </c>
      <c r="L458">
        <f t="shared" si="63"/>
        <v>0</v>
      </c>
      <c r="M458">
        <f t="shared" si="64"/>
        <v>391540.00368214288</v>
      </c>
      <c r="N458">
        <f t="shared" si="65"/>
        <v>10897.797080387982</v>
      </c>
      <c r="O458">
        <f t="shared" si="66"/>
        <v>402437.80076253088</v>
      </c>
      <c r="P458">
        <f t="shared" si="67"/>
        <v>0</v>
      </c>
      <c r="Q458">
        <f t="shared" si="68"/>
        <v>395046.10239950102</v>
      </c>
      <c r="R458">
        <f t="shared" si="69"/>
        <v>10995.38290049896</v>
      </c>
      <c r="S458">
        <f t="shared" si="70"/>
        <v>406041.4853</v>
      </c>
    </row>
    <row r="459" spans="1:19" x14ac:dyDescent="0.3">
      <c r="A459" t="s">
        <v>13</v>
      </c>
      <c r="B459" t="s">
        <v>33</v>
      </c>
      <c r="C459" t="s">
        <v>14</v>
      </c>
      <c r="D459">
        <v>28</v>
      </c>
      <c r="E459">
        <v>3</v>
      </c>
      <c r="F459">
        <v>0</v>
      </c>
      <c r="G459">
        <v>20260304</v>
      </c>
      <c r="H459">
        <v>20260403</v>
      </c>
      <c r="I459">
        <v>140938.13699999999</v>
      </c>
      <c r="J459">
        <f t="shared" ref="J459:J522" si="71">IF(D459&lt;0,0,D459)+E459+F459</f>
        <v>31</v>
      </c>
      <c r="K459">
        <f t="shared" ref="K459:K522" si="72">I459/J459</f>
        <v>4546.3915161290315</v>
      </c>
      <c r="L459">
        <f t="shared" ref="L459:L522" si="73">IF(D459&lt;0,0,D459)*$K459*$B$6</f>
        <v>205116.63258419067</v>
      </c>
      <c r="M459">
        <f t="shared" ref="M459:M522" si="74">IF(E459&lt;0,0,E459)*$K459*$C$6</f>
        <v>13639.174548387095</v>
      </c>
      <c r="N459">
        <f t="shared" ref="N459:N522" si="75">IF(F459&lt;0,0,F459)*$K459*$D$6</f>
        <v>0</v>
      </c>
      <c r="O459">
        <f t="shared" ref="O459:O522" si="76">L459+M459+N459</f>
        <v>218755.80713257776</v>
      </c>
      <c r="P459">
        <f t="shared" ref="P459:P522" si="77">L459/$O459*$I459</f>
        <v>132150.80524289381</v>
      </c>
      <c r="Q459">
        <f t="shared" ref="Q459:Q522" si="78">M459/$O459*$I459</f>
        <v>8787.3317571061725</v>
      </c>
      <c r="R459">
        <f t="shared" ref="R459:R522" si="79">N459/$O459*$I459</f>
        <v>0</v>
      </c>
      <c r="S459">
        <f t="shared" ref="S459:S522" si="80">P459+Q459+R459</f>
        <v>140938.13699999999</v>
      </c>
    </row>
    <row r="460" spans="1:19" x14ac:dyDescent="0.3">
      <c r="A460" t="s">
        <v>13</v>
      </c>
      <c r="B460" t="s">
        <v>33</v>
      </c>
      <c r="C460" t="s">
        <v>14</v>
      </c>
      <c r="D460">
        <v>0</v>
      </c>
      <c r="E460">
        <v>29</v>
      </c>
      <c r="F460">
        <v>1</v>
      </c>
      <c r="G460">
        <v>20260402</v>
      </c>
      <c r="H460">
        <v>20260501</v>
      </c>
      <c r="I460">
        <v>6524839.0418999996</v>
      </c>
      <c r="J460">
        <f t="shared" si="71"/>
        <v>30</v>
      </c>
      <c r="K460">
        <f t="shared" si="72"/>
        <v>217494.63472999999</v>
      </c>
      <c r="L460">
        <f t="shared" si="73"/>
        <v>0</v>
      </c>
      <c r="M460">
        <f t="shared" si="74"/>
        <v>6307344.4071699996</v>
      </c>
      <c r="N460">
        <f t="shared" si="75"/>
        <v>163446.22279436342</v>
      </c>
      <c r="O460">
        <f t="shared" si="76"/>
        <v>6470790.6299643628</v>
      </c>
      <c r="P460">
        <f t="shared" si="77"/>
        <v>0</v>
      </c>
      <c r="Q460">
        <f t="shared" si="78"/>
        <v>6360027.6059061848</v>
      </c>
      <c r="R460">
        <f t="shared" si="79"/>
        <v>164811.43599381478</v>
      </c>
      <c r="S460">
        <f t="shared" si="80"/>
        <v>6524839.0418999996</v>
      </c>
    </row>
    <row r="461" spans="1:19" x14ac:dyDescent="0.3">
      <c r="A461" t="s">
        <v>13</v>
      </c>
      <c r="B461" t="s">
        <v>33</v>
      </c>
      <c r="C461" t="s">
        <v>14</v>
      </c>
      <c r="D461">
        <v>0</v>
      </c>
      <c r="E461">
        <v>29</v>
      </c>
      <c r="F461">
        <v>6</v>
      </c>
      <c r="G461">
        <v>20260402</v>
      </c>
      <c r="H461">
        <v>20260506</v>
      </c>
      <c r="I461">
        <v>1416103.8583</v>
      </c>
      <c r="J461">
        <f t="shared" si="71"/>
        <v>35</v>
      </c>
      <c r="K461">
        <f t="shared" si="72"/>
        <v>40460.110237142857</v>
      </c>
      <c r="L461">
        <f t="shared" si="73"/>
        <v>0</v>
      </c>
      <c r="M461">
        <f t="shared" si="74"/>
        <v>1173343.1968771429</v>
      </c>
      <c r="N461">
        <f t="shared" si="75"/>
        <v>182433.52624254106</v>
      </c>
      <c r="O461">
        <f t="shared" si="76"/>
        <v>1355776.723119684</v>
      </c>
      <c r="P461">
        <f t="shared" si="77"/>
        <v>0</v>
      </c>
      <c r="Q461">
        <f t="shared" si="78"/>
        <v>1225552.7033864702</v>
      </c>
      <c r="R461">
        <f t="shared" si="79"/>
        <v>190551.15491352978</v>
      </c>
      <c r="S461">
        <f t="shared" si="80"/>
        <v>1416103.8583</v>
      </c>
    </row>
    <row r="462" spans="1:19" x14ac:dyDescent="0.3">
      <c r="A462" t="s">
        <v>13</v>
      </c>
      <c r="B462" t="s">
        <v>33</v>
      </c>
      <c r="C462" t="s">
        <v>14</v>
      </c>
      <c r="D462">
        <v>28</v>
      </c>
      <c r="E462">
        <v>1</v>
      </c>
      <c r="F462">
        <v>0</v>
      </c>
      <c r="G462">
        <v>20260304</v>
      </c>
      <c r="H462">
        <v>20260401</v>
      </c>
      <c r="I462">
        <v>107559.4531</v>
      </c>
      <c r="J462">
        <f t="shared" si="71"/>
        <v>29</v>
      </c>
      <c r="K462">
        <f t="shared" si="72"/>
        <v>3708.9466586206895</v>
      </c>
      <c r="L462">
        <f t="shared" si="73"/>
        <v>167334.16960499849</v>
      </c>
      <c r="M462">
        <f t="shared" si="74"/>
        <v>3708.9466586206895</v>
      </c>
      <c r="N462">
        <f t="shared" si="75"/>
        <v>0</v>
      </c>
      <c r="O462">
        <f t="shared" si="76"/>
        <v>171043.11626361919</v>
      </c>
      <c r="P462">
        <f t="shared" si="77"/>
        <v>105227.10390704293</v>
      </c>
      <c r="Q462">
        <f t="shared" si="78"/>
        <v>2332.349192957066</v>
      </c>
      <c r="R462">
        <f t="shared" si="79"/>
        <v>0</v>
      </c>
      <c r="S462">
        <f t="shared" si="80"/>
        <v>107559.45309999998</v>
      </c>
    </row>
    <row r="463" spans="1:19" x14ac:dyDescent="0.3">
      <c r="A463" t="s">
        <v>13</v>
      </c>
      <c r="B463" t="s">
        <v>33</v>
      </c>
      <c r="C463" t="s">
        <v>15</v>
      </c>
      <c r="D463">
        <v>0</v>
      </c>
      <c r="E463">
        <v>28</v>
      </c>
      <c r="F463">
        <v>6</v>
      </c>
      <c r="G463">
        <v>20260403</v>
      </c>
      <c r="H463">
        <v>20260506</v>
      </c>
      <c r="I463">
        <v>3513094.2064999999</v>
      </c>
      <c r="J463">
        <f t="shared" si="71"/>
        <v>34</v>
      </c>
      <c r="K463">
        <f t="shared" si="72"/>
        <v>103326.30019117647</v>
      </c>
      <c r="L463">
        <f t="shared" si="73"/>
        <v>0</v>
      </c>
      <c r="M463">
        <f t="shared" si="74"/>
        <v>2893136.4053529412</v>
      </c>
      <c r="N463">
        <f t="shared" si="75"/>
        <v>465895.45077825763</v>
      </c>
      <c r="O463">
        <f t="shared" si="76"/>
        <v>3359031.8561311988</v>
      </c>
      <c r="P463">
        <f t="shared" si="77"/>
        <v>0</v>
      </c>
      <c r="Q463">
        <f t="shared" si="78"/>
        <v>3025830.4117323821</v>
      </c>
      <c r="R463">
        <f t="shared" si="79"/>
        <v>487263.79476761783</v>
      </c>
      <c r="S463">
        <f t="shared" si="80"/>
        <v>3513094.2064999999</v>
      </c>
    </row>
    <row r="464" spans="1:19" x14ac:dyDescent="0.3">
      <c r="A464" t="s">
        <v>13</v>
      </c>
      <c r="B464" t="s">
        <v>24</v>
      </c>
      <c r="C464" t="s">
        <v>15</v>
      </c>
      <c r="D464">
        <v>24</v>
      </c>
      <c r="E464">
        <v>3</v>
      </c>
      <c r="F464">
        <v>0</v>
      </c>
      <c r="G464">
        <v>20260308</v>
      </c>
      <c r="H464">
        <v>20260403</v>
      </c>
      <c r="I464">
        <v>264020.42479999998</v>
      </c>
      <c r="J464">
        <f t="shared" si="71"/>
        <v>27</v>
      </c>
      <c r="K464">
        <f t="shared" si="72"/>
        <v>9778.5342518518519</v>
      </c>
      <c r="L464">
        <f t="shared" si="73"/>
        <v>378147.31156724034</v>
      </c>
      <c r="M464">
        <f t="shared" si="74"/>
        <v>29335.602755555556</v>
      </c>
      <c r="N464">
        <f t="shared" si="75"/>
        <v>0</v>
      </c>
      <c r="O464">
        <f t="shared" si="76"/>
        <v>407482.91432279587</v>
      </c>
      <c r="P464">
        <f t="shared" si="77"/>
        <v>245013.00625790545</v>
      </c>
      <c r="Q464">
        <f t="shared" si="78"/>
        <v>19007.418542094532</v>
      </c>
      <c r="R464">
        <f t="shared" si="79"/>
        <v>0</v>
      </c>
      <c r="S464">
        <f t="shared" si="80"/>
        <v>264020.42479999998</v>
      </c>
    </row>
    <row r="465" spans="1:19" x14ac:dyDescent="0.3">
      <c r="A465" t="s">
        <v>13</v>
      </c>
      <c r="B465" t="s">
        <v>33</v>
      </c>
      <c r="C465" t="s">
        <v>14</v>
      </c>
      <c r="D465">
        <v>25</v>
      </c>
      <c r="E465">
        <v>6</v>
      </c>
      <c r="F465">
        <v>0</v>
      </c>
      <c r="G465">
        <v>20260307</v>
      </c>
      <c r="H465">
        <v>20260406</v>
      </c>
      <c r="I465">
        <v>246046.98620000001</v>
      </c>
      <c r="J465">
        <f t="shared" si="71"/>
        <v>31</v>
      </c>
      <c r="K465">
        <f t="shared" si="72"/>
        <v>7936.9995548387105</v>
      </c>
      <c r="L465">
        <f t="shared" si="73"/>
        <v>319721.89524513081</v>
      </c>
      <c r="M465">
        <f t="shared" si="74"/>
        <v>47621.997329032267</v>
      </c>
      <c r="N465">
        <f t="shared" si="75"/>
        <v>0</v>
      </c>
      <c r="O465">
        <f t="shared" si="76"/>
        <v>367343.8925741631</v>
      </c>
      <c r="P465">
        <f t="shared" si="77"/>
        <v>214149.76630197966</v>
      </c>
      <c r="Q465">
        <f t="shared" si="78"/>
        <v>31897.219898020339</v>
      </c>
      <c r="R465">
        <f t="shared" si="79"/>
        <v>0</v>
      </c>
      <c r="S465">
        <f t="shared" si="80"/>
        <v>246046.98619999998</v>
      </c>
    </row>
    <row r="466" spans="1:19" x14ac:dyDescent="0.3">
      <c r="A466" t="s">
        <v>13</v>
      </c>
      <c r="B466" t="s">
        <v>33</v>
      </c>
      <c r="C466" t="s">
        <v>15</v>
      </c>
      <c r="D466">
        <v>26</v>
      </c>
      <c r="E466">
        <v>5</v>
      </c>
      <c r="F466">
        <v>0</v>
      </c>
      <c r="G466">
        <v>20260306</v>
      </c>
      <c r="H466">
        <v>20260405</v>
      </c>
      <c r="I466">
        <v>140018.56640000001</v>
      </c>
      <c r="J466">
        <f t="shared" si="71"/>
        <v>31</v>
      </c>
      <c r="K466">
        <f t="shared" si="72"/>
        <v>4516.7279483870971</v>
      </c>
      <c r="L466">
        <f t="shared" si="73"/>
        <v>189222.72609275617</v>
      </c>
      <c r="M466">
        <f t="shared" si="74"/>
        <v>22583.639741935483</v>
      </c>
      <c r="N466">
        <f t="shared" si="75"/>
        <v>0</v>
      </c>
      <c r="O466">
        <f t="shared" si="76"/>
        <v>211806.36583469165</v>
      </c>
      <c r="P466">
        <f t="shared" si="77"/>
        <v>125089.22823635003</v>
      </c>
      <c r="Q466">
        <f t="shared" si="78"/>
        <v>14929.338163649985</v>
      </c>
      <c r="R466">
        <f t="shared" si="79"/>
        <v>0</v>
      </c>
      <c r="S466">
        <f t="shared" si="80"/>
        <v>140018.56640000001</v>
      </c>
    </row>
    <row r="467" spans="1:19" x14ac:dyDescent="0.3">
      <c r="A467" t="s">
        <v>13</v>
      </c>
      <c r="B467" t="s">
        <v>33</v>
      </c>
      <c r="C467" t="s">
        <v>14</v>
      </c>
      <c r="D467">
        <v>0</v>
      </c>
      <c r="E467">
        <v>26</v>
      </c>
      <c r="F467">
        <v>4</v>
      </c>
      <c r="G467">
        <v>20260405</v>
      </c>
      <c r="H467">
        <v>20260504</v>
      </c>
      <c r="I467">
        <v>258567.6912</v>
      </c>
      <c r="J467">
        <f t="shared" si="71"/>
        <v>30</v>
      </c>
      <c r="K467">
        <f t="shared" si="72"/>
        <v>8618.9230399999997</v>
      </c>
      <c r="L467">
        <f t="shared" si="73"/>
        <v>0</v>
      </c>
      <c r="M467">
        <f t="shared" si="74"/>
        <v>224091.99904</v>
      </c>
      <c r="N467">
        <f t="shared" si="75"/>
        <v>25908.324905432706</v>
      </c>
      <c r="O467">
        <f t="shared" si="76"/>
        <v>250000.3239454327</v>
      </c>
      <c r="P467">
        <f t="shared" si="77"/>
        <v>0</v>
      </c>
      <c r="Q467">
        <f t="shared" si="78"/>
        <v>231771.50290738247</v>
      </c>
      <c r="R467">
        <f t="shared" si="79"/>
        <v>26796.188292617528</v>
      </c>
      <c r="S467">
        <f t="shared" si="80"/>
        <v>258567.6912</v>
      </c>
    </row>
    <row r="468" spans="1:19" x14ac:dyDescent="0.3">
      <c r="A468" t="s">
        <v>13</v>
      </c>
      <c r="B468" t="s">
        <v>33</v>
      </c>
      <c r="C468" t="s">
        <v>15</v>
      </c>
      <c r="D468">
        <v>0</v>
      </c>
      <c r="E468">
        <v>28</v>
      </c>
      <c r="F468">
        <v>7</v>
      </c>
      <c r="G468">
        <v>20260403</v>
      </c>
      <c r="H468">
        <v>20260507</v>
      </c>
      <c r="I468">
        <v>1040309.335</v>
      </c>
      <c r="J468">
        <f t="shared" si="71"/>
        <v>35</v>
      </c>
      <c r="K468">
        <f t="shared" si="72"/>
        <v>29723.123857142855</v>
      </c>
      <c r="L468">
        <f t="shared" si="73"/>
        <v>0</v>
      </c>
      <c r="M468">
        <f t="shared" si="74"/>
        <v>832247.46799999988</v>
      </c>
      <c r="N468">
        <f t="shared" si="75"/>
        <v>156357.54100743562</v>
      </c>
      <c r="O468">
        <f t="shared" si="76"/>
        <v>988605.00900743552</v>
      </c>
      <c r="P468">
        <f t="shared" si="77"/>
        <v>0</v>
      </c>
      <c r="Q468">
        <f t="shared" si="78"/>
        <v>875774.24967710418</v>
      </c>
      <c r="R468">
        <f t="shared" si="79"/>
        <v>164535.08532289579</v>
      </c>
      <c r="S468">
        <f t="shared" si="80"/>
        <v>1040309.335</v>
      </c>
    </row>
    <row r="469" spans="1:19" x14ac:dyDescent="0.3">
      <c r="A469" t="s">
        <v>13</v>
      </c>
      <c r="B469" t="s">
        <v>33</v>
      </c>
      <c r="C469" t="s">
        <v>14</v>
      </c>
      <c r="D469">
        <v>0</v>
      </c>
      <c r="E469">
        <v>10</v>
      </c>
      <c r="F469">
        <v>0</v>
      </c>
      <c r="G469">
        <v>20260411</v>
      </c>
      <c r="H469">
        <v>20260420</v>
      </c>
      <c r="I469">
        <v>22082.6522</v>
      </c>
      <c r="J469">
        <f t="shared" si="71"/>
        <v>10</v>
      </c>
      <c r="K469">
        <f t="shared" si="72"/>
        <v>2208.2652200000002</v>
      </c>
      <c r="L469">
        <f t="shared" si="73"/>
        <v>0</v>
      </c>
      <c r="M469">
        <f t="shared" si="74"/>
        <v>22082.652200000004</v>
      </c>
      <c r="N469">
        <f t="shared" si="75"/>
        <v>0</v>
      </c>
      <c r="O469">
        <f t="shared" si="76"/>
        <v>22082.652200000004</v>
      </c>
      <c r="P469">
        <f t="shared" si="77"/>
        <v>0</v>
      </c>
      <c r="Q469">
        <f t="shared" si="78"/>
        <v>22082.6522</v>
      </c>
      <c r="R469">
        <f t="shared" si="79"/>
        <v>0</v>
      </c>
      <c r="S469">
        <f t="shared" si="80"/>
        <v>22082.6522</v>
      </c>
    </row>
    <row r="470" spans="1:19" x14ac:dyDescent="0.3">
      <c r="A470" t="s">
        <v>13</v>
      </c>
      <c r="B470" t="s">
        <v>24</v>
      </c>
      <c r="C470" t="s">
        <v>15</v>
      </c>
      <c r="D470">
        <v>24</v>
      </c>
      <c r="E470">
        <v>5</v>
      </c>
      <c r="F470">
        <v>0</v>
      </c>
      <c r="G470">
        <v>20260308</v>
      </c>
      <c r="H470">
        <v>20260405</v>
      </c>
      <c r="I470">
        <v>113824.62699999999</v>
      </c>
      <c r="J470">
        <f t="shared" si="71"/>
        <v>29</v>
      </c>
      <c r="K470">
        <f t="shared" si="72"/>
        <v>3924.9871379310343</v>
      </c>
      <c r="L470">
        <f t="shared" si="73"/>
        <v>151783.82525617644</v>
      </c>
      <c r="M470">
        <f t="shared" si="74"/>
        <v>19624.935689655173</v>
      </c>
      <c r="N470">
        <f t="shared" si="75"/>
        <v>0</v>
      </c>
      <c r="O470">
        <f t="shared" si="76"/>
        <v>171408.7609458316</v>
      </c>
      <c r="P470">
        <f t="shared" si="77"/>
        <v>100792.61526123065</v>
      </c>
      <c r="Q470">
        <f t="shared" si="78"/>
        <v>13032.011738769355</v>
      </c>
      <c r="R470">
        <f t="shared" si="79"/>
        <v>0</v>
      </c>
      <c r="S470">
        <f t="shared" si="80"/>
        <v>113824.62700000001</v>
      </c>
    </row>
    <row r="471" spans="1:19" x14ac:dyDescent="0.3">
      <c r="A471" t="s">
        <v>13</v>
      </c>
      <c r="B471" t="s">
        <v>33</v>
      </c>
      <c r="C471" t="s">
        <v>14</v>
      </c>
      <c r="D471">
        <v>26</v>
      </c>
      <c r="E471">
        <v>6</v>
      </c>
      <c r="F471">
        <v>0</v>
      </c>
      <c r="G471">
        <v>20260306</v>
      </c>
      <c r="H471">
        <v>20260406</v>
      </c>
      <c r="I471">
        <v>79344.018700000001</v>
      </c>
      <c r="J471">
        <f t="shared" si="71"/>
        <v>32</v>
      </c>
      <c r="K471">
        <f t="shared" si="72"/>
        <v>2479.500584375</v>
      </c>
      <c r="L471">
        <f t="shared" si="73"/>
        <v>103875.60758259987</v>
      </c>
      <c r="M471">
        <f t="shared" si="74"/>
        <v>14877.003506249999</v>
      </c>
      <c r="N471">
        <f t="shared" si="75"/>
        <v>0</v>
      </c>
      <c r="O471">
        <f t="shared" si="76"/>
        <v>118752.61108884987</v>
      </c>
      <c r="P471">
        <f t="shared" si="77"/>
        <v>69404.016256460483</v>
      </c>
      <c r="Q471">
        <f t="shared" si="78"/>
        <v>9940.0024435395153</v>
      </c>
      <c r="R471">
        <f t="shared" si="79"/>
        <v>0</v>
      </c>
      <c r="S471">
        <f t="shared" si="80"/>
        <v>79344.018700000001</v>
      </c>
    </row>
    <row r="472" spans="1:19" x14ac:dyDescent="0.3">
      <c r="A472" t="s">
        <v>13</v>
      </c>
      <c r="B472" t="s">
        <v>33</v>
      </c>
      <c r="C472" t="s">
        <v>15</v>
      </c>
      <c r="D472">
        <v>29</v>
      </c>
      <c r="E472">
        <v>7</v>
      </c>
      <c r="F472">
        <v>0</v>
      </c>
      <c r="G472">
        <v>20260303</v>
      </c>
      <c r="H472">
        <v>20260407</v>
      </c>
      <c r="I472">
        <v>58724.336799999997</v>
      </c>
      <c r="J472">
        <f t="shared" si="71"/>
        <v>36</v>
      </c>
      <c r="K472">
        <f t="shared" si="72"/>
        <v>1631.2315777777776</v>
      </c>
      <c r="L472">
        <f t="shared" si="73"/>
        <v>76223.630820657243</v>
      </c>
      <c r="M472">
        <f t="shared" si="74"/>
        <v>11418.621044444444</v>
      </c>
      <c r="N472">
        <f t="shared" si="75"/>
        <v>0</v>
      </c>
      <c r="O472">
        <f t="shared" si="76"/>
        <v>87642.251865101687</v>
      </c>
      <c r="P472">
        <f t="shared" si="77"/>
        <v>51073.335898772231</v>
      </c>
      <c r="Q472">
        <f t="shared" si="78"/>
        <v>7651.0009012277596</v>
      </c>
      <c r="R472">
        <f t="shared" si="79"/>
        <v>0</v>
      </c>
      <c r="S472">
        <f t="shared" si="80"/>
        <v>58724.33679999999</v>
      </c>
    </row>
    <row r="473" spans="1:19" x14ac:dyDescent="0.3">
      <c r="A473" t="s">
        <v>13</v>
      </c>
      <c r="B473" t="s">
        <v>24</v>
      </c>
      <c r="C473" t="s">
        <v>15</v>
      </c>
      <c r="D473">
        <v>27</v>
      </c>
      <c r="E473">
        <v>13</v>
      </c>
      <c r="F473">
        <v>0</v>
      </c>
      <c r="G473">
        <v>20260305</v>
      </c>
      <c r="H473">
        <v>20260413</v>
      </c>
      <c r="I473">
        <v>14057.122300000001</v>
      </c>
      <c r="J473">
        <f t="shared" si="71"/>
        <v>40</v>
      </c>
      <c r="K473">
        <f t="shared" si="72"/>
        <v>351.42805750000002</v>
      </c>
      <c r="L473">
        <f t="shared" si="73"/>
        <v>15288.898949116539</v>
      </c>
      <c r="M473">
        <f t="shared" si="74"/>
        <v>4568.5647475000005</v>
      </c>
      <c r="N473">
        <f t="shared" si="75"/>
        <v>0</v>
      </c>
      <c r="O473">
        <f t="shared" si="76"/>
        <v>19857.463696616542</v>
      </c>
      <c r="P473">
        <f t="shared" si="77"/>
        <v>10823.029851324465</v>
      </c>
      <c r="Q473">
        <f t="shared" si="78"/>
        <v>3234.0924486755348</v>
      </c>
      <c r="R473">
        <f t="shared" si="79"/>
        <v>0</v>
      </c>
      <c r="S473">
        <f t="shared" si="80"/>
        <v>14057.122299999999</v>
      </c>
    </row>
    <row r="474" spans="1:19" x14ac:dyDescent="0.3">
      <c r="A474" t="s">
        <v>13</v>
      </c>
      <c r="B474" t="s">
        <v>33</v>
      </c>
      <c r="C474" t="s">
        <v>14</v>
      </c>
      <c r="D474">
        <v>23</v>
      </c>
      <c r="E474">
        <v>6</v>
      </c>
      <c r="F474">
        <v>0</v>
      </c>
      <c r="G474">
        <v>20260309</v>
      </c>
      <c r="H474">
        <v>20260406</v>
      </c>
      <c r="I474">
        <v>583.70659999999998</v>
      </c>
      <c r="J474">
        <f t="shared" si="71"/>
        <v>29</v>
      </c>
      <c r="K474">
        <f t="shared" si="72"/>
        <v>20.127813793103449</v>
      </c>
      <c r="L474">
        <f t="shared" si="73"/>
        <v>745.93409138053835</v>
      </c>
      <c r="M474">
        <f t="shared" si="74"/>
        <v>120.7668827586207</v>
      </c>
      <c r="N474">
        <f t="shared" si="75"/>
        <v>0</v>
      </c>
      <c r="O474">
        <f t="shared" si="76"/>
        <v>866.70097413915903</v>
      </c>
      <c r="P474">
        <f t="shared" si="77"/>
        <v>502.37240443428146</v>
      </c>
      <c r="Q474">
        <f t="shared" si="78"/>
        <v>81.334195565718517</v>
      </c>
      <c r="R474">
        <f t="shared" si="79"/>
        <v>0</v>
      </c>
      <c r="S474">
        <f t="shared" si="80"/>
        <v>583.70659999999998</v>
      </c>
    </row>
    <row r="475" spans="1:19" x14ac:dyDescent="0.3">
      <c r="A475" t="s">
        <v>13</v>
      </c>
      <c r="B475" t="s">
        <v>33</v>
      </c>
      <c r="C475" t="s">
        <v>15</v>
      </c>
      <c r="D475">
        <v>0</v>
      </c>
      <c r="E475">
        <v>14</v>
      </c>
      <c r="F475">
        <v>18</v>
      </c>
      <c r="G475">
        <v>20260417</v>
      </c>
      <c r="H475">
        <v>20260518</v>
      </c>
      <c r="I475">
        <v>1105135.429</v>
      </c>
      <c r="J475">
        <f t="shared" si="71"/>
        <v>32</v>
      </c>
      <c r="K475">
        <f t="shared" si="72"/>
        <v>34535.48215625</v>
      </c>
      <c r="L475">
        <f t="shared" si="73"/>
        <v>0</v>
      </c>
      <c r="M475">
        <f t="shared" si="74"/>
        <v>483496.75018750003</v>
      </c>
      <c r="N475">
        <f t="shared" si="75"/>
        <v>467158.62265252852</v>
      </c>
      <c r="O475">
        <f t="shared" si="76"/>
        <v>950655.37284002849</v>
      </c>
      <c r="P475">
        <f t="shared" si="77"/>
        <v>0</v>
      </c>
      <c r="Q475">
        <f t="shared" si="78"/>
        <v>562064.23873910296</v>
      </c>
      <c r="R475">
        <f t="shared" si="79"/>
        <v>543071.19026089716</v>
      </c>
      <c r="S475">
        <f t="shared" si="80"/>
        <v>1105135.429</v>
      </c>
    </row>
    <row r="476" spans="1:19" x14ac:dyDescent="0.3">
      <c r="A476" t="s">
        <v>13</v>
      </c>
      <c r="B476" t="s">
        <v>33</v>
      </c>
      <c r="C476" t="s">
        <v>15</v>
      </c>
      <c r="D476">
        <v>29</v>
      </c>
      <c r="E476">
        <v>5</v>
      </c>
      <c r="F476">
        <v>0</v>
      </c>
      <c r="G476">
        <v>20260303</v>
      </c>
      <c r="H476">
        <v>20260405</v>
      </c>
      <c r="I476">
        <v>26897.4228</v>
      </c>
      <c r="J476">
        <f t="shared" si="71"/>
        <v>34</v>
      </c>
      <c r="K476">
        <f t="shared" si="72"/>
        <v>791.10067058823529</v>
      </c>
      <c r="L476">
        <f t="shared" si="73"/>
        <v>36966.281353527571</v>
      </c>
      <c r="M476">
        <f t="shared" si="74"/>
        <v>3955.5033529411767</v>
      </c>
      <c r="N476">
        <f t="shared" si="75"/>
        <v>0</v>
      </c>
      <c r="O476">
        <f t="shared" si="76"/>
        <v>40921.784706468745</v>
      </c>
      <c r="P476">
        <f t="shared" si="77"/>
        <v>24297.515517509015</v>
      </c>
      <c r="Q476">
        <f t="shared" si="78"/>
        <v>2599.9072824909886</v>
      </c>
      <c r="R476">
        <f t="shared" si="79"/>
        <v>0</v>
      </c>
      <c r="S476">
        <f t="shared" si="80"/>
        <v>26897.422800000004</v>
      </c>
    </row>
    <row r="477" spans="1:19" x14ac:dyDescent="0.3">
      <c r="A477" t="s">
        <v>13</v>
      </c>
      <c r="B477" t="s">
        <v>33</v>
      </c>
      <c r="C477" t="s">
        <v>15</v>
      </c>
      <c r="D477">
        <v>25</v>
      </c>
      <c r="E477">
        <v>4</v>
      </c>
      <c r="F477">
        <v>0</v>
      </c>
      <c r="G477">
        <v>20260307</v>
      </c>
      <c r="H477">
        <v>20260404</v>
      </c>
      <c r="I477">
        <v>26333.459599999998</v>
      </c>
      <c r="J477">
        <f t="shared" si="71"/>
        <v>29</v>
      </c>
      <c r="K477">
        <f t="shared" si="72"/>
        <v>908.05033103448272</v>
      </c>
      <c r="L477">
        <f t="shared" si="73"/>
        <v>36578.504359285296</v>
      </c>
      <c r="M477">
        <f t="shared" si="74"/>
        <v>3632.2013241379309</v>
      </c>
      <c r="N477">
        <f t="shared" si="75"/>
        <v>0</v>
      </c>
      <c r="O477">
        <f t="shared" si="76"/>
        <v>40210.705683423228</v>
      </c>
      <c r="P477">
        <f t="shared" si="77"/>
        <v>23954.778967501585</v>
      </c>
      <c r="Q477">
        <f t="shared" si="78"/>
        <v>2378.6806324984132</v>
      </c>
      <c r="R477">
        <f t="shared" si="79"/>
        <v>0</v>
      </c>
      <c r="S477">
        <f t="shared" si="80"/>
        <v>26333.459599999998</v>
      </c>
    </row>
    <row r="478" spans="1:19" x14ac:dyDescent="0.3">
      <c r="A478" t="s">
        <v>13</v>
      </c>
      <c r="B478" t="s">
        <v>33</v>
      </c>
      <c r="C478" t="s">
        <v>15</v>
      </c>
      <c r="D478">
        <v>0</v>
      </c>
      <c r="E478">
        <v>28</v>
      </c>
      <c r="F478">
        <v>3</v>
      </c>
      <c r="G478">
        <v>20260403</v>
      </c>
      <c r="H478">
        <v>20260503</v>
      </c>
      <c r="I478">
        <v>1998689.0064000001</v>
      </c>
      <c r="J478">
        <f t="shared" si="71"/>
        <v>31</v>
      </c>
      <c r="K478">
        <f t="shared" si="72"/>
        <v>64473.838916129032</v>
      </c>
      <c r="L478">
        <f t="shared" si="73"/>
        <v>0</v>
      </c>
      <c r="M478">
        <f t="shared" si="74"/>
        <v>1805267.4896516129</v>
      </c>
      <c r="N478">
        <f t="shared" si="75"/>
        <v>145355.38478421103</v>
      </c>
      <c r="O478">
        <f t="shared" si="76"/>
        <v>1950622.8744358239</v>
      </c>
      <c r="P478">
        <f t="shared" si="77"/>
        <v>0</v>
      </c>
      <c r="Q478">
        <f t="shared" si="78"/>
        <v>1849751.8574530152</v>
      </c>
      <c r="R478">
        <f t="shared" si="79"/>
        <v>148937.14894698505</v>
      </c>
      <c r="S478">
        <f t="shared" si="80"/>
        <v>1998689.0064000003</v>
      </c>
    </row>
    <row r="479" spans="1:19" x14ac:dyDescent="0.3">
      <c r="A479" t="s">
        <v>13</v>
      </c>
      <c r="B479" t="s">
        <v>24</v>
      </c>
      <c r="C479" t="s">
        <v>14</v>
      </c>
      <c r="D479">
        <v>28</v>
      </c>
      <c r="E479">
        <v>7</v>
      </c>
      <c r="F479">
        <v>0</v>
      </c>
      <c r="G479">
        <v>20260304</v>
      </c>
      <c r="H479">
        <v>20260407</v>
      </c>
      <c r="I479">
        <v>132329.56570000001</v>
      </c>
      <c r="J479">
        <f t="shared" si="71"/>
        <v>35</v>
      </c>
      <c r="K479">
        <f t="shared" si="72"/>
        <v>3780.8447342857144</v>
      </c>
      <c r="L479">
        <f t="shared" si="73"/>
        <v>170577.94901057196</v>
      </c>
      <c r="M479">
        <f t="shared" si="74"/>
        <v>26465.913140000001</v>
      </c>
      <c r="N479">
        <f t="shared" si="75"/>
        <v>0</v>
      </c>
      <c r="O479">
        <f t="shared" si="76"/>
        <v>197043.86215057195</v>
      </c>
      <c r="P479">
        <f t="shared" si="77"/>
        <v>114555.74238245926</v>
      </c>
      <c r="Q479">
        <f t="shared" si="78"/>
        <v>17773.823317540762</v>
      </c>
      <c r="R479">
        <f t="shared" si="79"/>
        <v>0</v>
      </c>
      <c r="S479">
        <f t="shared" si="80"/>
        <v>132329.56570000001</v>
      </c>
    </row>
    <row r="480" spans="1:19" x14ac:dyDescent="0.3">
      <c r="A480" t="s">
        <v>13</v>
      </c>
      <c r="B480" t="s">
        <v>33</v>
      </c>
      <c r="C480" t="s">
        <v>15</v>
      </c>
      <c r="D480">
        <v>0</v>
      </c>
      <c r="E480">
        <v>25</v>
      </c>
      <c r="F480">
        <v>8</v>
      </c>
      <c r="G480">
        <v>20260406</v>
      </c>
      <c r="H480">
        <v>20260508</v>
      </c>
      <c r="I480">
        <v>67513.823999999993</v>
      </c>
      <c r="J480">
        <f t="shared" si="71"/>
        <v>33</v>
      </c>
      <c r="K480">
        <f t="shared" si="72"/>
        <v>2045.8734545454543</v>
      </c>
      <c r="L480">
        <f t="shared" si="73"/>
        <v>0</v>
      </c>
      <c r="M480">
        <f t="shared" si="74"/>
        <v>51146.836363636357</v>
      </c>
      <c r="N480">
        <f t="shared" si="75"/>
        <v>12299.716317170791</v>
      </c>
      <c r="O480">
        <f t="shared" si="76"/>
        <v>63446.552680807144</v>
      </c>
      <c r="P480">
        <f t="shared" si="77"/>
        <v>0</v>
      </c>
      <c r="Q480">
        <f t="shared" si="78"/>
        <v>54425.628540980259</v>
      </c>
      <c r="R480">
        <f t="shared" si="79"/>
        <v>13088.195459019742</v>
      </c>
      <c r="S480">
        <f t="shared" si="80"/>
        <v>67513.823999999993</v>
      </c>
    </row>
    <row r="481" spans="1:19" x14ac:dyDescent="0.3">
      <c r="A481" t="s">
        <v>13</v>
      </c>
      <c r="B481" t="s">
        <v>33</v>
      </c>
      <c r="C481" t="s">
        <v>15</v>
      </c>
      <c r="D481">
        <v>25</v>
      </c>
      <c r="E481">
        <v>5</v>
      </c>
      <c r="F481">
        <v>0</v>
      </c>
      <c r="G481">
        <v>20260307</v>
      </c>
      <c r="H481">
        <v>20260405</v>
      </c>
      <c r="I481">
        <v>33130.499499999998</v>
      </c>
      <c r="J481">
        <f t="shared" si="71"/>
        <v>30</v>
      </c>
      <c r="K481">
        <f t="shared" si="72"/>
        <v>1104.3499833333333</v>
      </c>
      <c r="L481">
        <f t="shared" si="73"/>
        <v>44485.937947420869</v>
      </c>
      <c r="M481">
        <f t="shared" si="74"/>
        <v>5521.7499166666666</v>
      </c>
      <c r="N481">
        <f t="shared" si="75"/>
        <v>0</v>
      </c>
      <c r="O481">
        <f t="shared" si="76"/>
        <v>50007.687864087537</v>
      </c>
      <c r="P481">
        <f t="shared" si="77"/>
        <v>29472.29531846604</v>
      </c>
      <c r="Q481">
        <f t="shared" si="78"/>
        <v>3658.2041815339589</v>
      </c>
      <c r="R481">
        <f t="shared" si="79"/>
        <v>0</v>
      </c>
      <c r="S481">
        <f t="shared" si="80"/>
        <v>33130.499499999998</v>
      </c>
    </row>
    <row r="482" spans="1:19" x14ac:dyDescent="0.3">
      <c r="A482" t="s">
        <v>13</v>
      </c>
      <c r="B482" t="s">
        <v>33</v>
      </c>
      <c r="C482" t="s">
        <v>14</v>
      </c>
      <c r="D482">
        <v>0</v>
      </c>
      <c r="E482">
        <v>27</v>
      </c>
      <c r="F482">
        <v>3</v>
      </c>
      <c r="G482">
        <v>20260404</v>
      </c>
      <c r="H482">
        <v>20260503</v>
      </c>
      <c r="I482">
        <v>80012.334700000007</v>
      </c>
      <c r="J482">
        <f t="shared" si="71"/>
        <v>30</v>
      </c>
      <c r="K482">
        <f t="shared" si="72"/>
        <v>2667.0778233333335</v>
      </c>
      <c r="L482">
        <f t="shared" si="73"/>
        <v>0</v>
      </c>
      <c r="M482">
        <f t="shared" si="74"/>
        <v>72011.10123</v>
      </c>
      <c r="N482">
        <f t="shared" si="75"/>
        <v>6012.8903409080331</v>
      </c>
      <c r="O482">
        <f t="shared" si="76"/>
        <v>78023.991570908038</v>
      </c>
      <c r="P482">
        <f t="shared" si="77"/>
        <v>0</v>
      </c>
      <c r="Q482">
        <f t="shared" si="78"/>
        <v>73846.213423906316</v>
      </c>
      <c r="R482">
        <f t="shared" si="79"/>
        <v>6166.1212760936887</v>
      </c>
      <c r="S482">
        <f t="shared" si="80"/>
        <v>80012.334700000007</v>
      </c>
    </row>
    <row r="483" spans="1:19" x14ac:dyDescent="0.3">
      <c r="A483" t="s">
        <v>13</v>
      </c>
      <c r="B483" t="s">
        <v>33</v>
      </c>
      <c r="C483" t="s">
        <v>14</v>
      </c>
      <c r="D483">
        <v>0</v>
      </c>
      <c r="E483">
        <v>28</v>
      </c>
      <c r="F483">
        <v>8</v>
      </c>
      <c r="G483">
        <v>20260403</v>
      </c>
      <c r="H483">
        <v>20260508</v>
      </c>
      <c r="I483">
        <v>207606.87299999999</v>
      </c>
      <c r="J483">
        <f t="shared" si="71"/>
        <v>36</v>
      </c>
      <c r="K483">
        <f t="shared" si="72"/>
        <v>5766.8575833333334</v>
      </c>
      <c r="L483">
        <f t="shared" si="73"/>
        <v>0</v>
      </c>
      <c r="M483">
        <f t="shared" si="74"/>
        <v>161472.01233333335</v>
      </c>
      <c r="N483">
        <f t="shared" si="75"/>
        <v>34670.136688529587</v>
      </c>
      <c r="O483">
        <f t="shared" si="76"/>
        <v>196142.14902186295</v>
      </c>
      <c r="P483">
        <f t="shared" si="77"/>
        <v>0</v>
      </c>
      <c r="Q483">
        <f t="shared" si="78"/>
        <v>170910.22875355653</v>
      </c>
      <c r="R483">
        <f t="shared" si="79"/>
        <v>36696.644246443459</v>
      </c>
      <c r="S483">
        <f t="shared" si="80"/>
        <v>207606.87299999999</v>
      </c>
    </row>
    <row r="484" spans="1:19" x14ac:dyDescent="0.3">
      <c r="A484" t="s">
        <v>13</v>
      </c>
      <c r="B484" t="s">
        <v>24</v>
      </c>
      <c r="C484" t="s">
        <v>15</v>
      </c>
      <c r="D484">
        <v>13</v>
      </c>
      <c r="E484">
        <v>16</v>
      </c>
      <c r="F484">
        <v>0</v>
      </c>
      <c r="G484">
        <v>20260319</v>
      </c>
      <c r="H484">
        <v>20260416</v>
      </c>
      <c r="I484">
        <v>23221.574799999999</v>
      </c>
      <c r="J484">
        <f t="shared" si="71"/>
        <v>29</v>
      </c>
      <c r="K484">
        <f t="shared" si="72"/>
        <v>800.74395862068957</v>
      </c>
      <c r="L484">
        <f t="shared" si="73"/>
        <v>16773.08844853261</v>
      </c>
      <c r="M484">
        <f t="shared" si="74"/>
        <v>12811.903337931033</v>
      </c>
      <c r="N484">
        <f t="shared" si="75"/>
        <v>0</v>
      </c>
      <c r="O484">
        <f t="shared" si="76"/>
        <v>29584.991786463645</v>
      </c>
      <c r="P484">
        <f t="shared" si="77"/>
        <v>13165.375567649377</v>
      </c>
      <c r="Q484">
        <f t="shared" si="78"/>
        <v>10056.199232350622</v>
      </c>
      <c r="R484">
        <f t="shared" si="79"/>
        <v>0</v>
      </c>
      <c r="S484">
        <f t="shared" si="80"/>
        <v>23221.574799999999</v>
      </c>
    </row>
    <row r="485" spans="1:19" x14ac:dyDescent="0.3">
      <c r="A485" t="s">
        <v>13</v>
      </c>
      <c r="B485" t="s">
        <v>33</v>
      </c>
      <c r="C485" t="s">
        <v>15</v>
      </c>
      <c r="D485">
        <v>0</v>
      </c>
      <c r="E485">
        <v>13</v>
      </c>
      <c r="F485">
        <v>19</v>
      </c>
      <c r="G485">
        <v>20260418</v>
      </c>
      <c r="H485">
        <v>20260519</v>
      </c>
      <c r="I485">
        <v>264861.66800000001</v>
      </c>
      <c r="J485">
        <f t="shared" si="71"/>
        <v>32</v>
      </c>
      <c r="K485">
        <f t="shared" si="72"/>
        <v>8276.9271250000002</v>
      </c>
      <c r="L485">
        <f t="shared" si="73"/>
        <v>0</v>
      </c>
      <c r="M485">
        <f t="shared" si="74"/>
        <v>107600.052625</v>
      </c>
      <c r="N485">
        <f t="shared" si="75"/>
        <v>118181.38436147039</v>
      </c>
      <c r="O485">
        <f t="shared" si="76"/>
        <v>225781.43698647039</v>
      </c>
      <c r="P485">
        <f t="shared" si="77"/>
        <v>0</v>
      </c>
      <c r="Q485">
        <f t="shared" si="78"/>
        <v>126224.41328891464</v>
      </c>
      <c r="R485">
        <f t="shared" si="79"/>
        <v>138637.25471108538</v>
      </c>
      <c r="S485">
        <f t="shared" si="80"/>
        <v>264861.66800000001</v>
      </c>
    </row>
    <row r="486" spans="1:19" x14ac:dyDescent="0.3">
      <c r="A486" t="s">
        <v>13</v>
      </c>
      <c r="B486" t="s">
        <v>24</v>
      </c>
      <c r="C486" t="s">
        <v>14</v>
      </c>
      <c r="D486">
        <v>24</v>
      </c>
      <c r="E486">
        <v>7</v>
      </c>
      <c r="F486">
        <v>0</v>
      </c>
      <c r="G486">
        <v>20260308</v>
      </c>
      <c r="H486">
        <v>20260407</v>
      </c>
      <c r="I486">
        <v>7434.5190000000002</v>
      </c>
      <c r="J486">
        <f t="shared" si="71"/>
        <v>31</v>
      </c>
      <c r="K486">
        <f t="shared" si="72"/>
        <v>239.82319354838711</v>
      </c>
      <c r="L486">
        <f t="shared" si="73"/>
        <v>9274.2422899033154</v>
      </c>
      <c r="M486">
        <f t="shared" si="74"/>
        <v>1678.7623548387098</v>
      </c>
      <c r="N486">
        <f t="shared" si="75"/>
        <v>0</v>
      </c>
      <c r="O486">
        <f t="shared" si="76"/>
        <v>10953.004644742025</v>
      </c>
      <c r="P486">
        <f t="shared" si="77"/>
        <v>6295.0334407087867</v>
      </c>
      <c r="Q486">
        <f t="shared" si="78"/>
        <v>1139.485559291214</v>
      </c>
      <c r="R486">
        <f t="shared" si="79"/>
        <v>0</v>
      </c>
      <c r="S486">
        <f t="shared" si="80"/>
        <v>7434.5190000000002</v>
      </c>
    </row>
    <row r="487" spans="1:19" x14ac:dyDescent="0.3">
      <c r="A487" t="s">
        <v>13</v>
      </c>
      <c r="B487" t="s">
        <v>24</v>
      </c>
      <c r="C487" t="s">
        <v>14</v>
      </c>
      <c r="D487">
        <v>23</v>
      </c>
      <c r="E487">
        <v>1</v>
      </c>
      <c r="F487">
        <v>0</v>
      </c>
      <c r="G487">
        <v>20260309</v>
      </c>
      <c r="H487">
        <v>20260401</v>
      </c>
      <c r="I487">
        <v>1857.01</v>
      </c>
      <c r="J487">
        <f t="shared" si="71"/>
        <v>24</v>
      </c>
      <c r="K487">
        <f t="shared" si="72"/>
        <v>77.375416666666666</v>
      </c>
      <c r="L487">
        <f t="shared" si="73"/>
        <v>2867.5226092471389</v>
      </c>
      <c r="M487">
        <f t="shared" si="74"/>
        <v>77.375416666666666</v>
      </c>
      <c r="N487">
        <f t="shared" si="75"/>
        <v>0</v>
      </c>
      <c r="O487">
        <f t="shared" si="76"/>
        <v>2944.8980259138057</v>
      </c>
      <c r="P487">
        <f t="shared" si="77"/>
        <v>1808.2181840390447</v>
      </c>
      <c r="Q487">
        <f t="shared" si="78"/>
        <v>48.791815960955198</v>
      </c>
      <c r="R487">
        <f t="shared" si="79"/>
        <v>0</v>
      </c>
      <c r="S487">
        <f t="shared" si="80"/>
        <v>1857.0099999999998</v>
      </c>
    </row>
    <row r="488" spans="1:19" x14ac:dyDescent="0.3">
      <c r="A488" t="s">
        <v>13</v>
      </c>
      <c r="B488" t="s">
        <v>33</v>
      </c>
      <c r="C488" t="s">
        <v>14</v>
      </c>
      <c r="D488">
        <v>0</v>
      </c>
      <c r="E488">
        <v>22</v>
      </c>
      <c r="F488">
        <v>3</v>
      </c>
      <c r="G488">
        <v>20260409</v>
      </c>
      <c r="H488">
        <v>20260503</v>
      </c>
      <c r="I488">
        <v>1393.027</v>
      </c>
      <c r="J488">
        <f t="shared" si="71"/>
        <v>25</v>
      </c>
      <c r="K488">
        <f t="shared" si="72"/>
        <v>55.721080000000001</v>
      </c>
      <c r="L488">
        <f t="shared" si="73"/>
        <v>0</v>
      </c>
      <c r="M488">
        <f t="shared" si="74"/>
        <v>1225.86376</v>
      </c>
      <c r="N488">
        <f t="shared" si="75"/>
        <v>125.62240995960978</v>
      </c>
      <c r="O488">
        <f t="shared" si="76"/>
        <v>1351.4861699596097</v>
      </c>
      <c r="P488">
        <f t="shared" si="77"/>
        <v>0</v>
      </c>
      <c r="Q488">
        <f t="shared" si="78"/>
        <v>1263.5433154691882</v>
      </c>
      <c r="R488">
        <f t="shared" si="79"/>
        <v>129.4836845308119</v>
      </c>
      <c r="S488">
        <f t="shared" si="80"/>
        <v>1393.027</v>
      </c>
    </row>
    <row r="489" spans="1:19" x14ac:dyDescent="0.3">
      <c r="A489" t="s">
        <v>13</v>
      </c>
      <c r="B489" t="s">
        <v>33</v>
      </c>
      <c r="C489" t="s">
        <v>14</v>
      </c>
      <c r="D489">
        <v>14</v>
      </c>
      <c r="E489">
        <v>17</v>
      </c>
      <c r="F489">
        <v>0</v>
      </c>
      <c r="G489">
        <v>20260318</v>
      </c>
      <c r="H489">
        <v>20260417</v>
      </c>
      <c r="I489">
        <v>68165.440100000007</v>
      </c>
      <c r="J489">
        <f t="shared" si="71"/>
        <v>31</v>
      </c>
      <c r="K489">
        <f t="shared" si="72"/>
        <v>2198.8851645161294</v>
      </c>
      <c r="L489">
        <f t="shared" si="73"/>
        <v>49602.846431592043</v>
      </c>
      <c r="M489">
        <f t="shared" si="74"/>
        <v>37381.047796774197</v>
      </c>
      <c r="N489">
        <f t="shared" si="75"/>
        <v>0</v>
      </c>
      <c r="O489">
        <f t="shared" si="76"/>
        <v>86983.894228366233</v>
      </c>
      <c r="P489">
        <f t="shared" si="77"/>
        <v>38871.562226740898</v>
      </c>
      <c r="Q489">
        <f t="shared" si="78"/>
        <v>29293.877873259116</v>
      </c>
      <c r="R489">
        <f t="shared" si="79"/>
        <v>0</v>
      </c>
      <c r="S489">
        <f t="shared" si="80"/>
        <v>68165.440100000007</v>
      </c>
    </row>
    <row r="490" spans="1:19" x14ac:dyDescent="0.3">
      <c r="A490" t="s">
        <v>13</v>
      </c>
      <c r="B490" t="s">
        <v>24</v>
      </c>
      <c r="C490" t="s">
        <v>15</v>
      </c>
      <c r="D490">
        <v>22</v>
      </c>
      <c r="E490">
        <v>8</v>
      </c>
      <c r="F490">
        <v>0</v>
      </c>
      <c r="G490">
        <v>20260310</v>
      </c>
      <c r="H490">
        <v>20260408</v>
      </c>
      <c r="I490">
        <v>29451.9764</v>
      </c>
      <c r="J490">
        <f t="shared" si="71"/>
        <v>30</v>
      </c>
      <c r="K490">
        <f t="shared" si="72"/>
        <v>981.73254666666662</v>
      </c>
      <c r="L490">
        <f t="shared" si="73"/>
        <v>34801.012861643925</v>
      </c>
      <c r="M490">
        <f t="shared" si="74"/>
        <v>7853.860373333333</v>
      </c>
      <c r="N490">
        <f t="shared" si="75"/>
        <v>0</v>
      </c>
      <c r="O490">
        <f t="shared" si="76"/>
        <v>42654.873234977262</v>
      </c>
      <c r="P490">
        <f t="shared" si="77"/>
        <v>24029.109261465601</v>
      </c>
      <c r="Q490">
        <f t="shared" si="78"/>
        <v>5422.8671385343951</v>
      </c>
      <c r="R490">
        <f t="shared" si="79"/>
        <v>0</v>
      </c>
      <c r="S490">
        <f t="shared" si="80"/>
        <v>29451.976399999996</v>
      </c>
    </row>
    <row r="491" spans="1:19" x14ac:dyDescent="0.3">
      <c r="A491" t="s">
        <v>13</v>
      </c>
      <c r="B491" t="s">
        <v>24</v>
      </c>
      <c r="C491" t="s">
        <v>14</v>
      </c>
      <c r="D491">
        <v>13</v>
      </c>
      <c r="E491">
        <v>15</v>
      </c>
      <c r="F491">
        <v>0</v>
      </c>
      <c r="G491">
        <v>20260319</v>
      </c>
      <c r="H491">
        <v>20260415</v>
      </c>
      <c r="I491">
        <v>4285.6202999999996</v>
      </c>
      <c r="J491">
        <f t="shared" si="71"/>
        <v>28</v>
      </c>
      <c r="K491">
        <f t="shared" si="72"/>
        <v>153.05786785714284</v>
      </c>
      <c r="L491">
        <f t="shared" si="73"/>
        <v>3206.084950967173</v>
      </c>
      <c r="M491">
        <f t="shared" si="74"/>
        <v>2295.8680178571426</v>
      </c>
      <c r="N491">
        <f t="shared" si="75"/>
        <v>0</v>
      </c>
      <c r="O491">
        <f t="shared" si="76"/>
        <v>5501.9529688243156</v>
      </c>
      <c r="P491">
        <f t="shared" si="77"/>
        <v>2497.3064704923249</v>
      </c>
      <c r="Q491">
        <f t="shared" si="78"/>
        <v>1788.3138295076747</v>
      </c>
      <c r="R491">
        <f t="shared" si="79"/>
        <v>0</v>
      </c>
      <c r="S491">
        <f t="shared" si="80"/>
        <v>4285.6202999999996</v>
      </c>
    </row>
    <row r="492" spans="1:19" x14ac:dyDescent="0.3">
      <c r="A492" t="s">
        <v>13</v>
      </c>
      <c r="B492" t="s">
        <v>24</v>
      </c>
      <c r="C492" t="s">
        <v>14</v>
      </c>
      <c r="D492">
        <v>14</v>
      </c>
      <c r="E492">
        <v>20</v>
      </c>
      <c r="F492">
        <v>0</v>
      </c>
      <c r="G492">
        <v>20260318</v>
      </c>
      <c r="H492">
        <v>20260420</v>
      </c>
      <c r="I492">
        <v>28329.907299999999</v>
      </c>
      <c r="J492">
        <f t="shared" si="71"/>
        <v>34</v>
      </c>
      <c r="K492">
        <f t="shared" si="72"/>
        <v>833.23256764705877</v>
      </c>
      <c r="L492">
        <f t="shared" si="73"/>
        <v>18796.209898434201</v>
      </c>
      <c r="M492">
        <f t="shared" si="74"/>
        <v>16664.651352941175</v>
      </c>
      <c r="N492">
        <f t="shared" si="75"/>
        <v>0</v>
      </c>
      <c r="O492">
        <f t="shared" si="76"/>
        <v>35460.861251375376</v>
      </c>
      <c r="P492">
        <f t="shared" si="77"/>
        <v>15016.411480793635</v>
      </c>
      <c r="Q492">
        <f t="shared" si="78"/>
        <v>13313.495819206364</v>
      </c>
      <c r="R492">
        <f t="shared" si="79"/>
        <v>0</v>
      </c>
      <c r="S492">
        <f t="shared" si="80"/>
        <v>28329.907299999999</v>
      </c>
    </row>
    <row r="493" spans="1:19" x14ac:dyDescent="0.3">
      <c r="A493" t="s">
        <v>13</v>
      </c>
      <c r="B493" t="s">
        <v>33</v>
      </c>
      <c r="C493" t="s">
        <v>15</v>
      </c>
      <c r="D493">
        <v>24</v>
      </c>
      <c r="E493">
        <v>1</v>
      </c>
      <c r="F493">
        <v>0</v>
      </c>
      <c r="G493">
        <v>20260308</v>
      </c>
      <c r="H493">
        <v>20260401</v>
      </c>
      <c r="I493">
        <v>10488.950199999999</v>
      </c>
      <c r="J493">
        <f t="shared" si="71"/>
        <v>25</v>
      </c>
      <c r="K493">
        <f t="shared" si="72"/>
        <v>419.55800799999997</v>
      </c>
      <c r="L493">
        <f t="shared" si="73"/>
        <v>16224.796956830291</v>
      </c>
      <c r="M493">
        <f t="shared" si="74"/>
        <v>419.55800799999997</v>
      </c>
      <c r="N493">
        <f t="shared" si="75"/>
        <v>0</v>
      </c>
      <c r="O493">
        <f t="shared" si="76"/>
        <v>16644.354964830291</v>
      </c>
      <c r="P493">
        <f t="shared" si="77"/>
        <v>10224.55286761782</v>
      </c>
      <c r="Q493">
        <f t="shared" si="78"/>
        <v>264.39733238217872</v>
      </c>
      <c r="R493">
        <f t="shared" si="79"/>
        <v>0</v>
      </c>
      <c r="S493">
        <f t="shared" si="80"/>
        <v>10488.950199999999</v>
      </c>
    </row>
    <row r="494" spans="1:19" x14ac:dyDescent="0.3">
      <c r="A494" t="s">
        <v>13</v>
      </c>
      <c r="B494" t="s">
        <v>24</v>
      </c>
      <c r="C494" t="s">
        <v>14</v>
      </c>
      <c r="D494">
        <v>24</v>
      </c>
      <c r="E494">
        <v>8</v>
      </c>
      <c r="F494">
        <v>0</v>
      </c>
      <c r="G494">
        <v>20260308</v>
      </c>
      <c r="H494">
        <v>20260408</v>
      </c>
      <c r="I494">
        <v>11403.7356</v>
      </c>
      <c r="J494">
        <f t="shared" si="71"/>
        <v>32</v>
      </c>
      <c r="K494">
        <f t="shared" si="72"/>
        <v>356.3667375</v>
      </c>
      <c r="L494">
        <f t="shared" si="73"/>
        <v>13781.116908405045</v>
      </c>
      <c r="M494">
        <f t="shared" si="74"/>
        <v>2850.9339</v>
      </c>
      <c r="N494">
        <f t="shared" si="75"/>
        <v>0</v>
      </c>
      <c r="O494">
        <f t="shared" si="76"/>
        <v>16632.050808405045</v>
      </c>
      <c r="P494">
        <f t="shared" si="77"/>
        <v>9448.9979201314909</v>
      </c>
      <c r="Q494">
        <f t="shared" si="78"/>
        <v>1954.7376798685091</v>
      </c>
      <c r="R494">
        <f t="shared" si="79"/>
        <v>0</v>
      </c>
      <c r="S494">
        <f t="shared" si="80"/>
        <v>11403.7356</v>
      </c>
    </row>
    <row r="495" spans="1:19" x14ac:dyDescent="0.3">
      <c r="A495" t="s">
        <v>13</v>
      </c>
      <c r="B495" t="s">
        <v>33</v>
      </c>
      <c r="C495" t="s">
        <v>14</v>
      </c>
      <c r="D495">
        <v>0</v>
      </c>
      <c r="E495">
        <v>22</v>
      </c>
      <c r="F495">
        <v>7</v>
      </c>
      <c r="G495">
        <v>20260409</v>
      </c>
      <c r="H495">
        <v>20260507</v>
      </c>
      <c r="I495">
        <v>1561.8056999999999</v>
      </c>
      <c r="J495">
        <f t="shared" si="71"/>
        <v>29</v>
      </c>
      <c r="K495">
        <f t="shared" si="72"/>
        <v>53.855368965517236</v>
      </c>
      <c r="L495">
        <f t="shared" si="73"/>
        <v>0</v>
      </c>
      <c r="M495">
        <f t="shared" si="74"/>
        <v>1184.8181172413792</v>
      </c>
      <c r="N495">
        <f t="shared" si="75"/>
        <v>283.30444343496669</v>
      </c>
      <c r="O495">
        <f t="shared" si="76"/>
        <v>1468.122560676346</v>
      </c>
      <c r="P495">
        <f t="shared" si="77"/>
        <v>0</v>
      </c>
      <c r="Q495">
        <f t="shared" si="78"/>
        <v>1260.4231680210487</v>
      </c>
      <c r="R495">
        <f t="shared" si="79"/>
        <v>301.38253197895119</v>
      </c>
      <c r="S495">
        <f t="shared" si="80"/>
        <v>1561.8056999999999</v>
      </c>
    </row>
    <row r="496" spans="1:19" x14ac:dyDescent="0.3">
      <c r="A496" t="s">
        <v>13</v>
      </c>
      <c r="B496" t="s">
        <v>33</v>
      </c>
      <c r="C496" t="s">
        <v>14</v>
      </c>
      <c r="D496">
        <v>15</v>
      </c>
      <c r="E496">
        <v>13</v>
      </c>
      <c r="F496">
        <v>0</v>
      </c>
      <c r="G496">
        <v>20260317</v>
      </c>
      <c r="H496">
        <v>20260413</v>
      </c>
      <c r="I496">
        <v>78.239500000000007</v>
      </c>
      <c r="J496">
        <f t="shared" si="71"/>
        <v>28</v>
      </c>
      <c r="K496">
        <f t="shared" si="72"/>
        <v>2.7942678571428572</v>
      </c>
      <c r="L496">
        <f t="shared" si="73"/>
        <v>67.535995858557371</v>
      </c>
      <c r="M496">
        <f t="shared" si="74"/>
        <v>36.32548214285714</v>
      </c>
      <c r="N496">
        <f t="shared" si="75"/>
        <v>0</v>
      </c>
      <c r="O496">
        <f t="shared" si="76"/>
        <v>103.86147800141451</v>
      </c>
      <c r="P496">
        <f t="shared" si="77"/>
        <v>50.875287446839877</v>
      </c>
      <c r="Q496">
        <f t="shared" si="78"/>
        <v>27.364212553160126</v>
      </c>
      <c r="R496">
        <f t="shared" si="79"/>
        <v>0</v>
      </c>
      <c r="S496">
        <f t="shared" si="80"/>
        <v>78.239500000000007</v>
      </c>
    </row>
    <row r="497" spans="1:19" x14ac:dyDescent="0.3">
      <c r="A497" t="s">
        <v>13</v>
      </c>
      <c r="B497" t="s">
        <v>24</v>
      </c>
      <c r="C497" t="s">
        <v>14</v>
      </c>
      <c r="D497">
        <v>15</v>
      </c>
      <c r="E497">
        <v>13</v>
      </c>
      <c r="F497">
        <v>0</v>
      </c>
      <c r="G497">
        <v>20260317</v>
      </c>
      <c r="H497">
        <v>20260413</v>
      </c>
      <c r="I497">
        <v>90.276300000000006</v>
      </c>
      <c r="J497">
        <f t="shared" si="71"/>
        <v>28</v>
      </c>
      <c r="K497">
        <f t="shared" si="72"/>
        <v>3.2241535714285718</v>
      </c>
      <c r="L497">
        <f t="shared" si="73"/>
        <v>77.9261092277671</v>
      </c>
      <c r="M497">
        <f t="shared" si="74"/>
        <v>41.913996428571437</v>
      </c>
      <c r="N497">
        <f t="shared" si="75"/>
        <v>0</v>
      </c>
      <c r="O497">
        <f t="shared" si="76"/>
        <v>119.84010565633854</v>
      </c>
      <c r="P497">
        <f t="shared" si="77"/>
        <v>58.702224734784231</v>
      </c>
      <c r="Q497">
        <f t="shared" si="78"/>
        <v>31.574075265215779</v>
      </c>
      <c r="R497">
        <f t="shared" si="79"/>
        <v>0</v>
      </c>
      <c r="S497">
        <f t="shared" si="80"/>
        <v>90.276300000000006</v>
      </c>
    </row>
    <row r="498" spans="1:19" x14ac:dyDescent="0.3">
      <c r="A498" t="s">
        <v>13</v>
      </c>
      <c r="B498" t="s">
        <v>33</v>
      </c>
      <c r="C498" t="s">
        <v>14</v>
      </c>
      <c r="D498">
        <v>23</v>
      </c>
      <c r="E498">
        <v>2</v>
      </c>
      <c r="F498">
        <v>0</v>
      </c>
      <c r="G498">
        <v>20260309</v>
      </c>
      <c r="H498">
        <v>20260402</v>
      </c>
      <c r="I498">
        <v>74.138199999999998</v>
      </c>
      <c r="J498">
        <f t="shared" si="71"/>
        <v>25</v>
      </c>
      <c r="K498">
        <f t="shared" si="72"/>
        <v>2.9655279999999999</v>
      </c>
      <c r="L498">
        <f t="shared" si="73"/>
        <v>109.90207167464408</v>
      </c>
      <c r="M498">
        <f t="shared" si="74"/>
        <v>5.9310559999999999</v>
      </c>
      <c r="N498">
        <f t="shared" si="75"/>
        <v>0</v>
      </c>
      <c r="O498">
        <f t="shared" si="76"/>
        <v>115.83312767464408</v>
      </c>
      <c r="P498">
        <f t="shared" si="77"/>
        <v>70.342068230388335</v>
      </c>
      <c r="Q498">
        <f t="shared" si="78"/>
        <v>3.7961317696116601</v>
      </c>
      <c r="R498">
        <f t="shared" si="79"/>
        <v>0</v>
      </c>
      <c r="S498">
        <f t="shared" si="80"/>
        <v>74.138199999999998</v>
      </c>
    </row>
    <row r="499" spans="1:19" x14ac:dyDescent="0.3">
      <c r="A499" t="s">
        <v>13</v>
      </c>
      <c r="B499" t="s">
        <v>33</v>
      </c>
      <c r="C499" t="s">
        <v>15</v>
      </c>
      <c r="D499">
        <v>0</v>
      </c>
      <c r="E499">
        <v>30</v>
      </c>
      <c r="F499">
        <v>0</v>
      </c>
      <c r="G499">
        <v>20260401</v>
      </c>
      <c r="H499">
        <v>20260430</v>
      </c>
      <c r="I499">
        <v>10104.241099999999</v>
      </c>
      <c r="J499">
        <f t="shared" si="71"/>
        <v>30</v>
      </c>
      <c r="K499">
        <f t="shared" si="72"/>
        <v>336.80803666666662</v>
      </c>
      <c r="L499">
        <f t="shared" si="73"/>
        <v>0</v>
      </c>
      <c r="M499">
        <f t="shared" si="74"/>
        <v>10104.241099999999</v>
      </c>
      <c r="N499">
        <f t="shared" si="75"/>
        <v>0</v>
      </c>
      <c r="O499">
        <f t="shared" si="76"/>
        <v>10104.241099999999</v>
      </c>
      <c r="P499">
        <f t="shared" si="77"/>
        <v>0</v>
      </c>
      <c r="Q499">
        <f t="shared" si="78"/>
        <v>10104.241099999999</v>
      </c>
      <c r="R499">
        <f t="shared" si="79"/>
        <v>0</v>
      </c>
      <c r="S499">
        <f t="shared" si="80"/>
        <v>10104.241099999999</v>
      </c>
    </row>
    <row r="500" spans="1:19" x14ac:dyDescent="0.3">
      <c r="A500" t="s">
        <v>13</v>
      </c>
      <c r="B500" t="s">
        <v>33</v>
      </c>
      <c r="C500" t="s">
        <v>14</v>
      </c>
      <c r="D500">
        <v>24</v>
      </c>
      <c r="E500">
        <v>3</v>
      </c>
      <c r="F500">
        <v>0</v>
      </c>
      <c r="G500">
        <v>20260308</v>
      </c>
      <c r="H500">
        <v>20260403</v>
      </c>
      <c r="I500">
        <v>98.305499999999995</v>
      </c>
      <c r="J500">
        <f t="shared" si="71"/>
        <v>27</v>
      </c>
      <c r="K500">
        <f t="shared" si="72"/>
        <v>3.6409444444444441</v>
      </c>
      <c r="L500">
        <f t="shared" si="73"/>
        <v>140.79956338769341</v>
      </c>
      <c r="M500">
        <f t="shared" si="74"/>
        <v>10.922833333333333</v>
      </c>
      <c r="N500">
        <f t="shared" si="75"/>
        <v>0</v>
      </c>
      <c r="O500">
        <f t="shared" si="76"/>
        <v>151.72239672102674</v>
      </c>
      <c r="P500">
        <f t="shared" si="77"/>
        <v>91.228268058928307</v>
      </c>
      <c r="Q500">
        <f t="shared" si="78"/>
        <v>7.0772319410716822</v>
      </c>
      <c r="R500">
        <f t="shared" si="79"/>
        <v>0</v>
      </c>
      <c r="S500">
        <f t="shared" si="80"/>
        <v>98.305499999999995</v>
      </c>
    </row>
    <row r="501" spans="1:19" x14ac:dyDescent="0.3">
      <c r="A501" t="s">
        <v>13</v>
      </c>
      <c r="B501" t="s">
        <v>24</v>
      </c>
      <c r="C501" t="s">
        <v>15</v>
      </c>
      <c r="D501">
        <v>30</v>
      </c>
      <c r="E501">
        <v>10</v>
      </c>
      <c r="F501">
        <v>0</v>
      </c>
      <c r="G501">
        <v>20260302</v>
      </c>
      <c r="H501">
        <v>20260410</v>
      </c>
      <c r="I501">
        <v>10376.603999999999</v>
      </c>
      <c r="J501">
        <f t="shared" si="71"/>
        <v>40</v>
      </c>
      <c r="K501">
        <f t="shared" si="72"/>
        <v>259.4151</v>
      </c>
      <c r="L501">
        <f t="shared" si="73"/>
        <v>12539.855171337314</v>
      </c>
      <c r="M501">
        <f t="shared" si="74"/>
        <v>2594.1509999999998</v>
      </c>
      <c r="N501">
        <f t="shared" si="75"/>
        <v>0</v>
      </c>
      <c r="O501">
        <f t="shared" si="76"/>
        <v>15134.006171337314</v>
      </c>
      <c r="P501">
        <f t="shared" si="77"/>
        <v>8597.9290517773934</v>
      </c>
      <c r="Q501">
        <f t="shared" si="78"/>
        <v>1778.6749482226062</v>
      </c>
      <c r="R501">
        <f t="shared" si="79"/>
        <v>0</v>
      </c>
      <c r="S501">
        <f t="shared" si="80"/>
        <v>10376.603999999999</v>
      </c>
    </row>
    <row r="502" spans="1:19" x14ac:dyDescent="0.3">
      <c r="A502" t="s">
        <v>13</v>
      </c>
      <c r="B502" t="s">
        <v>24</v>
      </c>
      <c r="C502" t="s">
        <v>14</v>
      </c>
      <c r="D502">
        <v>30</v>
      </c>
      <c r="E502">
        <v>5</v>
      </c>
      <c r="F502">
        <v>0</v>
      </c>
      <c r="G502">
        <v>20260302</v>
      </c>
      <c r="H502">
        <v>20260405</v>
      </c>
      <c r="I502">
        <v>12946.6708</v>
      </c>
      <c r="J502">
        <f t="shared" si="71"/>
        <v>35</v>
      </c>
      <c r="K502">
        <f t="shared" si="72"/>
        <v>369.90487999999999</v>
      </c>
      <c r="L502">
        <f t="shared" si="73"/>
        <v>17880.815813616511</v>
      </c>
      <c r="M502">
        <f t="shared" si="74"/>
        <v>1849.5244</v>
      </c>
      <c r="N502">
        <f t="shared" si="75"/>
        <v>0</v>
      </c>
      <c r="O502">
        <f t="shared" si="76"/>
        <v>19730.34021361651</v>
      </c>
      <c r="P502">
        <f t="shared" si="77"/>
        <v>11733.048364496217</v>
      </c>
      <c r="Q502">
        <f t="shared" si="78"/>
        <v>1213.6224355037841</v>
      </c>
      <c r="R502">
        <f t="shared" si="79"/>
        <v>0</v>
      </c>
      <c r="S502">
        <f t="shared" si="80"/>
        <v>12946.670800000002</v>
      </c>
    </row>
    <row r="503" spans="1:19" x14ac:dyDescent="0.3">
      <c r="A503" t="s">
        <v>13</v>
      </c>
      <c r="B503" t="s">
        <v>33</v>
      </c>
      <c r="C503" t="s">
        <v>15</v>
      </c>
      <c r="D503">
        <v>0</v>
      </c>
      <c r="E503">
        <v>27</v>
      </c>
      <c r="F503">
        <v>13</v>
      </c>
      <c r="G503">
        <v>20260404</v>
      </c>
      <c r="H503">
        <v>20260513</v>
      </c>
      <c r="I503">
        <v>3922.6786999999999</v>
      </c>
      <c r="J503">
        <f t="shared" si="71"/>
        <v>40</v>
      </c>
      <c r="K503">
        <f t="shared" si="72"/>
        <v>98.066967500000004</v>
      </c>
      <c r="L503">
        <f t="shared" si="73"/>
        <v>0</v>
      </c>
      <c r="M503">
        <f t="shared" si="74"/>
        <v>2647.8081225000001</v>
      </c>
      <c r="N503">
        <f t="shared" si="75"/>
        <v>958.05940547784007</v>
      </c>
      <c r="O503">
        <f t="shared" si="76"/>
        <v>3605.8675279778399</v>
      </c>
      <c r="P503">
        <f t="shared" si="77"/>
        <v>0</v>
      </c>
      <c r="Q503">
        <f t="shared" si="78"/>
        <v>2880.4442878805535</v>
      </c>
      <c r="R503">
        <f t="shared" si="79"/>
        <v>1042.2344121194467</v>
      </c>
      <c r="S503">
        <f t="shared" si="80"/>
        <v>3922.6787000000004</v>
      </c>
    </row>
    <row r="504" spans="1:19" x14ac:dyDescent="0.3">
      <c r="A504" t="s">
        <v>13</v>
      </c>
      <c r="B504" t="s">
        <v>33</v>
      </c>
      <c r="C504" t="s">
        <v>14</v>
      </c>
      <c r="D504">
        <v>0</v>
      </c>
      <c r="E504">
        <v>25</v>
      </c>
      <c r="F504">
        <v>7</v>
      </c>
      <c r="G504">
        <v>20260406</v>
      </c>
      <c r="H504">
        <v>20260507</v>
      </c>
      <c r="I504">
        <v>5822.5218999999997</v>
      </c>
      <c r="J504">
        <f t="shared" si="71"/>
        <v>32</v>
      </c>
      <c r="K504">
        <f t="shared" si="72"/>
        <v>181.95380937499999</v>
      </c>
      <c r="L504">
        <f t="shared" si="73"/>
        <v>0</v>
      </c>
      <c r="M504">
        <f t="shared" si="74"/>
        <v>4548.8452343749996</v>
      </c>
      <c r="N504">
        <f t="shared" si="75"/>
        <v>957.1621861668425</v>
      </c>
      <c r="O504">
        <f t="shared" si="76"/>
        <v>5506.0074205418423</v>
      </c>
      <c r="P504">
        <f t="shared" si="77"/>
        <v>0</v>
      </c>
      <c r="Q504">
        <f t="shared" si="78"/>
        <v>4810.336959962292</v>
      </c>
      <c r="R504">
        <f t="shared" si="79"/>
        <v>1012.1849400377075</v>
      </c>
      <c r="S504">
        <f t="shared" si="80"/>
        <v>5822.5218999999997</v>
      </c>
    </row>
    <row r="505" spans="1:19" x14ac:dyDescent="0.3">
      <c r="A505" t="s">
        <v>13</v>
      </c>
      <c r="B505" t="s">
        <v>24</v>
      </c>
      <c r="C505" t="s">
        <v>15</v>
      </c>
      <c r="D505">
        <v>23</v>
      </c>
      <c r="E505">
        <v>2</v>
      </c>
      <c r="F505">
        <v>0</v>
      </c>
      <c r="G505">
        <v>20260309</v>
      </c>
      <c r="H505">
        <v>20260402</v>
      </c>
      <c r="I505">
        <v>10889.8969</v>
      </c>
      <c r="J505">
        <f t="shared" si="71"/>
        <v>25</v>
      </c>
      <c r="K505">
        <f t="shared" si="72"/>
        <v>435.59587599999998</v>
      </c>
      <c r="L505">
        <f t="shared" si="73"/>
        <v>16143.124996739662</v>
      </c>
      <c r="M505">
        <f t="shared" si="74"/>
        <v>871.19175199999995</v>
      </c>
      <c r="N505">
        <f t="shared" si="75"/>
        <v>0</v>
      </c>
      <c r="O505">
        <f t="shared" si="76"/>
        <v>17014.31674873966</v>
      </c>
      <c r="P505">
        <f t="shared" si="77"/>
        <v>10332.296586128265</v>
      </c>
      <c r="Q505">
        <f t="shared" si="78"/>
        <v>557.60031387173592</v>
      </c>
      <c r="R505">
        <f t="shared" si="79"/>
        <v>0</v>
      </c>
      <c r="S505">
        <f t="shared" si="80"/>
        <v>10889.8969</v>
      </c>
    </row>
    <row r="506" spans="1:19" x14ac:dyDescent="0.3">
      <c r="A506" t="s">
        <v>13</v>
      </c>
      <c r="B506" t="s">
        <v>24</v>
      </c>
      <c r="C506" t="s">
        <v>15</v>
      </c>
      <c r="D506">
        <v>22</v>
      </c>
      <c r="E506">
        <v>4</v>
      </c>
      <c r="F506">
        <v>0</v>
      </c>
      <c r="G506">
        <v>20260310</v>
      </c>
      <c r="H506">
        <v>20260404</v>
      </c>
      <c r="I506">
        <v>40400.6351</v>
      </c>
      <c r="J506">
        <f t="shared" si="71"/>
        <v>26</v>
      </c>
      <c r="K506">
        <f t="shared" si="72"/>
        <v>1553.8705807692309</v>
      </c>
      <c r="L506">
        <f t="shared" si="73"/>
        <v>55082.486824225605</v>
      </c>
      <c r="M506">
        <f t="shared" si="74"/>
        <v>6215.4823230769234</v>
      </c>
      <c r="N506">
        <f t="shared" si="75"/>
        <v>0</v>
      </c>
      <c r="O506">
        <f t="shared" si="76"/>
        <v>61297.96914730253</v>
      </c>
      <c r="P506">
        <f t="shared" si="77"/>
        <v>36304.0975344291</v>
      </c>
      <c r="Q506">
        <f t="shared" si="78"/>
        <v>4096.537565570904</v>
      </c>
      <c r="R506">
        <f t="shared" si="79"/>
        <v>0</v>
      </c>
      <c r="S506">
        <f t="shared" si="80"/>
        <v>40400.635100000007</v>
      </c>
    </row>
    <row r="507" spans="1:19" x14ac:dyDescent="0.3">
      <c r="A507" t="s">
        <v>13</v>
      </c>
      <c r="B507" t="s">
        <v>33</v>
      </c>
      <c r="C507" t="s">
        <v>15</v>
      </c>
      <c r="D507">
        <v>0</v>
      </c>
      <c r="E507">
        <v>19</v>
      </c>
      <c r="F507">
        <v>0</v>
      </c>
      <c r="G507">
        <v>20260403</v>
      </c>
      <c r="H507">
        <v>20260421</v>
      </c>
      <c r="I507">
        <v>17621.876899999999</v>
      </c>
      <c r="J507">
        <f t="shared" si="71"/>
        <v>19</v>
      </c>
      <c r="K507">
        <f t="shared" si="72"/>
        <v>927.46720526315789</v>
      </c>
      <c r="L507">
        <f t="shared" si="73"/>
        <v>0</v>
      </c>
      <c r="M507">
        <f t="shared" si="74"/>
        <v>17621.876899999999</v>
      </c>
      <c r="N507">
        <f t="shared" si="75"/>
        <v>0</v>
      </c>
      <c r="O507">
        <f t="shared" si="76"/>
        <v>17621.876899999999</v>
      </c>
      <c r="P507">
        <f t="shared" si="77"/>
        <v>0</v>
      </c>
      <c r="Q507">
        <f t="shared" si="78"/>
        <v>17621.876899999999</v>
      </c>
      <c r="R507">
        <f t="shared" si="79"/>
        <v>0</v>
      </c>
      <c r="S507">
        <f t="shared" si="80"/>
        <v>17621.876899999999</v>
      </c>
    </row>
    <row r="508" spans="1:19" x14ac:dyDescent="0.3">
      <c r="A508" t="s">
        <v>13</v>
      </c>
      <c r="B508" t="s">
        <v>33</v>
      </c>
      <c r="C508" t="s">
        <v>15</v>
      </c>
      <c r="D508">
        <v>28</v>
      </c>
      <c r="E508">
        <v>13</v>
      </c>
      <c r="F508">
        <v>0</v>
      </c>
      <c r="G508">
        <v>20260304</v>
      </c>
      <c r="H508">
        <v>20260413</v>
      </c>
      <c r="I508">
        <v>7259.6660000000002</v>
      </c>
      <c r="J508">
        <f t="shared" si="71"/>
        <v>41</v>
      </c>
      <c r="K508">
        <f t="shared" si="72"/>
        <v>177.06502439024391</v>
      </c>
      <c r="L508">
        <f t="shared" si="73"/>
        <v>7988.5292374220689</v>
      </c>
      <c r="M508">
        <f t="shared" si="74"/>
        <v>2301.8453170731709</v>
      </c>
      <c r="N508">
        <f t="shared" si="75"/>
        <v>0</v>
      </c>
      <c r="O508">
        <f t="shared" si="76"/>
        <v>10290.37455449524</v>
      </c>
      <c r="P508">
        <f t="shared" si="77"/>
        <v>5635.7573563330443</v>
      </c>
      <c r="Q508">
        <f t="shared" si="78"/>
        <v>1623.9086436669556</v>
      </c>
      <c r="R508">
        <f t="shared" si="79"/>
        <v>0</v>
      </c>
      <c r="S508">
        <f t="shared" si="80"/>
        <v>7259.6660000000002</v>
      </c>
    </row>
    <row r="509" spans="1:19" x14ac:dyDescent="0.3">
      <c r="A509" t="s">
        <v>13</v>
      </c>
      <c r="B509" t="s">
        <v>33</v>
      </c>
      <c r="C509" t="s">
        <v>14</v>
      </c>
      <c r="D509">
        <v>0</v>
      </c>
      <c r="E509">
        <v>20</v>
      </c>
      <c r="F509">
        <v>0</v>
      </c>
      <c r="G509">
        <v>20260403</v>
      </c>
      <c r="H509">
        <v>20260422</v>
      </c>
      <c r="I509">
        <v>210.82749999999999</v>
      </c>
      <c r="J509">
        <f t="shared" si="71"/>
        <v>20</v>
      </c>
      <c r="K509">
        <f t="shared" si="72"/>
        <v>10.541374999999999</v>
      </c>
      <c r="L509">
        <f t="shared" si="73"/>
        <v>0</v>
      </c>
      <c r="M509">
        <f t="shared" si="74"/>
        <v>210.82749999999999</v>
      </c>
      <c r="N509">
        <f t="shared" si="75"/>
        <v>0</v>
      </c>
      <c r="O509">
        <f t="shared" si="76"/>
        <v>210.82749999999999</v>
      </c>
      <c r="P509">
        <f t="shared" si="77"/>
        <v>0</v>
      </c>
      <c r="Q509">
        <f t="shared" si="78"/>
        <v>210.82749999999999</v>
      </c>
      <c r="R509">
        <f t="shared" si="79"/>
        <v>0</v>
      </c>
      <c r="S509">
        <f t="shared" si="80"/>
        <v>210.82749999999999</v>
      </c>
    </row>
    <row r="510" spans="1:19" x14ac:dyDescent="0.3">
      <c r="A510" t="s">
        <v>13</v>
      </c>
      <c r="B510" t="s">
        <v>33</v>
      </c>
      <c r="C510" t="s">
        <v>15</v>
      </c>
      <c r="D510">
        <v>31</v>
      </c>
      <c r="E510">
        <v>1</v>
      </c>
      <c r="F510">
        <v>0</v>
      </c>
      <c r="G510">
        <v>20260228</v>
      </c>
      <c r="H510">
        <v>20260401</v>
      </c>
      <c r="I510">
        <v>461.91370000000001</v>
      </c>
      <c r="J510">
        <f t="shared" si="71"/>
        <v>32</v>
      </c>
      <c r="K510">
        <f t="shared" si="72"/>
        <v>14.434803125</v>
      </c>
      <c r="L510">
        <f t="shared" si="73"/>
        <v>721.02209406754992</v>
      </c>
      <c r="M510">
        <f t="shared" si="74"/>
        <v>14.434803125</v>
      </c>
      <c r="N510">
        <f t="shared" si="75"/>
        <v>0</v>
      </c>
      <c r="O510">
        <f t="shared" si="76"/>
        <v>735.45689719254995</v>
      </c>
      <c r="P510">
        <f t="shared" si="77"/>
        <v>452.84772571150995</v>
      </c>
      <c r="Q510">
        <f t="shared" si="78"/>
        <v>9.065974288490029</v>
      </c>
      <c r="R510">
        <f t="shared" si="79"/>
        <v>0</v>
      </c>
      <c r="S510">
        <f t="shared" si="80"/>
        <v>461.91370000000001</v>
      </c>
    </row>
    <row r="511" spans="1:19" x14ac:dyDescent="0.3">
      <c r="A511" t="s">
        <v>13</v>
      </c>
      <c r="B511" t="s">
        <v>33</v>
      </c>
      <c r="C511" t="s">
        <v>15</v>
      </c>
      <c r="D511">
        <v>0</v>
      </c>
      <c r="E511">
        <v>15</v>
      </c>
      <c r="F511">
        <v>8</v>
      </c>
      <c r="G511">
        <v>20260416</v>
      </c>
      <c r="H511">
        <v>20260508</v>
      </c>
      <c r="I511">
        <v>760.04639999999995</v>
      </c>
      <c r="J511">
        <f t="shared" si="71"/>
        <v>23</v>
      </c>
      <c r="K511">
        <f t="shared" si="72"/>
        <v>33.045495652173912</v>
      </c>
      <c r="L511">
        <f t="shared" si="73"/>
        <v>0</v>
      </c>
      <c r="M511">
        <f t="shared" si="74"/>
        <v>495.68243478260865</v>
      </c>
      <c r="N511">
        <f t="shared" si="75"/>
        <v>198.66831019240325</v>
      </c>
      <c r="O511">
        <f t="shared" si="76"/>
        <v>694.35074497501193</v>
      </c>
      <c r="P511">
        <f t="shared" si="77"/>
        <v>0</v>
      </c>
      <c r="Q511">
        <f t="shared" si="78"/>
        <v>542.58118512325427</v>
      </c>
      <c r="R511">
        <f t="shared" si="79"/>
        <v>217.46521487674565</v>
      </c>
      <c r="S511">
        <f t="shared" si="80"/>
        <v>760.04639999999995</v>
      </c>
    </row>
    <row r="512" spans="1:19" x14ac:dyDescent="0.3">
      <c r="A512" t="s">
        <v>13</v>
      </c>
      <c r="B512" t="s">
        <v>33</v>
      </c>
      <c r="C512" t="s">
        <v>15</v>
      </c>
      <c r="D512">
        <v>0</v>
      </c>
      <c r="E512">
        <v>27</v>
      </c>
      <c r="F512">
        <v>10</v>
      </c>
      <c r="G512">
        <v>20260404</v>
      </c>
      <c r="H512">
        <v>20260510</v>
      </c>
      <c r="I512">
        <v>104617.0184</v>
      </c>
      <c r="J512">
        <f t="shared" si="71"/>
        <v>37</v>
      </c>
      <c r="K512">
        <f t="shared" si="72"/>
        <v>2827.4869837837837</v>
      </c>
      <c r="L512">
        <f t="shared" si="73"/>
        <v>0</v>
      </c>
      <c r="M512">
        <f t="shared" si="74"/>
        <v>76342.148562162154</v>
      </c>
      <c r="N512">
        <f t="shared" si="75"/>
        <v>21248.435303859089</v>
      </c>
      <c r="O512">
        <f t="shared" si="76"/>
        <v>97590.583866021247</v>
      </c>
      <c r="P512">
        <f t="shared" si="77"/>
        <v>0</v>
      </c>
      <c r="Q512">
        <f t="shared" si="78"/>
        <v>81838.714806624179</v>
      </c>
      <c r="R512">
        <f t="shared" si="79"/>
        <v>22778.303593375818</v>
      </c>
      <c r="S512">
        <f t="shared" si="80"/>
        <v>104617.0184</v>
      </c>
    </row>
    <row r="513" spans="1:19" x14ac:dyDescent="0.3">
      <c r="A513" t="s">
        <v>13</v>
      </c>
      <c r="B513" t="s">
        <v>33</v>
      </c>
      <c r="C513" t="s">
        <v>14</v>
      </c>
      <c r="D513">
        <v>24</v>
      </c>
      <c r="E513">
        <v>6</v>
      </c>
      <c r="F513">
        <v>0</v>
      </c>
      <c r="G513">
        <v>20260308</v>
      </c>
      <c r="H513">
        <v>20260406</v>
      </c>
      <c r="I513">
        <v>1937.4767999999999</v>
      </c>
      <c r="J513">
        <f t="shared" si="71"/>
        <v>30</v>
      </c>
      <c r="K513">
        <f t="shared" si="72"/>
        <v>64.582560000000001</v>
      </c>
      <c r="L513">
        <f t="shared" si="73"/>
        <v>2497.4828342504425</v>
      </c>
      <c r="M513">
        <f t="shared" si="74"/>
        <v>387.49536000000001</v>
      </c>
      <c r="N513">
        <f t="shared" si="75"/>
        <v>0</v>
      </c>
      <c r="O513">
        <f t="shared" si="76"/>
        <v>2884.9781942504424</v>
      </c>
      <c r="P513">
        <f t="shared" si="77"/>
        <v>1677.2449301009949</v>
      </c>
      <c r="Q513">
        <f t="shared" si="78"/>
        <v>260.23186989900518</v>
      </c>
      <c r="R513">
        <f t="shared" si="79"/>
        <v>0</v>
      </c>
      <c r="S513">
        <f t="shared" si="80"/>
        <v>1937.4768000000001</v>
      </c>
    </row>
    <row r="514" spans="1:19" x14ac:dyDescent="0.3">
      <c r="A514" t="s">
        <v>13</v>
      </c>
      <c r="B514" t="s">
        <v>33</v>
      </c>
      <c r="C514" t="s">
        <v>15</v>
      </c>
      <c r="D514">
        <v>27</v>
      </c>
      <c r="E514">
        <v>11</v>
      </c>
      <c r="F514">
        <v>0</v>
      </c>
      <c r="G514">
        <v>20260305</v>
      </c>
      <c r="H514">
        <v>20260411</v>
      </c>
      <c r="I514">
        <v>268.45850000000002</v>
      </c>
      <c r="J514">
        <f t="shared" si="71"/>
        <v>38</v>
      </c>
      <c r="K514">
        <f t="shared" si="72"/>
        <v>7.0646973684210534</v>
      </c>
      <c r="L514">
        <f t="shared" si="73"/>
        <v>307.35008735572865</v>
      </c>
      <c r="M514">
        <f t="shared" si="74"/>
        <v>77.711671052631587</v>
      </c>
      <c r="N514">
        <f t="shared" si="75"/>
        <v>0</v>
      </c>
      <c r="O514">
        <f t="shared" si="76"/>
        <v>385.06175840836022</v>
      </c>
      <c r="P514">
        <f t="shared" si="77"/>
        <v>214.27924644463073</v>
      </c>
      <c r="Q514">
        <f t="shared" si="78"/>
        <v>54.179253555369286</v>
      </c>
      <c r="R514">
        <f t="shared" si="79"/>
        <v>0</v>
      </c>
      <c r="S514">
        <f t="shared" si="80"/>
        <v>268.45850000000002</v>
      </c>
    </row>
    <row r="515" spans="1:19" x14ac:dyDescent="0.3">
      <c r="A515" t="s">
        <v>13</v>
      </c>
      <c r="B515" t="s">
        <v>33</v>
      </c>
      <c r="C515" t="s">
        <v>15</v>
      </c>
      <c r="D515">
        <v>0</v>
      </c>
      <c r="E515">
        <v>25</v>
      </c>
      <c r="F515">
        <v>11</v>
      </c>
      <c r="G515">
        <v>20260406</v>
      </c>
      <c r="H515">
        <v>20260511</v>
      </c>
      <c r="I515">
        <v>8397.0319</v>
      </c>
      <c r="J515">
        <f t="shared" si="71"/>
        <v>36</v>
      </c>
      <c r="K515">
        <f t="shared" si="72"/>
        <v>233.2508861111111</v>
      </c>
      <c r="L515">
        <f t="shared" si="73"/>
        <v>0</v>
      </c>
      <c r="M515">
        <f t="shared" si="74"/>
        <v>5831.2721527777776</v>
      </c>
      <c r="N515">
        <f t="shared" si="75"/>
        <v>1928.1567097133002</v>
      </c>
      <c r="O515">
        <f t="shared" si="76"/>
        <v>7759.4288624910778</v>
      </c>
      <c r="P515">
        <f t="shared" si="77"/>
        <v>0</v>
      </c>
      <c r="Q515">
        <f t="shared" si="78"/>
        <v>6310.435877717021</v>
      </c>
      <c r="R515">
        <f t="shared" si="79"/>
        <v>2086.596022282979</v>
      </c>
      <c r="S515">
        <f t="shared" si="80"/>
        <v>8397.0319</v>
      </c>
    </row>
    <row r="516" spans="1:19" x14ac:dyDescent="0.3">
      <c r="A516" t="s">
        <v>13</v>
      </c>
      <c r="B516" t="s">
        <v>24</v>
      </c>
      <c r="C516" t="s">
        <v>15</v>
      </c>
      <c r="D516">
        <v>23</v>
      </c>
      <c r="E516">
        <v>7</v>
      </c>
      <c r="F516">
        <v>0</v>
      </c>
      <c r="G516">
        <v>20260309</v>
      </c>
      <c r="H516">
        <v>20260407</v>
      </c>
      <c r="I516">
        <v>36349.743900000001</v>
      </c>
      <c r="J516">
        <f t="shared" si="71"/>
        <v>30</v>
      </c>
      <c r="K516">
        <f t="shared" si="72"/>
        <v>1211.65813</v>
      </c>
      <c r="L516">
        <f t="shared" si="73"/>
        <v>44903.888497571163</v>
      </c>
      <c r="M516">
        <f t="shared" si="74"/>
        <v>8481.6069100000004</v>
      </c>
      <c r="N516">
        <f t="shared" si="75"/>
        <v>0</v>
      </c>
      <c r="O516">
        <f t="shared" si="76"/>
        <v>53385.495407571165</v>
      </c>
      <c r="P516">
        <f t="shared" si="77"/>
        <v>30574.687647637369</v>
      </c>
      <c r="Q516">
        <f t="shared" si="78"/>
        <v>5775.0562523626304</v>
      </c>
      <c r="R516">
        <f t="shared" si="79"/>
        <v>0</v>
      </c>
      <c r="S516">
        <f t="shared" si="80"/>
        <v>36349.743900000001</v>
      </c>
    </row>
    <row r="517" spans="1:19" x14ac:dyDescent="0.3">
      <c r="A517" t="s">
        <v>13</v>
      </c>
      <c r="B517" t="s">
        <v>33</v>
      </c>
      <c r="C517" t="s">
        <v>15</v>
      </c>
      <c r="D517">
        <v>30</v>
      </c>
      <c r="E517">
        <v>11</v>
      </c>
      <c r="F517">
        <v>0</v>
      </c>
      <c r="G517">
        <v>20260302</v>
      </c>
      <c r="H517">
        <v>20260411</v>
      </c>
      <c r="I517">
        <v>4379.6553000000004</v>
      </c>
      <c r="J517">
        <f t="shared" si="71"/>
        <v>41</v>
      </c>
      <c r="K517">
        <f t="shared" si="72"/>
        <v>106.82086097560976</v>
      </c>
      <c r="L517">
        <f t="shared" si="73"/>
        <v>5163.6089260482695</v>
      </c>
      <c r="M517">
        <f t="shared" si="74"/>
        <v>1175.0294707317073</v>
      </c>
      <c r="N517">
        <f t="shared" si="75"/>
        <v>0</v>
      </c>
      <c r="O517">
        <f t="shared" si="76"/>
        <v>6338.6383967799766</v>
      </c>
      <c r="P517">
        <f t="shared" si="77"/>
        <v>3567.7736738513004</v>
      </c>
      <c r="Q517">
        <f t="shared" si="78"/>
        <v>811.88162614870009</v>
      </c>
      <c r="R517">
        <f t="shared" si="79"/>
        <v>0</v>
      </c>
      <c r="S517">
        <f t="shared" si="80"/>
        <v>4379.6553000000004</v>
      </c>
    </row>
    <row r="518" spans="1:19" x14ac:dyDescent="0.3">
      <c r="A518" t="s">
        <v>13</v>
      </c>
      <c r="B518" t="s">
        <v>33</v>
      </c>
      <c r="C518" t="s">
        <v>15</v>
      </c>
      <c r="D518">
        <v>0</v>
      </c>
      <c r="E518">
        <v>22</v>
      </c>
      <c r="F518">
        <v>0</v>
      </c>
      <c r="G518">
        <v>20260406</v>
      </c>
      <c r="H518">
        <v>20260427</v>
      </c>
      <c r="I518">
        <v>337.52960000000002</v>
      </c>
      <c r="J518">
        <f t="shared" si="71"/>
        <v>22</v>
      </c>
      <c r="K518">
        <f t="shared" si="72"/>
        <v>15.342254545454546</v>
      </c>
      <c r="L518">
        <f t="shared" si="73"/>
        <v>0</v>
      </c>
      <c r="M518">
        <f t="shared" si="74"/>
        <v>337.52960000000002</v>
      </c>
      <c r="N518">
        <f t="shared" si="75"/>
        <v>0</v>
      </c>
      <c r="O518">
        <f t="shared" si="76"/>
        <v>337.52960000000002</v>
      </c>
      <c r="P518">
        <f t="shared" si="77"/>
        <v>0</v>
      </c>
      <c r="Q518">
        <f t="shared" si="78"/>
        <v>337.52960000000002</v>
      </c>
      <c r="R518">
        <f t="shared" si="79"/>
        <v>0</v>
      </c>
      <c r="S518">
        <f t="shared" si="80"/>
        <v>337.52960000000002</v>
      </c>
    </row>
    <row r="519" spans="1:19" x14ac:dyDescent="0.3">
      <c r="A519" t="s">
        <v>13</v>
      </c>
      <c r="B519" t="s">
        <v>33</v>
      </c>
      <c r="C519" t="s">
        <v>14</v>
      </c>
      <c r="D519">
        <v>0</v>
      </c>
      <c r="E519">
        <v>29</v>
      </c>
      <c r="F519">
        <v>10</v>
      </c>
      <c r="G519">
        <v>20260402</v>
      </c>
      <c r="H519">
        <v>20260510</v>
      </c>
      <c r="I519">
        <v>5145.2767999999996</v>
      </c>
      <c r="J519">
        <f t="shared" si="71"/>
        <v>39</v>
      </c>
      <c r="K519">
        <f t="shared" si="72"/>
        <v>131.93017435897434</v>
      </c>
      <c r="L519">
        <f t="shared" si="73"/>
        <v>0</v>
      </c>
      <c r="M519">
        <f t="shared" si="74"/>
        <v>3825.975056410256</v>
      </c>
      <c r="N519">
        <f t="shared" si="75"/>
        <v>991.4492234875247</v>
      </c>
      <c r="O519">
        <f t="shared" si="76"/>
        <v>4817.4242798977812</v>
      </c>
      <c r="P519">
        <f t="shared" si="77"/>
        <v>0</v>
      </c>
      <c r="Q519">
        <f t="shared" si="78"/>
        <v>4086.3539417259053</v>
      </c>
      <c r="R519">
        <f t="shared" si="79"/>
        <v>1058.9228582740936</v>
      </c>
      <c r="S519">
        <f t="shared" si="80"/>
        <v>5145.2767999999987</v>
      </c>
    </row>
    <row r="520" spans="1:19" x14ac:dyDescent="0.3">
      <c r="A520" t="s">
        <v>13</v>
      </c>
      <c r="B520" t="s">
        <v>33</v>
      </c>
      <c r="C520" t="s">
        <v>15</v>
      </c>
      <c r="D520">
        <v>0</v>
      </c>
      <c r="E520">
        <v>27</v>
      </c>
      <c r="F520">
        <v>0</v>
      </c>
      <c r="G520">
        <v>20260403</v>
      </c>
      <c r="H520">
        <v>20260429</v>
      </c>
      <c r="I520">
        <v>42.167499999999997</v>
      </c>
      <c r="J520">
        <f t="shared" si="71"/>
        <v>27</v>
      </c>
      <c r="K520">
        <f t="shared" si="72"/>
        <v>1.5617592592592591</v>
      </c>
      <c r="L520">
        <f t="shared" si="73"/>
        <v>0</v>
      </c>
      <c r="M520">
        <f t="shared" si="74"/>
        <v>42.167499999999997</v>
      </c>
      <c r="N520">
        <f t="shared" si="75"/>
        <v>0</v>
      </c>
      <c r="O520">
        <f t="shared" si="76"/>
        <v>42.167499999999997</v>
      </c>
      <c r="P520">
        <f t="shared" si="77"/>
        <v>0</v>
      </c>
      <c r="Q520">
        <f t="shared" si="78"/>
        <v>42.167499999999997</v>
      </c>
      <c r="R520">
        <f t="shared" si="79"/>
        <v>0</v>
      </c>
      <c r="S520">
        <f t="shared" si="80"/>
        <v>42.167499999999997</v>
      </c>
    </row>
    <row r="521" spans="1:19" x14ac:dyDescent="0.3">
      <c r="A521" t="s">
        <v>13</v>
      </c>
      <c r="B521" t="s">
        <v>33</v>
      </c>
      <c r="C521" t="s">
        <v>15</v>
      </c>
      <c r="D521">
        <v>30</v>
      </c>
      <c r="E521">
        <v>14</v>
      </c>
      <c r="F521">
        <v>0</v>
      </c>
      <c r="G521">
        <v>20260302</v>
      </c>
      <c r="H521">
        <v>20260414</v>
      </c>
      <c r="I521">
        <v>13.4216</v>
      </c>
      <c r="J521">
        <f t="shared" si="71"/>
        <v>44</v>
      </c>
      <c r="K521">
        <f t="shared" si="72"/>
        <v>0.30503636363636361</v>
      </c>
      <c r="L521">
        <f t="shared" si="73"/>
        <v>14.745139438650192</v>
      </c>
      <c r="M521">
        <f t="shared" si="74"/>
        <v>4.2705090909090906</v>
      </c>
      <c r="N521">
        <f t="shared" si="75"/>
        <v>0</v>
      </c>
      <c r="O521">
        <f t="shared" si="76"/>
        <v>19.015648529559282</v>
      </c>
      <c r="P521">
        <f t="shared" si="77"/>
        <v>10.407394898057369</v>
      </c>
      <c r="Q521">
        <f t="shared" si="78"/>
        <v>3.0142051019426295</v>
      </c>
      <c r="R521">
        <f t="shared" si="79"/>
        <v>0</v>
      </c>
      <c r="S521">
        <f t="shared" si="80"/>
        <v>13.421599999999998</v>
      </c>
    </row>
    <row r="522" spans="1:19" x14ac:dyDescent="0.3">
      <c r="A522" t="s">
        <v>13</v>
      </c>
      <c r="B522" t="s">
        <v>33</v>
      </c>
      <c r="C522" t="s">
        <v>15</v>
      </c>
      <c r="D522">
        <v>0</v>
      </c>
      <c r="E522">
        <v>12</v>
      </c>
      <c r="F522">
        <v>0</v>
      </c>
      <c r="G522">
        <v>20260406</v>
      </c>
      <c r="H522">
        <v>20260417</v>
      </c>
      <c r="I522">
        <v>800.95690000000002</v>
      </c>
      <c r="J522">
        <f t="shared" si="71"/>
        <v>12</v>
      </c>
      <c r="K522">
        <f t="shared" si="72"/>
        <v>66.746408333333335</v>
      </c>
      <c r="L522">
        <f t="shared" si="73"/>
        <v>0</v>
      </c>
      <c r="M522">
        <f t="shared" si="74"/>
        <v>800.95690000000002</v>
      </c>
      <c r="N522">
        <f t="shared" si="75"/>
        <v>0</v>
      </c>
      <c r="O522">
        <f t="shared" si="76"/>
        <v>800.95690000000002</v>
      </c>
      <c r="P522">
        <f t="shared" si="77"/>
        <v>0</v>
      </c>
      <c r="Q522">
        <f t="shared" si="78"/>
        <v>800.95690000000002</v>
      </c>
      <c r="R522">
        <f t="shared" si="79"/>
        <v>0</v>
      </c>
      <c r="S522">
        <f t="shared" si="80"/>
        <v>800.95690000000002</v>
      </c>
    </row>
    <row r="523" spans="1:19" x14ac:dyDescent="0.3">
      <c r="A523" t="s">
        <v>13</v>
      </c>
      <c r="B523" t="s">
        <v>24</v>
      </c>
      <c r="C523" t="s">
        <v>15</v>
      </c>
      <c r="D523">
        <v>21</v>
      </c>
      <c r="E523">
        <v>7</v>
      </c>
      <c r="F523">
        <v>0</v>
      </c>
      <c r="G523">
        <v>20260311</v>
      </c>
      <c r="H523">
        <v>20260407</v>
      </c>
      <c r="I523">
        <v>3409.4827</v>
      </c>
      <c r="J523">
        <f t="shared" ref="J523:J586" si="81">IF(D523&lt;0,0,D523)+E523+F523</f>
        <v>28</v>
      </c>
      <c r="K523">
        <f t="shared" ref="K523:K586" si="82">I523/J523</f>
        <v>121.76723928571428</v>
      </c>
      <c r="L523">
        <f t="shared" ref="L523:L586" si="83">IF(D523&lt;0,0,D523)*$K523*$B$6</f>
        <v>4120.2708773679815</v>
      </c>
      <c r="M523">
        <f t="shared" ref="M523:M586" si="84">IF(E523&lt;0,0,E523)*$K523*$C$6</f>
        <v>852.37067500000001</v>
      </c>
      <c r="N523">
        <f t="shared" ref="N523:N586" si="85">IF(F523&lt;0,0,F523)*$K523*$D$6</f>
        <v>0</v>
      </c>
      <c r="O523">
        <f t="shared" ref="O523:O586" si="86">L523+M523+N523</f>
        <v>4972.6415523679816</v>
      </c>
      <c r="P523">
        <f t="shared" ref="P523:P586" si="87">L523/$O523*$I523</f>
        <v>2825.0562860317718</v>
      </c>
      <c r="Q523">
        <f t="shared" ref="Q523:Q586" si="88">M523/$O523*$I523</f>
        <v>584.42641396822808</v>
      </c>
      <c r="R523">
        <f t="shared" ref="R523:R586" si="89">N523/$O523*$I523</f>
        <v>0</v>
      </c>
      <c r="S523">
        <f t="shared" ref="S523:S586" si="90">P523+Q523+R523</f>
        <v>3409.4827</v>
      </c>
    </row>
    <row r="524" spans="1:19" x14ac:dyDescent="0.3">
      <c r="A524" t="s">
        <v>13</v>
      </c>
      <c r="B524" t="s">
        <v>33</v>
      </c>
      <c r="C524" t="s">
        <v>14</v>
      </c>
      <c r="D524">
        <v>24</v>
      </c>
      <c r="E524">
        <v>2</v>
      </c>
      <c r="F524">
        <v>0</v>
      </c>
      <c r="G524">
        <v>20260308</v>
      </c>
      <c r="H524">
        <v>20260402</v>
      </c>
      <c r="I524">
        <v>71.306799999999996</v>
      </c>
      <c r="J524">
        <f t="shared" si="81"/>
        <v>26</v>
      </c>
      <c r="K524">
        <f t="shared" si="82"/>
        <v>2.7425692307692304</v>
      </c>
      <c r="L524">
        <f t="shared" si="83"/>
        <v>106.0583472626293</v>
      </c>
      <c r="M524">
        <f t="shared" si="84"/>
        <v>5.4851384615384609</v>
      </c>
      <c r="N524">
        <f t="shared" si="85"/>
        <v>0</v>
      </c>
      <c r="O524">
        <f t="shared" si="86"/>
        <v>111.54348572416775</v>
      </c>
      <c r="P524">
        <f t="shared" si="87"/>
        <v>67.800296068282847</v>
      </c>
      <c r="Q524">
        <f t="shared" si="88"/>
        <v>3.5065039317171562</v>
      </c>
      <c r="R524">
        <f t="shared" si="89"/>
        <v>0</v>
      </c>
      <c r="S524">
        <f t="shared" si="90"/>
        <v>71.30680000000001</v>
      </c>
    </row>
    <row r="525" spans="1:19" x14ac:dyDescent="0.3">
      <c r="A525" t="s">
        <v>13</v>
      </c>
      <c r="B525" t="s">
        <v>24</v>
      </c>
      <c r="C525" t="s">
        <v>15</v>
      </c>
      <c r="D525">
        <v>31</v>
      </c>
      <c r="E525">
        <v>3</v>
      </c>
      <c r="F525">
        <v>0</v>
      </c>
      <c r="G525">
        <v>20260227</v>
      </c>
      <c r="H525">
        <v>20260403</v>
      </c>
      <c r="I525">
        <v>39011.147700000001</v>
      </c>
      <c r="J525">
        <f t="shared" si="81"/>
        <v>34</v>
      </c>
      <c r="K525">
        <f t="shared" si="82"/>
        <v>1147.3866970588235</v>
      </c>
      <c r="L525">
        <f t="shared" si="83"/>
        <v>57312.257871102935</v>
      </c>
      <c r="M525">
        <f t="shared" si="84"/>
        <v>3442.1600911764708</v>
      </c>
      <c r="N525">
        <f t="shared" si="85"/>
        <v>0</v>
      </c>
      <c r="O525">
        <f t="shared" si="86"/>
        <v>60754.417962279404</v>
      </c>
      <c r="P525">
        <f t="shared" si="87"/>
        <v>36800.895010108332</v>
      </c>
      <c r="Q525">
        <f t="shared" si="88"/>
        <v>2210.2526898916685</v>
      </c>
      <c r="R525">
        <f t="shared" si="89"/>
        <v>0</v>
      </c>
      <c r="S525">
        <f t="shared" si="90"/>
        <v>39011.147700000001</v>
      </c>
    </row>
    <row r="526" spans="1:19" x14ac:dyDescent="0.3">
      <c r="A526" t="s">
        <v>13</v>
      </c>
      <c r="B526" t="s">
        <v>24</v>
      </c>
      <c r="C526" t="s">
        <v>15</v>
      </c>
      <c r="D526">
        <v>22</v>
      </c>
      <c r="E526">
        <v>6</v>
      </c>
      <c r="F526">
        <v>0</v>
      </c>
      <c r="G526">
        <v>20260310</v>
      </c>
      <c r="H526">
        <v>20260406</v>
      </c>
      <c r="I526">
        <v>16141.3153</v>
      </c>
      <c r="J526">
        <f t="shared" si="81"/>
        <v>28</v>
      </c>
      <c r="K526">
        <f t="shared" si="82"/>
        <v>576.47554642857142</v>
      </c>
      <c r="L526">
        <f t="shared" si="83"/>
        <v>20435.232562882185</v>
      </c>
      <c r="M526">
        <f t="shared" si="84"/>
        <v>3458.8532785714287</v>
      </c>
      <c r="N526">
        <f t="shared" si="85"/>
        <v>0</v>
      </c>
      <c r="O526">
        <f t="shared" si="86"/>
        <v>23894.085841453612</v>
      </c>
      <c r="P526">
        <f t="shared" si="87"/>
        <v>13804.735373221614</v>
      </c>
      <c r="Q526">
        <f t="shared" si="88"/>
        <v>2336.5799267783864</v>
      </c>
      <c r="R526">
        <f t="shared" si="89"/>
        <v>0</v>
      </c>
      <c r="S526">
        <f t="shared" si="90"/>
        <v>16141.3153</v>
      </c>
    </row>
    <row r="527" spans="1:19" x14ac:dyDescent="0.3">
      <c r="A527" t="s">
        <v>13</v>
      </c>
      <c r="B527" t="s">
        <v>33</v>
      </c>
      <c r="C527" t="s">
        <v>15</v>
      </c>
      <c r="D527">
        <v>0</v>
      </c>
      <c r="E527">
        <v>21</v>
      </c>
      <c r="F527">
        <v>0</v>
      </c>
      <c r="G527">
        <v>20260408</v>
      </c>
      <c r="H527">
        <v>20260428</v>
      </c>
      <c r="I527">
        <v>379.91649999999998</v>
      </c>
      <c r="J527">
        <f t="shared" si="81"/>
        <v>21</v>
      </c>
      <c r="K527">
        <f t="shared" si="82"/>
        <v>18.091261904761904</v>
      </c>
      <c r="L527">
        <f t="shared" si="83"/>
        <v>0</v>
      </c>
      <c r="M527">
        <f t="shared" si="84"/>
        <v>379.91649999999998</v>
      </c>
      <c r="N527">
        <f t="shared" si="85"/>
        <v>0</v>
      </c>
      <c r="O527">
        <f t="shared" si="86"/>
        <v>379.91649999999998</v>
      </c>
      <c r="P527">
        <f t="shared" si="87"/>
        <v>0</v>
      </c>
      <c r="Q527">
        <f t="shared" si="88"/>
        <v>379.91649999999998</v>
      </c>
      <c r="R527">
        <f t="shared" si="89"/>
        <v>0</v>
      </c>
      <c r="S527">
        <f t="shared" si="90"/>
        <v>379.91649999999998</v>
      </c>
    </row>
    <row r="528" spans="1:19" x14ac:dyDescent="0.3">
      <c r="A528" t="s">
        <v>13</v>
      </c>
      <c r="B528" t="s">
        <v>33</v>
      </c>
      <c r="C528" t="s">
        <v>14</v>
      </c>
      <c r="D528">
        <v>6</v>
      </c>
      <c r="E528">
        <v>30</v>
      </c>
      <c r="F528">
        <v>8</v>
      </c>
      <c r="G528">
        <v>20260326</v>
      </c>
      <c r="H528">
        <v>20260508</v>
      </c>
      <c r="I528">
        <v>72.877399999999994</v>
      </c>
      <c r="J528">
        <f t="shared" si="81"/>
        <v>44</v>
      </c>
      <c r="K528">
        <f t="shared" si="82"/>
        <v>1.6563045454545453</v>
      </c>
      <c r="L528">
        <f t="shared" si="83"/>
        <v>16.012806594240413</v>
      </c>
      <c r="M528">
        <f t="shared" si="84"/>
        <v>49.689136363636358</v>
      </c>
      <c r="N528">
        <f t="shared" si="85"/>
        <v>9.9576422963352957</v>
      </c>
      <c r="O528">
        <f t="shared" si="86"/>
        <v>75.659585254212061</v>
      </c>
      <c r="P528">
        <f t="shared" si="87"/>
        <v>15.423977112353116</v>
      </c>
      <c r="Q528">
        <f t="shared" si="88"/>
        <v>47.861947091834935</v>
      </c>
      <c r="R528">
        <f t="shared" si="89"/>
        <v>9.5914757958119523</v>
      </c>
      <c r="S528">
        <f t="shared" si="90"/>
        <v>72.877399999999994</v>
      </c>
    </row>
    <row r="529" spans="1:19" x14ac:dyDescent="0.3">
      <c r="A529" t="s">
        <v>13</v>
      </c>
      <c r="B529" t="s">
        <v>24</v>
      </c>
      <c r="C529" t="s">
        <v>14</v>
      </c>
      <c r="D529">
        <v>6</v>
      </c>
      <c r="E529">
        <v>30</v>
      </c>
      <c r="F529">
        <v>8</v>
      </c>
      <c r="G529">
        <v>20260326</v>
      </c>
      <c r="H529">
        <v>20260508</v>
      </c>
      <c r="I529">
        <v>11.507</v>
      </c>
      <c r="J529">
        <f t="shared" si="81"/>
        <v>44</v>
      </c>
      <c r="K529">
        <f t="shared" si="82"/>
        <v>0.26152272727272724</v>
      </c>
      <c r="L529">
        <f t="shared" si="83"/>
        <v>2.5283471347759994</v>
      </c>
      <c r="M529">
        <f t="shared" si="84"/>
        <v>7.8456818181818173</v>
      </c>
      <c r="N529">
        <f t="shared" si="85"/>
        <v>1.5722650630226962</v>
      </c>
      <c r="O529">
        <f t="shared" si="86"/>
        <v>11.946294015980513</v>
      </c>
      <c r="P529">
        <f t="shared" si="87"/>
        <v>2.4353737184895086</v>
      </c>
      <c r="Q529">
        <f t="shared" si="88"/>
        <v>7.5571771932827536</v>
      </c>
      <c r="R529">
        <f t="shared" si="89"/>
        <v>1.5144490882277373</v>
      </c>
      <c r="S529">
        <f t="shared" si="90"/>
        <v>11.507</v>
      </c>
    </row>
    <row r="530" spans="1:19" x14ac:dyDescent="0.3">
      <c r="A530" t="s">
        <v>13</v>
      </c>
      <c r="B530" t="s">
        <v>33</v>
      </c>
      <c r="C530" t="s">
        <v>15</v>
      </c>
      <c r="D530">
        <v>0</v>
      </c>
      <c r="E530">
        <v>30</v>
      </c>
      <c r="F530">
        <v>7</v>
      </c>
      <c r="G530">
        <v>20260401</v>
      </c>
      <c r="H530">
        <v>20260507</v>
      </c>
      <c r="I530">
        <v>31542.7549</v>
      </c>
      <c r="J530">
        <f t="shared" si="81"/>
        <v>37</v>
      </c>
      <c r="K530">
        <f t="shared" si="82"/>
        <v>852.50688918918922</v>
      </c>
      <c r="L530">
        <f t="shared" si="83"/>
        <v>0</v>
      </c>
      <c r="M530">
        <f t="shared" si="84"/>
        <v>25575.206675675676</v>
      </c>
      <c r="N530">
        <f t="shared" si="85"/>
        <v>4484.5851844568915</v>
      </c>
      <c r="O530">
        <f t="shared" si="86"/>
        <v>30059.791860132565</v>
      </c>
      <c r="P530">
        <f t="shared" si="87"/>
        <v>0</v>
      </c>
      <c r="Q530">
        <f t="shared" si="88"/>
        <v>26836.928194356566</v>
      </c>
      <c r="R530">
        <f t="shared" si="89"/>
        <v>4705.826705643437</v>
      </c>
      <c r="S530">
        <f t="shared" si="90"/>
        <v>31542.754900000004</v>
      </c>
    </row>
    <row r="531" spans="1:19" x14ac:dyDescent="0.3">
      <c r="A531" t="s">
        <v>13</v>
      </c>
      <c r="B531" t="s">
        <v>33</v>
      </c>
      <c r="C531" t="s">
        <v>15</v>
      </c>
      <c r="D531">
        <v>0</v>
      </c>
      <c r="E531">
        <v>11</v>
      </c>
      <c r="F531">
        <v>4</v>
      </c>
      <c r="G531">
        <v>20260420</v>
      </c>
      <c r="H531">
        <v>20260504</v>
      </c>
      <c r="I531">
        <v>3925.8953000000001</v>
      </c>
      <c r="J531">
        <f t="shared" si="81"/>
        <v>15</v>
      </c>
      <c r="K531">
        <f t="shared" si="82"/>
        <v>261.72635333333335</v>
      </c>
      <c r="L531">
        <f t="shared" si="83"/>
        <v>0</v>
      </c>
      <c r="M531">
        <f t="shared" si="84"/>
        <v>2878.9898866666667</v>
      </c>
      <c r="N531">
        <f t="shared" si="85"/>
        <v>786.74462772254674</v>
      </c>
      <c r="O531">
        <f t="shared" si="86"/>
        <v>3665.7345143892135</v>
      </c>
      <c r="P531">
        <f t="shared" si="87"/>
        <v>0</v>
      </c>
      <c r="Q531">
        <f t="shared" si="88"/>
        <v>3083.3146318822946</v>
      </c>
      <c r="R531">
        <f t="shared" si="89"/>
        <v>842.5806681177055</v>
      </c>
      <c r="S531">
        <f t="shared" si="90"/>
        <v>3925.8953000000001</v>
      </c>
    </row>
    <row r="532" spans="1:19" x14ac:dyDescent="0.3">
      <c r="A532" t="s">
        <v>13</v>
      </c>
      <c r="B532" t="s">
        <v>24</v>
      </c>
      <c r="C532" t="s">
        <v>15</v>
      </c>
      <c r="D532">
        <v>16</v>
      </c>
      <c r="E532">
        <v>2</v>
      </c>
      <c r="F532">
        <v>0</v>
      </c>
      <c r="G532">
        <v>20260316</v>
      </c>
      <c r="H532">
        <v>20260402</v>
      </c>
      <c r="I532">
        <v>4719.3269</v>
      </c>
      <c r="J532">
        <f t="shared" si="81"/>
        <v>18</v>
      </c>
      <c r="K532">
        <f t="shared" si="82"/>
        <v>262.1848277777778</v>
      </c>
      <c r="L532">
        <f t="shared" si="83"/>
        <v>6759.3284913234429</v>
      </c>
      <c r="M532">
        <f t="shared" si="84"/>
        <v>524.3696555555556</v>
      </c>
      <c r="N532">
        <f t="shared" si="85"/>
        <v>0</v>
      </c>
      <c r="O532">
        <f t="shared" si="86"/>
        <v>7283.6981468789982</v>
      </c>
      <c r="P532">
        <f t="shared" si="87"/>
        <v>4379.5720431808104</v>
      </c>
      <c r="Q532">
        <f t="shared" si="88"/>
        <v>339.75485681918923</v>
      </c>
      <c r="R532">
        <f t="shared" si="89"/>
        <v>0</v>
      </c>
      <c r="S532">
        <f t="shared" si="90"/>
        <v>4719.3269</v>
      </c>
    </row>
    <row r="533" spans="1:19" x14ac:dyDescent="0.3">
      <c r="A533" t="s">
        <v>13</v>
      </c>
      <c r="B533" t="s">
        <v>33</v>
      </c>
      <c r="C533" t="s">
        <v>15</v>
      </c>
      <c r="D533">
        <v>1</v>
      </c>
      <c r="E533">
        <v>30</v>
      </c>
      <c r="F533">
        <v>4</v>
      </c>
      <c r="G533">
        <v>20260331</v>
      </c>
      <c r="H533">
        <v>20260504</v>
      </c>
      <c r="I533">
        <v>9258.4372999999996</v>
      </c>
      <c r="J533">
        <f t="shared" si="81"/>
        <v>35</v>
      </c>
      <c r="K533">
        <f t="shared" si="82"/>
        <v>264.52677999999997</v>
      </c>
      <c r="L533">
        <f t="shared" si="83"/>
        <v>426.23161490859087</v>
      </c>
      <c r="M533">
        <f t="shared" si="84"/>
        <v>7935.8033999999989</v>
      </c>
      <c r="N533">
        <f t="shared" si="85"/>
        <v>795.16265902612326</v>
      </c>
      <c r="O533">
        <f t="shared" si="86"/>
        <v>9157.1976739347137</v>
      </c>
      <c r="P533">
        <f t="shared" si="87"/>
        <v>430.9439221937526</v>
      </c>
      <c r="Q533">
        <f t="shared" si="88"/>
        <v>8023.5396046066217</v>
      </c>
      <c r="R533">
        <f t="shared" si="89"/>
        <v>803.95377319962483</v>
      </c>
      <c r="S533">
        <f t="shared" si="90"/>
        <v>9258.4372999999978</v>
      </c>
    </row>
    <row r="534" spans="1:19" x14ac:dyDescent="0.3">
      <c r="A534" t="s">
        <v>13</v>
      </c>
      <c r="B534" t="s">
        <v>24</v>
      </c>
      <c r="C534" t="s">
        <v>15</v>
      </c>
      <c r="D534">
        <v>14</v>
      </c>
      <c r="E534">
        <v>1</v>
      </c>
      <c r="F534">
        <v>0</v>
      </c>
      <c r="G534">
        <v>20260318</v>
      </c>
      <c r="H534">
        <v>20260401</v>
      </c>
      <c r="I534">
        <v>865.89980000000003</v>
      </c>
      <c r="J534">
        <f t="shared" si="81"/>
        <v>15</v>
      </c>
      <c r="K534">
        <f t="shared" si="82"/>
        <v>57.726653333333338</v>
      </c>
      <c r="L534">
        <f t="shared" si="83"/>
        <v>1302.2082128300615</v>
      </c>
      <c r="M534">
        <f t="shared" si="84"/>
        <v>57.726653333333338</v>
      </c>
      <c r="N534">
        <f t="shared" si="85"/>
        <v>0</v>
      </c>
      <c r="O534">
        <f t="shared" si="86"/>
        <v>1359.9348661633949</v>
      </c>
      <c r="P534">
        <f t="shared" si="87"/>
        <v>829.14399733643552</v>
      </c>
      <c r="Q534">
        <f t="shared" si="88"/>
        <v>36.755802663564452</v>
      </c>
      <c r="R534">
        <f t="shared" si="89"/>
        <v>0</v>
      </c>
      <c r="S534">
        <f t="shared" si="90"/>
        <v>865.89979999999991</v>
      </c>
    </row>
    <row r="535" spans="1:19" x14ac:dyDescent="0.3">
      <c r="A535" t="s">
        <v>13</v>
      </c>
      <c r="B535" t="s">
        <v>33</v>
      </c>
      <c r="C535" t="s">
        <v>15</v>
      </c>
      <c r="D535">
        <v>0</v>
      </c>
      <c r="E535">
        <v>16</v>
      </c>
      <c r="F535">
        <v>4</v>
      </c>
      <c r="G535">
        <v>20260415</v>
      </c>
      <c r="H535">
        <v>20260504</v>
      </c>
      <c r="I535">
        <v>26304.8177</v>
      </c>
      <c r="J535">
        <f t="shared" si="81"/>
        <v>20</v>
      </c>
      <c r="K535">
        <f t="shared" si="82"/>
        <v>1315.2408849999999</v>
      </c>
      <c r="L535">
        <f t="shared" si="83"/>
        <v>0</v>
      </c>
      <c r="M535">
        <f t="shared" si="84"/>
        <v>21043.854159999999</v>
      </c>
      <c r="N535">
        <f t="shared" si="85"/>
        <v>3953.5900273555353</v>
      </c>
      <c r="O535">
        <f t="shared" si="86"/>
        <v>24997.444187355533</v>
      </c>
      <c r="P535">
        <f t="shared" si="87"/>
        <v>0</v>
      </c>
      <c r="Q535">
        <f t="shared" si="88"/>
        <v>22144.453778366325</v>
      </c>
      <c r="R535">
        <f t="shared" si="89"/>
        <v>4160.3639216336742</v>
      </c>
      <c r="S535">
        <f t="shared" si="90"/>
        <v>26304.8177</v>
      </c>
    </row>
    <row r="536" spans="1:19" x14ac:dyDescent="0.3">
      <c r="A536" t="s">
        <v>13</v>
      </c>
      <c r="B536" t="s">
        <v>24</v>
      </c>
      <c r="C536" t="s">
        <v>14</v>
      </c>
      <c r="D536">
        <v>8</v>
      </c>
      <c r="E536">
        <v>1</v>
      </c>
      <c r="F536">
        <v>0</v>
      </c>
      <c r="G536">
        <v>20260324</v>
      </c>
      <c r="H536">
        <v>20260401</v>
      </c>
      <c r="I536">
        <v>6203.1157999999996</v>
      </c>
      <c r="J536">
        <f t="shared" si="81"/>
        <v>9</v>
      </c>
      <c r="K536">
        <f t="shared" si="82"/>
        <v>689.23508888888887</v>
      </c>
      <c r="L536">
        <f t="shared" si="83"/>
        <v>8884.5079500465636</v>
      </c>
      <c r="M536">
        <f t="shared" si="84"/>
        <v>689.23508888888887</v>
      </c>
      <c r="N536">
        <f t="shared" si="85"/>
        <v>0</v>
      </c>
      <c r="O536">
        <f t="shared" si="86"/>
        <v>9573.7430389354522</v>
      </c>
      <c r="P536">
        <f t="shared" si="87"/>
        <v>5756.5396748195526</v>
      </c>
      <c r="Q536">
        <f t="shared" si="88"/>
        <v>446.57612518044687</v>
      </c>
      <c r="R536">
        <f t="shared" si="89"/>
        <v>0</v>
      </c>
      <c r="S536">
        <f t="shared" si="90"/>
        <v>6203.1157999999996</v>
      </c>
    </row>
    <row r="537" spans="1:19" x14ac:dyDescent="0.3">
      <c r="A537" t="s">
        <v>13</v>
      </c>
      <c r="B537" t="s">
        <v>33</v>
      </c>
      <c r="C537" t="s">
        <v>15</v>
      </c>
      <c r="D537">
        <v>0</v>
      </c>
      <c r="E537">
        <v>30</v>
      </c>
      <c r="F537">
        <v>1</v>
      </c>
      <c r="G537">
        <v>20260401</v>
      </c>
      <c r="H537">
        <v>20260501</v>
      </c>
      <c r="I537">
        <v>30443.4951</v>
      </c>
      <c r="J537">
        <f t="shared" si="81"/>
        <v>31</v>
      </c>
      <c r="K537">
        <f t="shared" si="82"/>
        <v>982.04822903225806</v>
      </c>
      <c r="L537">
        <f t="shared" si="83"/>
        <v>0</v>
      </c>
      <c r="M537">
        <f t="shared" si="84"/>
        <v>29461.446870967742</v>
      </c>
      <c r="N537">
        <f t="shared" si="85"/>
        <v>738.0047504917892</v>
      </c>
      <c r="O537">
        <f t="shared" si="86"/>
        <v>30199.451621459531</v>
      </c>
      <c r="P537">
        <f t="shared" si="87"/>
        <v>0</v>
      </c>
      <c r="Q537">
        <f t="shared" si="88"/>
        <v>29699.526491331348</v>
      </c>
      <c r="R537">
        <f t="shared" si="89"/>
        <v>743.96860866865177</v>
      </c>
      <c r="S537">
        <f t="shared" si="90"/>
        <v>30443.4951</v>
      </c>
    </row>
    <row r="538" spans="1:19" x14ac:dyDescent="0.3">
      <c r="A538" t="s">
        <v>13</v>
      </c>
      <c r="B538" t="s">
        <v>33</v>
      </c>
      <c r="C538" t="s">
        <v>15</v>
      </c>
      <c r="D538">
        <v>0</v>
      </c>
      <c r="E538">
        <v>9</v>
      </c>
      <c r="F538">
        <v>5</v>
      </c>
      <c r="G538">
        <v>20260422</v>
      </c>
      <c r="H538">
        <v>20260505</v>
      </c>
      <c r="I538">
        <v>3586.1678999999999</v>
      </c>
      <c r="J538">
        <f t="shared" si="81"/>
        <v>14</v>
      </c>
      <c r="K538">
        <f t="shared" si="82"/>
        <v>256.15485000000001</v>
      </c>
      <c r="L538">
        <f t="shared" si="83"/>
        <v>0</v>
      </c>
      <c r="M538">
        <f t="shared" si="84"/>
        <v>2305.39365</v>
      </c>
      <c r="N538">
        <f t="shared" si="85"/>
        <v>962.49598834774758</v>
      </c>
      <c r="O538">
        <f t="shared" si="86"/>
        <v>3267.8896383477477</v>
      </c>
      <c r="P538">
        <f t="shared" si="87"/>
        <v>0</v>
      </c>
      <c r="Q538">
        <f t="shared" si="88"/>
        <v>2529.9289815288612</v>
      </c>
      <c r="R538">
        <f t="shared" si="89"/>
        <v>1056.238918471139</v>
      </c>
      <c r="S538">
        <f t="shared" si="90"/>
        <v>3586.1679000000004</v>
      </c>
    </row>
    <row r="539" spans="1:19" x14ac:dyDescent="0.3">
      <c r="A539" t="s">
        <v>13</v>
      </c>
      <c r="B539" t="s">
        <v>33</v>
      </c>
      <c r="C539" t="s">
        <v>15</v>
      </c>
      <c r="D539">
        <v>7</v>
      </c>
      <c r="E539">
        <v>1</v>
      </c>
      <c r="F539">
        <v>0</v>
      </c>
      <c r="G539">
        <v>20260325</v>
      </c>
      <c r="H539">
        <v>20260401</v>
      </c>
      <c r="I539">
        <v>1649.1950999999999</v>
      </c>
      <c r="J539">
        <f t="shared" si="81"/>
        <v>8</v>
      </c>
      <c r="K539">
        <f t="shared" si="82"/>
        <v>206.14938749999999</v>
      </c>
      <c r="L539">
        <f t="shared" si="83"/>
        <v>2325.1774524522361</v>
      </c>
      <c r="M539">
        <f t="shared" si="84"/>
        <v>206.14938749999999</v>
      </c>
      <c r="N539">
        <f t="shared" si="85"/>
        <v>0</v>
      </c>
      <c r="O539">
        <f t="shared" si="86"/>
        <v>2531.3268399522362</v>
      </c>
      <c r="P539">
        <f t="shared" si="87"/>
        <v>1514.8858696125812</v>
      </c>
      <c r="Q539">
        <f t="shared" si="88"/>
        <v>134.30923038741861</v>
      </c>
      <c r="R539">
        <f t="shared" si="89"/>
        <v>0</v>
      </c>
      <c r="S539">
        <f t="shared" si="90"/>
        <v>1649.1950999999999</v>
      </c>
    </row>
    <row r="540" spans="1:19" x14ac:dyDescent="0.3">
      <c r="A540" t="s">
        <v>13</v>
      </c>
      <c r="B540" t="s">
        <v>33</v>
      </c>
      <c r="C540" t="s">
        <v>15</v>
      </c>
      <c r="D540">
        <v>6</v>
      </c>
      <c r="E540">
        <v>30</v>
      </c>
      <c r="F540">
        <v>2</v>
      </c>
      <c r="G540">
        <v>20260326</v>
      </c>
      <c r="H540">
        <v>20260502</v>
      </c>
      <c r="I540">
        <v>2060.5621999999998</v>
      </c>
      <c r="J540">
        <f t="shared" si="81"/>
        <v>38</v>
      </c>
      <c r="K540">
        <f t="shared" si="82"/>
        <v>54.225321052631578</v>
      </c>
      <c r="L540">
        <f t="shared" si="83"/>
        <v>524.23908447832696</v>
      </c>
      <c r="M540">
        <f t="shared" si="84"/>
        <v>1626.7596315789474</v>
      </c>
      <c r="N540">
        <f t="shared" si="85"/>
        <v>81.500161297006969</v>
      </c>
      <c r="O540">
        <f t="shared" si="86"/>
        <v>2232.4988773542814</v>
      </c>
      <c r="P540">
        <f t="shared" si="87"/>
        <v>483.8646290916916</v>
      </c>
      <c r="Q540">
        <f t="shared" si="88"/>
        <v>1501.4741728739336</v>
      </c>
      <c r="R540">
        <f t="shared" si="89"/>
        <v>75.223398034374597</v>
      </c>
      <c r="S540">
        <f t="shared" si="90"/>
        <v>2060.5621999999998</v>
      </c>
    </row>
    <row r="541" spans="1:19" x14ac:dyDescent="0.3">
      <c r="A541" t="s">
        <v>13</v>
      </c>
      <c r="B541" t="s">
        <v>24</v>
      </c>
      <c r="C541" t="s">
        <v>14</v>
      </c>
      <c r="D541">
        <v>2</v>
      </c>
      <c r="E541">
        <v>30</v>
      </c>
      <c r="F541">
        <v>3</v>
      </c>
      <c r="G541">
        <v>20260330</v>
      </c>
      <c r="H541">
        <v>20260503</v>
      </c>
      <c r="I541">
        <v>9.6399000000000008</v>
      </c>
      <c r="J541">
        <f t="shared" si="81"/>
        <v>35</v>
      </c>
      <c r="K541">
        <f t="shared" si="82"/>
        <v>0.27542571428571433</v>
      </c>
      <c r="L541">
        <f t="shared" si="83"/>
        <v>0.88758610366294233</v>
      </c>
      <c r="M541">
        <f t="shared" si="84"/>
        <v>8.2627714285714298</v>
      </c>
      <c r="N541">
        <f t="shared" si="85"/>
        <v>0.6209434920037149</v>
      </c>
      <c r="O541">
        <f t="shared" si="86"/>
        <v>9.7713010242380864</v>
      </c>
      <c r="P541">
        <f t="shared" si="87"/>
        <v>0.87565015748428121</v>
      </c>
      <c r="Q541">
        <f t="shared" si="88"/>
        <v>8.1516565805009158</v>
      </c>
      <c r="R541">
        <f t="shared" si="89"/>
        <v>0.61259326201480468</v>
      </c>
      <c r="S541">
        <f t="shared" si="90"/>
        <v>9.6399000000000026</v>
      </c>
    </row>
    <row r="542" spans="1:19" x14ac:dyDescent="0.3">
      <c r="A542" t="s">
        <v>13</v>
      </c>
      <c r="B542" t="s">
        <v>33</v>
      </c>
      <c r="C542" t="s">
        <v>15</v>
      </c>
      <c r="D542">
        <v>0</v>
      </c>
      <c r="E542">
        <v>16</v>
      </c>
      <c r="F542">
        <v>1</v>
      </c>
      <c r="G542">
        <v>20260415</v>
      </c>
      <c r="H542">
        <v>20260501</v>
      </c>
      <c r="I542">
        <v>13724.022800000001</v>
      </c>
      <c r="J542">
        <f t="shared" si="81"/>
        <v>17</v>
      </c>
      <c r="K542">
        <f t="shared" si="82"/>
        <v>807.29545882352943</v>
      </c>
      <c r="L542">
        <f t="shared" si="83"/>
        <v>0</v>
      </c>
      <c r="M542">
        <f t="shared" si="84"/>
        <v>12916.727341176471</v>
      </c>
      <c r="N542">
        <f t="shared" si="85"/>
        <v>606.6788433082578</v>
      </c>
      <c r="O542">
        <f t="shared" si="86"/>
        <v>13523.406184484729</v>
      </c>
      <c r="P542">
        <f t="shared" si="87"/>
        <v>0</v>
      </c>
      <c r="Q542">
        <f t="shared" si="88"/>
        <v>13108.344015804892</v>
      </c>
      <c r="R542">
        <f t="shared" si="89"/>
        <v>615.6787841951076</v>
      </c>
      <c r="S542">
        <f t="shared" si="90"/>
        <v>13724.022800000001</v>
      </c>
    </row>
    <row r="543" spans="1:19" x14ac:dyDescent="0.3">
      <c r="A543" t="s">
        <v>13</v>
      </c>
      <c r="B543" t="s">
        <v>33</v>
      </c>
      <c r="C543" t="s">
        <v>15</v>
      </c>
      <c r="D543">
        <v>0</v>
      </c>
      <c r="E543">
        <v>15</v>
      </c>
      <c r="F543">
        <v>6</v>
      </c>
      <c r="G543">
        <v>20260416</v>
      </c>
      <c r="H543">
        <v>20260506</v>
      </c>
      <c r="I543">
        <v>12960.5859</v>
      </c>
      <c r="J543">
        <f t="shared" si="81"/>
        <v>21</v>
      </c>
      <c r="K543">
        <f t="shared" si="82"/>
        <v>617.17075714285716</v>
      </c>
      <c r="L543">
        <f t="shared" si="83"/>
        <v>0</v>
      </c>
      <c r="M543">
        <f t="shared" si="84"/>
        <v>9257.5613571428567</v>
      </c>
      <c r="N543">
        <f t="shared" si="85"/>
        <v>2782.8059997718196</v>
      </c>
      <c r="O543">
        <f t="shared" si="86"/>
        <v>12040.367356914676</v>
      </c>
      <c r="P543">
        <f t="shared" si="87"/>
        <v>0</v>
      </c>
      <c r="Q543">
        <f t="shared" si="88"/>
        <v>9965.0962165091387</v>
      </c>
      <c r="R543">
        <f t="shared" si="89"/>
        <v>2995.4896834908623</v>
      </c>
      <c r="S543">
        <f t="shared" si="90"/>
        <v>12960.585900000002</v>
      </c>
    </row>
    <row r="544" spans="1:19" x14ac:dyDescent="0.3">
      <c r="A544" t="s">
        <v>13</v>
      </c>
      <c r="B544" t="s">
        <v>24</v>
      </c>
      <c r="C544" t="s">
        <v>15</v>
      </c>
      <c r="D544">
        <v>9</v>
      </c>
      <c r="E544">
        <v>2</v>
      </c>
      <c r="F544">
        <v>0</v>
      </c>
      <c r="G544">
        <v>20260323</v>
      </c>
      <c r="H544">
        <v>20260402</v>
      </c>
      <c r="I544">
        <v>484.11869999999999</v>
      </c>
      <c r="J544">
        <f t="shared" si="81"/>
        <v>11</v>
      </c>
      <c r="K544">
        <f t="shared" si="82"/>
        <v>44.010790909090908</v>
      </c>
      <c r="L544">
        <f t="shared" si="83"/>
        <v>638.23070897878597</v>
      </c>
      <c r="M544">
        <f t="shared" si="84"/>
        <v>88.021581818181815</v>
      </c>
      <c r="N544">
        <f t="shared" si="85"/>
        <v>0</v>
      </c>
      <c r="O544">
        <f t="shared" si="86"/>
        <v>726.25229079696783</v>
      </c>
      <c r="P544">
        <f t="shared" si="87"/>
        <v>425.44364409759493</v>
      </c>
      <c r="Q544">
        <f t="shared" si="88"/>
        <v>58.675055902405049</v>
      </c>
      <c r="R544">
        <f t="shared" si="89"/>
        <v>0</v>
      </c>
      <c r="S544">
        <f t="shared" si="90"/>
        <v>484.11869999999999</v>
      </c>
    </row>
    <row r="545" spans="1:19" x14ac:dyDescent="0.3">
      <c r="A545" t="s">
        <v>13</v>
      </c>
      <c r="B545" t="s">
        <v>33</v>
      </c>
      <c r="C545" t="s">
        <v>15</v>
      </c>
      <c r="D545">
        <v>21</v>
      </c>
      <c r="E545">
        <v>1</v>
      </c>
      <c r="F545">
        <v>0</v>
      </c>
      <c r="G545">
        <v>20260311</v>
      </c>
      <c r="H545">
        <v>20260401</v>
      </c>
      <c r="I545">
        <v>4126.7964000000002</v>
      </c>
      <c r="J545">
        <f t="shared" si="81"/>
        <v>22</v>
      </c>
      <c r="K545">
        <f t="shared" si="82"/>
        <v>187.58165454545454</v>
      </c>
      <c r="L545">
        <f t="shared" si="83"/>
        <v>6347.2509755981027</v>
      </c>
      <c r="M545">
        <f t="shared" si="84"/>
        <v>187.58165454545454</v>
      </c>
      <c r="N545">
        <f t="shared" si="85"/>
        <v>0</v>
      </c>
      <c r="O545">
        <f t="shared" si="86"/>
        <v>6534.8326301435573</v>
      </c>
      <c r="P545">
        <f t="shared" si="87"/>
        <v>4008.3371615623632</v>
      </c>
      <c r="Q545">
        <f t="shared" si="88"/>
        <v>118.4592384376369</v>
      </c>
      <c r="R545">
        <f t="shared" si="89"/>
        <v>0</v>
      </c>
      <c r="S545">
        <f t="shared" si="90"/>
        <v>4126.7964000000002</v>
      </c>
    </row>
    <row r="546" spans="1:19" x14ac:dyDescent="0.3">
      <c r="A546" t="s">
        <v>13</v>
      </c>
      <c r="B546" t="s">
        <v>24</v>
      </c>
      <c r="C546" t="s">
        <v>15</v>
      </c>
      <c r="D546">
        <v>21</v>
      </c>
      <c r="E546">
        <v>1</v>
      </c>
      <c r="F546">
        <v>0</v>
      </c>
      <c r="G546">
        <v>20260311</v>
      </c>
      <c r="H546">
        <v>20260401</v>
      </c>
      <c r="I546">
        <v>86662.722599999994</v>
      </c>
      <c r="J546">
        <f t="shared" si="81"/>
        <v>22</v>
      </c>
      <c r="K546">
        <f t="shared" si="82"/>
        <v>3939.2146636363632</v>
      </c>
      <c r="L546">
        <f t="shared" si="83"/>
        <v>133292.26771905631</v>
      </c>
      <c r="M546">
        <f t="shared" si="84"/>
        <v>3939.2146636363632</v>
      </c>
      <c r="N546">
        <f t="shared" si="85"/>
        <v>0</v>
      </c>
      <c r="O546">
        <f t="shared" si="86"/>
        <v>137231.48238269269</v>
      </c>
      <c r="P546">
        <f t="shared" si="87"/>
        <v>84175.078644478417</v>
      </c>
      <c r="Q546">
        <f t="shared" si="88"/>
        <v>2487.6439555215711</v>
      </c>
      <c r="R546">
        <f t="shared" si="89"/>
        <v>0</v>
      </c>
      <c r="S546">
        <f t="shared" si="90"/>
        <v>86662.722599999994</v>
      </c>
    </row>
    <row r="547" spans="1:19" x14ac:dyDescent="0.3">
      <c r="A547" t="s">
        <v>13</v>
      </c>
      <c r="B547" t="s">
        <v>33</v>
      </c>
      <c r="C547" t="s">
        <v>15</v>
      </c>
      <c r="D547">
        <v>0</v>
      </c>
      <c r="E547">
        <v>9</v>
      </c>
      <c r="F547">
        <v>1</v>
      </c>
      <c r="G547">
        <v>20260422</v>
      </c>
      <c r="H547">
        <v>20260501</v>
      </c>
      <c r="I547">
        <v>1265.8249000000001</v>
      </c>
      <c r="J547">
        <f t="shared" si="81"/>
        <v>10</v>
      </c>
      <c r="K547">
        <f t="shared" si="82"/>
        <v>126.58249000000001</v>
      </c>
      <c r="L547">
        <f t="shared" si="83"/>
        <v>0</v>
      </c>
      <c r="M547">
        <f t="shared" si="84"/>
        <v>1139.2424100000001</v>
      </c>
      <c r="N547">
        <f t="shared" si="85"/>
        <v>95.126162022752169</v>
      </c>
      <c r="O547">
        <f t="shared" si="86"/>
        <v>1234.3685720227522</v>
      </c>
      <c r="P547">
        <f t="shared" si="87"/>
        <v>0</v>
      </c>
      <c r="Q547">
        <f t="shared" si="88"/>
        <v>1168.2745675798269</v>
      </c>
      <c r="R547">
        <f t="shared" si="89"/>
        <v>97.550332420173277</v>
      </c>
      <c r="S547">
        <f t="shared" si="90"/>
        <v>1265.8249000000001</v>
      </c>
    </row>
    <row r="548" spans="1:19" x14ac:dyDescent="0.3">
      <c r="A548" t="s">
        <v>13</v>
      </c>
      <c r="B548" t="s">
        <v>33</v>
      </c>
      <c r="C548" t="s">
        <v>15</v>
      </c>
      <c r="D548">
        <v>0</v>
      </c>
      <c r="E548">
        <v>16</v>
      </c>
      <c r="F548">
        <v>7</v>
      </c>
      <c r="G548">
        <v>20260415</v>
      </c>
      <c r="H548">
        <v>20260507</v>
      </c>
      <c r="I548">
        <v>4095.422</v>
      </c>
      <c r="J548">
        <f t="shared" si="81"/>
        <v>23</v>
      </c>
      <c r="K548">
        <f t="shared" si="82"/>
        <v>178.06182608695653</v>
      </c>
      <c r="L548">
        <f t="shared" si="83"/>
        <v>0</v>
      </c>
      <c r="M548">
        <f t="shared" si="84"/>
        <v>2848.9892173913045</v>
      </c>
      <c r="N548">
        <f t="shared" si="85"/>
        <v>936.68853274180833</v>
      </c>
      <c r="O548">
        <f t="shared" si="86"/>
        <v>3785.6777501331126</v>
      </c>
      <c r="P548">
        <f t="shared" si="87"/>
        <v>0</v>
      </c>
      <c r="Q548">
        <f t="shared" si="88"/>
        <v>3082.0935876691738</v>
      </c>
      <c r="R548">
        <f t="shared" si="89"/>
        <v>1013.3284123308265</v>
      </c>
      <c r="S548">
        <f t="shared" si="90"/>
        <v>4095.4220000000005</v>
      </c>
    </row>
    <row r="549" spans="1:19" x14ac:dyDescent="0.3">
      <c r="A549" t="s">
        <v>13</v>
      </c>
      <c r="B549" t="s">
        <v>33</v>
      </c>
      <c r="C549" t="s">
        <v>15</v>
      </c>
      <c r="D549">
        <v>20</v>
      </c>
      <c r="E549">
        <v>1</v>
      </c>
      <c r="F549">
        <v>0</v>
      </c>
      <c r="G549">
        <v>20260312</v>
      </c>
      <c r="H549">
        <v>20260401</v>
      </c>
      <c r="I549">
        <v>236.65790000000001</v>
      </c>
      <c r="J549">
        <f t="shared" si="81"/>
        <v>21</v>
      </c>
      <c r="K549">
        <f t="shared" si="82"/>
        <v>11.26942380952381</v>
      </c>
      <c r="L549">
        <f t="shared" si="83"/>
        <v>363.16812304770485</v>
      </c>
      <c r="M549">
        <f t="shared" si="84"/>
        <v>11.26942380952381</v>
      </c>
      <c r="N549">
        <f t="shared" si="85"/>
        <v>0</v>
      </c>
      <c r="O549">
        <f t="shared" si="86"/>
        <v>374.43754685722865</v>
      </c>
      <c r="P549">
        <f t="shared" si="87"/>
        <v>229.53522174468921</v>
      </c>
      <c r="Q549">
        <f t="shared" si="88"/>
        <v>7.1226782553108103</v>
      </c>
      <c r="R549">
        <f t="shared" si="89"/>
        <v>0</v>
      </c>
      <c r="S549">
        <f t="shared" si="90"/>
        <v>236.65790000000001</v>
      </c>
    </row>
    <row r="550" spans="1:19" x14ac:dyDescent="0.3">
      <c r="A550" t="s">
        <v>13</v>
      </c>
      <c r="B550" t="s">
        <v>33</v>
      </c>
      <c r="C550" t="s">
        <v>15</v>
      </c>
      <c r="D550">
        <v>18</v>
      </c>
      <c r="E550">
        <v>8</v>
      </c>
      <c r="F550">
        <v>0</v>
      </c>
      <c r="G550">
        <v>20260314</v>
      </c>
      <c r="H550">
        <v>20260408</v>
      </c>
      <c r="I550">
        <v>427.4898</v>
      </c>
      <c r="J550">
        <f t="shared" si="81"/>
        <v>26</v>
      </c>
      <c r="K550">
        <f t="shared" si="82"/>
        <v>16.441915384615385</v>
      </c>
      <c r="L550">
        <f t="shared" si="83"/>
        <v>476.87101713614925</v>
      </c>
      <c r="M550">
        <f t="shared" si="84"/>
        <v>131.53532307692308</v>
      </c>
      <c r="N550">
        <f t="shared" si="85"/>
        <v>0</v>
      </c>
      <c r="O550">
        <f t="shared" si="86"/>
        <v>608.40634021307233</v>
      </c>
      <c r="P550">
        <f t="shared" si="87"/>
        <v>335.06800022816219</v>
      </c>
      <c r="Q550">
        <f t="shared" si="88"/>
        <v>92.421799771837854</v>
      </c>
      <c r="R550">
        <f t="shared" si="89"/>
        <v>0</v>
      </c>
      <c r="S550">
        <f t="shared" si="90"/>
        <v>427.48980000000006</v>
      </c>
    </row>
    <row r="551" spans="1:19" x14ac:dyDescent="0.3">
      <c r="A551" t="s">
        <v>13</v>
      </c>
      <c r="B551" t="s">
        <v>33</v>
      </c>
      <c r="C551" t="s">
        <v>15</v>
      </c>
      <c r="D551">
        <v>0</v>
      </c>
      <c r="E551">
        <v>7</v>
      </c>
      <c r="F551">
        <v>5</v>
      </c>
      <c r="G551">
        <v>20260424</v>
      </c>
      <c r="H551">
        <v>20260505</v>
      </c>
      <c r="I551">
        <v>590.34479999999996</v>
      </c>
      <c r="J551">
        <f t="shared" si="81"/>
        <v>12</v>
      </c>
      <c r="K551">
        <f t="shared" si="82"/>
        <v>49.195399999999999</v>
      </c>
      <c r="L551">
        <f t="shared" si="83"/>
        <v>0</v>
      </c>
      <c r="M551">
        <f t="shared" si="84"/>
        <v>344.36779999999999</v>
      </c>
      <c r="N551">
        <f t="shared" si="85"/>
        <v>184.85058996604118</v>
      </c>
      <c r="O551">
        <f t="shared" si="86"/>
        <v>529.21838996604117</v>
      </c>
      <c r="P551">
        <f t="shared" si="87"/>
        <v>0</v>
      </c>
      <c r="Q551">
        <f t="shared" si="88"/>
        <v>384.14337799275086</v>
      </c>
      <c r="R551">
        <f t="shared" si="89"/>
        <v>206.20142200724908</v>
      </c>
      <c r="S551">
        <f t="shared" si="90"/>
        <v>590.34479999999996</v>
      </c>
    </row>
    <row r="552" spans="1:19" x14ac:dyDescent="0.3">
      <c r="A552" t="s">
        <v>13</v>
      </c>
      <c r="B552" t="s">
        <v>33</v>
      </c>
      <c r="C552" t="s">
        <v>15</v>
      </c>
      <c r="D552">
        <v>0</v>
      </c>
      <c r="E552">
        <v>7</v>
      </c>
      <c r="F552">
        <v>4</v>
      </c>
      <c r="G552">
        <v>20260424</v>
      </c>
      <c r="H552">
        <v>20260504</v>
      </c>
      <c r="I552">
        <v>2867.5232000000001</v>
      </c>
      <c r="J552">
        <f t="shared" si="81"/>
        <v>11</v>
      </c>
      <c r="K552">
        <f t="shared" si="82"/>
        <v>260.68392727272726</v>
      </c>
      <c r="L552">
        <f t="shared" si="83"/>
        <v>0</v>
      </c>
      <c r="M552">
        <f t="shared" si="84"/>
        <v>1824.7874909090908</v>
      </c>
      <c r="N552">
        <f t="shared" si="85"/>
        <v>783.61111406396878</v>
      </c>
      <c r="O552">
        <f t="shared" si="86"/>
        <v>2608.3986049730597</v>
      </c>
      <c r="P552">
        <f t="shared" si="87"/>
        <v>0</v>
      </c>
      <c r="Q552">
        <f t="shared" si="88"/>
        <v>2006.0662719552602</v>
      </c>
      <c r="R552">
        <f t="shared" si="89"/>
        <v>861.45692804473981</v>
      </c>
      <c r="S552">
        <f t="shared" si="90"/>
        <v>2867.5232000000001</v>
      </c>
    </row>
    <row r="553" spans="1:19" x14ac:dyDescent="0.3">
      <c r="A553" t="s">
        <v>13</v>
      </c>
      <c r="B553" t="s">
        <v>33</v>
      </c>
      <c r="C553" t="s">
        <v>14</v>
      </c>
      <c r="D553">
        <v>0</v>
      </c>
      <c r="E553">
        <v>18</v>
      </c>
      <c r="F553">
        <v>3</v>
      </c>
      <c r="G553">
        <v>20260413</v>
      </c>
      <c r="H553">
        <v>20260503</v>
      </c>
      <c r="I553">
        <v>42.2258</v>
      </c>
      <c r="J553">
        <f t="shared" si="81"/>
        <v>21</v>
      </c>
      <c r="K553">
        <f t="shared" si="82"/>
        <v>2.0107523809523808</v>
      </c>
      <c r="L553">
        <f t="shared" si="83"/>
        <v>0</v>
      </c>
      <c r="M553">
        <f t="shared" si="84"/>
        <v>36.193542857142859</v>
      </c>
      <c r="N553">
        <f t="shared" si="85"/>
        <v>4.5332136406412342</v>
      </c>
      <c r="O553">
        <f t="shared" si="86"/>
        <v>40.726756497784095</v>
      </c>
      <c r="P553">
        <f t="shared" si="87"/>
        <v>0</v>
      </c>
      <c r="Q553">
        <f t="shared" si="88"/>
        <v>37.52573083153078</v>
      </c>
      <c r="R553">
        <f t="shared" si="89"/>
        <v>4.7000691684692235</v>
      </c>
      <c r="S553">
        <f t="shared" si="90"/>
        <v>42.225800000000007</v>
      </c>
    </row>
    <row r="554" spans="1:19" x14ac:dyDescent="0.3">
      <c r="A554" t="s">
        <v>13</v>
      </c>
      <c r="B554" t="s">
        <v>24</v>
      </c>
      <c r="C554" t="s">
        <v>15</v>
      </c>
      <c r="D554">
        <v>16</v>
      </c>
      <c r="E554">
        <v>8</v>
      </c>
      <c r="F554">
        <v>0</v>
      </c>
      <c r="G554">
        <v>20260316</v>
      </c>
      <c r="H554">
        <v>20260408</v>
      </c>
      <c r="I554">
        <v>982.61670000000004</v>
      </c>
      <c r="J554">
        <f t="shared" si="81"/>
        <v>24</v>
      </c>
      <c r="K554">
        <f t="shared" si="82"/>
        <v>40.942362500000002</v>
      </c>
      <c r="L554">
        <f t="shared" si="83"/>
        <v>1055.5259039737562</v>
      </c>
      <c r="M554">
        <f t="shared" si="84"/>
        <v>327.53890000000001</v>
      </c>
      <c r="N554">
        <f t="shared" si="85"/>
        <v>0</v>
      </c>
      <c r="O554">
        <f t="shared" si="86"/>
        <v>1383.0648039737562</v>
      </c>
      <c r="P554">
        <f t="shared" si="87"/>
        <v>749.91235229704375</v>
      </c>
      <c r="Q554">
        <f t="shared" si="88"/>
        <v>232.70434770295628</v>
      </c>
      <c r="R554">
        <f t="shared" si="89"/>
        <v>0</v>
      </c>
      <c r="S554">
        <f t="shared" si="90"/>
        <v>982.61670000000004</v>
      </c>
    </row>
    <row r="555" spans="1:19" x14ac:dyDescent="0.3">
      <c r="A555" t="s">
        <v>13</v>
      </c>
      <c r="B555" t="s">
        <v>33</v>
      </c>
      <c r="C555" t="s">
        <v>14</v>
      </c>
      <c r="D555">
        <v>0</v>
      </c>
      <c r="E555">
        <v>21</v>
      </c>
      <c r="F555">
        <v>0</v>
      </c>
      <c r="G555">
        <v>20260404</v>
      </c>
      <c r="H555">
        <v>20260424</v>
      </c>
      <c r="I555">
        <v>1860.4675</v>
      </c>
      <c r="J555">
        <f t="shared" si="81"/>
        <v>21</v>
      </c>
      <c r="K555">
        <f t="shared" si="82"/>
        <v>88.593690476190474</v>
      </c>
      <c r="L555">
        <f t="shared" si="83"/>
        <v>0</v>
      </c>
      <c r="M555">
        <f t="shared" si="84"/>
        <v>1860.4675</v>
      </c>
      <c r="N555">
        <f t="shared" si="85"/>
        <v>0</v>
      </c>
      <c r="O555">
        <f t="shared" si="86"/>
        <v>1860.4675</v>
      </c>
      <c r="P555">
        <f t="shared" si="87"/>
        <v>0</v>
      </c>
      <c r="Q555">
        <f t="shared" si="88"/>
        <v>1860.4675</v>
      </c>
      <c r="R555">
        <f t="shared" si="89"/>
        <v>0</v>
      </c>
      <c r="S555">
        <f t="shared" si="90"/>
        <v>1860.4675</v>
      </c>
    </row>
    <row r="556" spans="1:19" x14ac:dyDescent="0.3">
      <c r="A556" t="s">
        <v>13</v>
      </c>
      <c r="B556" t="s">
        <v>33</v>
      </c>
      <c r="C556" t="s">
        <v>15</v>
      </c>
      <c r="D556">
        <v>8</v>
      </c>
      <c r="E556">
        <v>6</v>
      </c>
      <c r="F556">
        <v>0</v>
      </c>
      <c r="G556">
        <v>20260324</v>
      </c>
      <c r="H556">
        <v>20260406</v>
      </c>
      <c r="I556">
        <v>795.6241</v>
      </c>
      <c r="J556">
        <f t="shared" si="81"/>
        <v>14</v>
      </c>
      <c r="K556">
        <f t="shared" si="82"/>
        <v>56.830292857142858</v>
      </c>
      <c r="L556">
        <f t="shared" si="83"/>
        <v>732.56454413358551</v>
      </c>
      <c r="M556">
        <f t="shared" si="84"/>
        <v>340.98175714285713</v>
      </c>
      <c r="N556">
        <f t="shared" si="85"/>
        <v>0</v>
      </c>
      <c r="O556">
        <f t="shared" si="86"/>
        <v>1073.5463012764426</v>
      </c>
      <c r="P556">
        <f t="shared" si="87"/>
        <v>542.91650525477337</v>
      </c>
      <c r="Q556">
        <f t="shared" si="88"/>
        <v>252.70759474522669</v>
      </c>
      <c r="R556">
        <f t="shared" si="89"/>
        <v>0</v>
      </c>
      <c r="S556">
        <f t="shared" si="90"/>
        <v>795.6241</v>
      </c>
    </row>
    <row r="557" spans="1:19" x14ac:dyDescent="0.3">
      <c r="A557" t="s">
        <v>13</v>
      </c>
      <c r="B557" t="s">
        <v>33</v>
      </c>
      <c r="C557" t="s">
        <v>15</v>
      </c>
      <c r="D557">
        <v>13</v>
      </c>
      <c r="E557">
        <v>3</v>
      </c>
      <c r="F557">
        <v>0</v>
      </c>
      <c r="G557">
        <v>20260319</v>
      </c>
      <c r="H557">
        <v>20260403</v>
      </c>
      <c r="I557">
        <v>102.7784</v>
      </c>
      <c r="J557">
        <f t="shared" si="81"/>
        <v>16</v>
      </c>
      <c r="K557">
        <f t="shared" si="82"/>
        <v>6.4236500000000003</v>
      </c>
      <c r="L557">
        <f t="shared" si="83"/>
        <v>134.5554324231309</v>
      </c>
      <c r="M557">
        <f t="shared" si="84"/>
        <v>19.270949999999999</v>
      </c>
      <c r="N557">
        <f t="shared" si="85"/>
        <v>0</v>
      </c>
      <c r="O557">
        <f t="shared" si="86"/>
        <v>153.82638242313089</v>
      </c>
      <c r="P557">
        <f t="shared" si="87"/>
        <v>89.902602127877842</v>
      </c>
      <c r="Q557">
        <f t="shared" si="88"/>
        <v>12.875797872122169</v>
      </c>
      <c r="R557">
        <f t="shared" si="89"/>
        <v>0</v>
      </c>
      <c r="S557">
        <f t="shared" si="90"/>
        <v>102.7784</v>
      </c>
    </row>
    <row r="558" spans="1:19" x14ac:dyDescent="0.3">
      <c r="A558" t="s">
        <v>13</v>
      </c>
      <c r="B558" t="s">
        <v>24</v>
      </c>
      <c r="C558" t="s">
        <v>15</v>
      </c>
      <c r="D558">
        <v>19</v>
      </c>
      <c r="E558">
        <v>3</v>
      </c>
      <c r="F558">
        <v>0</v>
      </c>
      <c r="G558">
        <v>20260313</v>
      </c>
      <c r="H558">
        <v>20260403</v>
      </c>
      <c r="I558">
        <v>4073.6795000000002</v>
      </c>
      <c r="J558">
        <f t="shared" si="81"/>
        <v>22</v>
      </c>
      <c r="K558">
        <f t="shared" si="82"/>
        <v>185.16725</v>
      </c>
      <c r="L558">
        <f t="shared" si="83"/>
        <v>5668.8346787345035</v>
      </c>
      <c r="M558">
        <f t="shared" si="84"/>
        <v>555.50175000000002</v>
      </c>
      <c r="N558">
        <f t="shared" si="85"/>
        <v>0</v>
      </c>
      <c r="O558">
        <f t="shared" si="86"/>
        <v>6224.3364287345039</v>
      </c>
      <c r="P558">
        <f t="shared" si="87"/>
        <v>3710.1168749557728</v>
      </c>
      <c r="Q558">
        <f t="shared" si="88"/>
        <v>363.56262504422699</v>
      </c>
      <c r="R558">
        <f t="shared" si="89"/>
        <v>0</v>
      </c>
      <c r="S558">
        <f t="shared" si="90"/>
        <v>4073.6794999999997</v>
      </c>
    </row>
    <row r="559" spans="1:19" x14ac:dyDescent="0.3">
      <c r="A559" t="s">
        <v>13</v>
      </c>
      <c r="B559" t="s">
        <v>33</v>
      </c>
      <c r="C559" t="s">
        <v>15</v>
      </c>
      <c r="D559">
        <v>14</v>
      </c>
      <c r="E559">
        <v>6</v>
      </c>
      <c r="F559">
        <v>0</v>
      </c>
      <c r="G559">
        <v>20260318</v>
      </c>
      <c r="H559">
        <v>20260406</v>
      </c>
      <c r="I559">
        <v>126.39570000000001</v>
      </c>
      <c r="J559">
        <f t="shared" si="81"/>
        <v>20</v>
      </c>
      <c r="K559">
        <f t="shared" si="82"/>
        <v>6.3197850000000004</v>
      </c>
      <c r="L559">
        <f t="shared" si="83"/>
        <v>142.56284497906506</v>
      </c>
      <c r="M559">
        <f t="shared" si="84"/>
        <v>37.918710000000004</v>
      </c>
      <c r="N559">
        <f t="shared" si="85"/>
        <v>0</v>
      </c>
      <c r="O559">
        <f t="shared" si="86"/>
        <v>180.48155497906507</v>
      </c>
      <c r="P559">
        <f t="shared" si="87"/>
        <v>99.840288871683114</v>
      </c>
      <c r="Q559">
        <f t="shared" si="88"/>
        <v>26.555411128316887</v>
      </c>
      <c r="R559">
        <f t="shared" si="89"/>
        <v>0</v>
      </c>
      <c r="S559">
        <f t="shared" si="90"/>
        <v>126.39570000000001</v>
      </c>
    </row>
    <row r="560" spans="1:19" x14ac:dyDescent="0.3">
      <c r="A560" t="s">
        <v>13</v>
      </c>
      <c r="B560" t="s">
        <v>33</v>
      </c>
      <c r="C560" t="s">
        <v>14</v>
      </c>
      <c r="D560">
        <v>0</v>
      </c>
      <c r="E560">
        <v>9</v>
      </c>
      <c r="F560">
        <v>2</v>
      </c>
      <c r="G560">
        <v>20260422</v>
      </c>
      <c r="H560">
        <v>20260502</v>
      </c>
      <c r="I560">
        <v>84.384399999999999</v>
      </c>
      <c r="J560">
        <f t="shared" si="81"/>
        <v>11</v>
      </c>
      <c r="K560">
        <f t="shared" si="82"/>
        <v>7.6713090909090909</v>
      </c>
      <c r="L560">
        <f t="shared" si="83"/>
        <v>0</v>
      </c>
      <c r="M560">
        <f t="shared" si="84"/>
        <v>69.041781818181818</v>
      </c>
      <c r="N560">
        <f t="shared" si="85"/>
        <v>11.529907359357994</v>
      </c>
      <c r="O560">
        <f t="shared" si="86"/>
        <v>80.57168917753981</v>
      </c>
      <c r="P560">
        <f t="shared" si="87"/>
        <v>0</v>
      </c>
      <c r="Q560">
        <f t="shared" si="88"/>
        <v>72.308889054323728</v>
      </c>
      <c r="R560">
        <f t="shared" si="89"/>
        <v>12.075510945676275</v>
      </c>
      <c r="S560">
        <f t="shared" si="90"/>
        <v>84.384399999999999</v>
      </c>
    </row>
    <row r="561" spans="1:19" x14ac:dyDescent="0.3">
      <c r="A561" t="s">
        <v>13</v>
      </c>
      <c r="B561" t="s">
        <v>33</v>
      </c>
      <c r="C561" t="s">
        <v>14</v>
      </c>
      <c r="D561">
        <v>0</v>
      </c>
      <c r="E561">
        <v>13</v>
      </c>
      <c r="F561">
        <v>2</v>
      </c>
      <c r="G561">
        <v>20260418</v>
      </c>
      <c r="H561">
        <v>20260502</v>
      </c>
      <c r="I561">
        <v>42.2258</v>
      </c>
      <c r="J561">
        <f t="shared" si="81"/>
        <v>15</v>
      </c>
      <c r="K561">
        <f t="shared" si="82"/>
        <v>2.8150533333333332</v>
      </c>
      <c r="L561">
        <f t="shared" si="83"/>
        <v>0</v>
      </c>
      <c r="M561">
        <f t="shared" si="84"/>
        <v>36.59569333333333</v>
      </c>
      <c r="N561">
        <f t="shared" si="85"/>
        <v>4.2309993979318188</v>
      </c>
      <c r="O561">
        <f t="shared" si="86"/>
        <v>40.826692731265148</v>
      </c>
      <c r="P561">
        <f t="shared" si="87"/>
        <v>0</v>
      </c>
      <c r="Q561">
        <f t="shared" si="88"/>
        <v>37.849806687164907</v>
      </c>
      <c r="R561">
        <f t="shared" si="89"/>
        <v>4.3759933128350932</v>
      </c>
      <c r="S561">
        <f t="shared" si="90"/>
        <v>42.2258</v>
      </c>
    </row>
    <row r="562" spans="1:19" x14ac:dyDescent="0.3">
      <c r="A562" t="s">
        <v>13</v>
      </c>
      <c r="B562" t="s">
        <v>24</v>
      </c>
      <c r="C562" t="s">
        <v>15</v>
      </c>
      <c r="D562">
        <v>26</v>
      </c>
      <c r="E562">
        <v>7</v>
      </c>
      <c r="F562">
        <v>0</v>
      </c>
      <c r="G562">
        <v>20260306</v>
      </c>
      <c r="H562">
        <v>20260407</v>
      </c>
      <c r="I562">
        <v>1165544.8306</v>
      </c>
      <c r="J562">
        <f t="shared" si="81"/>
        <v>33</v>
      </c>
      <c r="K562">
        <f t="shared" si="82"/>
        <v>35319.540321212124</v>
      </c>
      <c r="L562">
        <f t="shared" si="83"/>
        <v>1479668.4193276111</v>
      </c>
      <c r="M562">
        <f t="shared" si="84"/>
        <v>247236.78224848487</v>
      </c>
      <c r="N562">
        <f t="shared" si="85"/>
        <v>0</v>
      </c>
      <c r="O562">
        <f t="shared" si="86"/>
        <v>1726905.201576096</v>
      </c>
      <c r="P562">
        <f t="shared" si="87"/>
        <v>998676.63585433643</v>
      </c>
      <c r="Q562">
        <f t="shared" si="88"/>
        <v>166868.19474566358</v>
      </c>
      <c r="R562">
        <f t="shared" si="89"/>
        <v>0</v>
      </c>
      <c r="S562">
        <f t="shared" si="90"/>
        <v>1165544.8306</v>
      </c>
    </row>
    <row r="563" spans="1:19" x14ac:dyDescent="0.3">
      <c r="A563" t="s">
        <v>13</v>
      </c>
      <c r="B563" t="s">
        <v>33</v>
      </c>
      <c r="C563" t="s">
        <v>15</v>
      </c>
      <c r="D563">
        <v>0</v>
      </c>
      <c r="E563">
        <v>29</v>
      </c>
      <c r="F563">
        <v>2</v>
      </c>
      <c r="G563">
        <v>20260402</v>
      </c>
      <c r="H563">
        <v>20260502</v>
      </c>
      <c r="I563">
        <v>7391846.9473000001</v>
      </c>
      <c r="J563">
        <f t="shared" si="81"/>
        <v>31</v>
      </c>
      <c r="K563">
        <f t="shared" si="82"/>
        <v>238446.67571935485</v>
      </c>
      <c r="L563">
        <f t="shared" si="83"/>
        <v>0</v>
      </c>
      <c r="M563">
        <f t="shared" si="84"/>
        <v>6914953.5958612906</v>
      </c>
      <c r="N563">
        <f t="shared" si="85"/>
        <v>358383.17145232321</v>
      </c>
      <c r="O563">
        <f t="shared" si="86"/>
        <v>7273336.7673136136</v>
      </c>
      <c r="P563">
        <f t="shared" si="87"/>
        <v>0</v>
      </c>
      <c r="Q563">
        <f t="shared" si="88"/>
        <v>7027624.3577770367</v>
      </c>
      <c r="R563">
        <f t="shared" si="89"/>
        <v>364222.58952296397</v>
      </c>
      <c r="S563">
        <f t="shared" si="90"/>
        <v>7391846.947300001</v>
      </c>
    </row>
    <row r="564" spans="1:19" x14ac:dyDescent="0.3">
      <c r="A564" t="s">
        <v>13</v>
      </c>
      <c r="B564" t="s">
        <v>33</v>
      </c>
      <c r="C564" t="s">
        <v>14</v>
      </c>
      <c r="D564">
        <v>15</v>
      </c>
      <c r="E564">
        <v>15</v>
      </c>
      <c r="F564">
        <v>0</v>
      </c>
      <c r="G564">
        <v>20260317</v>
      </c>
      <c r="H564">
        <v>20260415</v>
      </c>
      <c r="I564">
        <v>8862442.7125000004</v>
      </c>
      <c r="J564">
        <f t="shared" si="81"/>
        <v>30</v>
      </c>
      <c r="K564">
        <f t="shared" si="82"/>
        <v>295414.75708333333</v>
      </c>
      <c r="L564">
        <f t="shared" si="83"/>
        <v>7140020.5101800049</v>
      </c>
      <c r="M564">
        <f t="shared" si="84"/>
        <v>4431221.3562500002</v>
      </c>
      <c r="N564">
        <f t="shared" si="85"/>
        <v>0</v>
      </c>
      <c r="O564">
        <f t="shared" si="86"/>
        <v>11571241.866430005</v>
      </c>
      <c r="P564">
        <f t="shared" si="87"/>
        <v>5468559.3359797299</v>
      </c>
      <c r="Q564">
        <f t="shared" si="88"/>
        <v>3393883.3765202705</v>
      </c>
      <c r="R564">
        <f t="shared" si="89"/>
        <v>0</v>
      </c>
      <c r="S564">
        <f t="shared" si="90"/>
        <v>8862442.7125000004</v>
      </c>
    </row>
    <row r="565" spans="1:19" x14ac:dyDescent="0.3">
      <c r="A565" t="s">
        <v>13</v>
      </c>
      <c r="B565" t="s">
        <v>24</v>
      </c>
      <c r="C565" t="s">
        <v>14</v>
      </c>
      <c r="D565">
        <v>27</v>
      </c>
      <c r="E565">
        <v>1</v>
      </c>
      <c r="F565">
        <v>0</v>
      </c>
      <c r="G565">
        <v>20260305</v>
      </c>
      <c r="H565">
        <v>20260401</v>
      </c>
      <c r="I565">
        <v>1531103.3407000001</v>
      </c>
      <c r="J565">
        <f t="shared" si="81"/>
        <v>28</v>
      </c>
      <c r="K565">
        <f t="shared" si="82"/>
        <v>54682.262167857145</v>
      </c>
      <c r="L565">
        <f t="shared" si="83"/>
        <v>2378955.1310753445</v>
      </c>
      <c r="M565">
        <f t="shared" si="84"/>
        <v>54682.262167857145</v>
      </c>
      <c r="N565">
        <f t="shared" si="85"/>
        <v>0</v>
      </c>
      <c r="O565">
        <f t="shared" si="86"/>
        <v>2433637.3932432015</v>
      </c>
      <c r="P565">
        <f t="shared" si="87"/>
        <v>1496700.4364240004</v>
      </c>
      <c r="Q565">
        <f t="shared" si="88"/>
        <v>34402.904275999696</v>
      </c>
      <c r="R565">
        <f t="shared" si="89"/>
        <v>0</v>
      </c>
      <c r="S565">
        <f t="shared" si="90"/>
        <v>1531103.3407000001</v>
      </c>
    </row>
    <row r="566" spans="1:19" x14ac:dyDescent="0.3">
      <c r="A566" t="s">
        <v>13</v>
      </c>
      <c r="B566" t="s">
        <v>24</v>
      </c>
      <c r="C566" t="s">
        <v>15</v>
      </c>
      <c r="D566">
        <v>26</v>
      </c>
      <c r="E566">
        <v>6</v>
      </c>
      <c r="F566">
        <v>0</v>
      </c>
      <c r="G566">
        <v>20260306</v>
      </c>
      <c r="H566">
        <v>20260406</v>
      </c>
      <c r="I566">
        <v>1130150.92</v>
      </c>
      <c r="J566">
        <f t="shared" si="81"/>
        <v>32</v>
      </c>
      <c r="K566">
        <f t="shared" si="82"/>
        <v>35317.216249999998</v>
      </c>
      <c r="L566">
        <f t="shared" si="83"/>
        <v>1479571.0552411713</v>
      </c>
      <c r="M566">
        <f t="shared" si="84"/>
        <v>211903.29749999999</v>
      </c>
      <c r="N566">
        <f t="shared" si="85"/>
        <v>0</v>
      </c>
      <c r="O566">
        <f t="shared" si="86"/>
        <v>1691474.3527411711</v>
      </c>
      <c r="P566">
        <f t="shared" si="87"/>
        <v>988568.69249973819</v>
      </c>
      <c r="Q566">
        <f t="shared" si="88"/>
        <v>141582.22750026186</v>
      </c>
      <c r="R566">
        <f t="shared" si="89"/>
        <v>0</v>
      </c>
      <c r="S566">
        <f t="shared" si="90"/>
        <v>1130150.92</v>
      </c>
    </row>
    <row r="567" spans="1:19" x14ac:dyDescent="0.3">
      <c r="A567" t="s">
        <v>13</v>
      </c>
      <c r="B567" t="s">
        <v>33</v>
      </c>
      <c r="C567" t="s">
        <v>14</v>
      </c>
      <c r="D567">
        <v>0</v>
      </c>
      <c r="E567">
        <v>14</v>
      </c>
      <c r="F567">
        <v>15</v>
      </c>
      <c r="G567">
        <v>20260417</v>
      </c>
      <c r="H567">
        <v>20260515</v>
      </c>
      <c r="I567">
        <v>3089183.6949999998</v>
      </c>
      <c r="J567">
        <f t="shared" si="81"/>
        <v>29</v>
      </c>
      <c r="K567">
        <f t="shared" si="82"/>
        <v>106523.57568965516</v>
      </c>
      <c r="L567">
        <f t="shared" si="83"/>
        <v>0</v>
      </c>
      <c r="M567">
        <f t="shared" si="84"/>
        <v>1491330.0596551723</v>
      </c>
      <c r="N567">
        <f t="shared" si="85"/>
        <v>1200779.6955523279</v>
      </c>
      <c r="O567">
        <f t="shared" si="86"/>
        <v>2692109.7552075004</v>
      </c>
      <c r="P567">
        <f t="shared" si="87"/>
        <v>0</v>
      </c>
      <c r="Q567">
        <f t="shared" si="88"/>
        <v>1711294.4579018624</v>
      </c>
      <c r="R567">
        <f t="shared" si="89"/>
        <v>1377889.2370981371</v>
      </c>
      <c r="S567">
        <f t="shared" si="90"/>
        <v>3089183.6949999994</v>
      </c>
    </row>
    <row r="568" spans="1:19" x14ac:dyDescent="0.3">
      <c r="A568" t="s">
        <v>13</v>
      </c>
      <c r="B568" t="s">
        <v>24</v>
      </c>
      <c r="C568" t="s">
        <v>14</v>
      </c>
      <c r="D568">
        <v>30</v>
      </c>
      <c r="E568">
        <v>1</v>
      </c>
      <c r="F568">
        <v>0</v>
      </c>
      <c r="G568">
        <v>20260302</v>
      </c>
      <c r="H568">
        <v>20260401</v>
      </c>
      <c r="I568">
        <v>4828980.0928999996</v>
      </c>
      <c r="J568">
        <f t="shared" si="81"/>
        <v>31</v>
      </c>
      <c r="K568">
        <f t="shared" si="82"/>
        <v>155773.55138387094</v>
      </c>
      <c r="L568">
        <f t="shared" si="83"/>
        <v>7529930.8863617145</v>
      </c>
      <c r="M568">
        <f t="shared" si="84"/>
        <v>155773.55138387094</v>
      </c>
      <c r="N568">
        <f t="shared" si="85"/>
        <v>0</v>
      </c>
      <c r="O568">
        <f t="shared" si="86"/>
        <v>7685704.4377455851</v>
      </c>
      <c r="P568">
        <f t="shared" si="87"/>
        <v>4731106.5167397261</v>
      </c>
      <c r="Q568">
        <f t="shared" si="88"/>
        <v>97873.576160273951</v>
      </c>
      <c r="R568">
        <f t="shared" si="89"/>
        <v>0</v>
      </c>
      <c r="S568">
        <f t="shared" si="90"/>
        <v>4828980.0928999996</v>
      </c>
    </row>
    <row r="569" spans="1:19" x14ac:dyDescent="0.3">
      <c r="A569" t="s">
        <v>13</v>
      </c>
      <c r="B569" t="s">
        <v>24</v>
      </c>
      <c r="C569" t="s">
        <v>15</v>
      </c>
      <c r="D569">
        <v>30</v>
      </c>
      <c r="E569">
        <v>2</v>
      </c>
      <c r="F569">
        <v>0</v>
      </c>
      <c r="G569">
        <v>20260302</v>
      </c>
      <c r="H569">
        <v>20260402</v>
      </c>
      <c r="I569">
        <v>5576148.5460999999</v>
      </c>
      <c r="J569">
        <f t="shared" si="81"/>
        <v>32</v>
      </c>
      <c r="K569">
        <f t="shared" si="82"/>
        <v>174254.642065625</v>
      </c>
      <c r="L569">
        <f t="shared" si="83"/>
        <v>8423287.5204109568</v>
      </c>
      <c r="M569">
        <f t="shared" si="84"/>
        <v>348509.28413124999</v>
      </c>
      <c r="N569">
        <f t="shared" si="85"/>
        <v>0</v>
      </c>
      <c r="O569">
        <f t="shared" si="86"/>
        <v>8771796.8045422062</v>
      </c>
      <c r="P569">
        <f t="shared" si="87"/>
        <v>5354604.4792100191</v>
      </c>
      <c r="Q569">
        <f t="shared" si="88"/>
        <v>221544.06688998116</v>
      </c>
      <c r="R569">
        <f t="shared" si="89"/>
        <v>0</v>
      </c>
      <c r="S569">
        <f t="shared" si="90"/>
        <v>5576148.5460999999</v>
      </c>
    </row>
    <row r="570" spans="1:19" x14ac:dyDescent="0.3">
      <c r="A570" t="s">
        <v>13</v>
      </c>
      <c r="B570" t="s">
        <v>33</v>
      </c>
      <c r="C570" t="s">
        <v>14</v>
      </c>
      <c r="D570">
        <v>28</v>
      </c>
      <c r="E570">
        <v>2</v>
      </c>
      <c r="F570">
        <v>0</v>
      </c>
      <c r="G570">
        <v>20260304</v>
      </c>
      <c r="H570">
        <v>20260402</v>
      </c>
      <c r="I570">
        <v>198289.11319999999</v>
      </c>
      <c r="J570">
        <f t="shared" si="81"/>
        <v>30</v>
      </c>
      <c r="K570">
        <f t="shared" si="82"/>
        <v>6609.6371066666661</v>
      </c>
      <c r="L570">
        <f t="shared" si="83"/>
        <v>298202.76170964551</v>
      </c>
      <c r="M570">
        <f t="shared" si="84"/>
        <v>13219.274213333332</v>
      </c>
      <c r="N570">
        <f t="shared" si="85"/>
        <v>0</v>
      </c>
      <c r="O570">
        <f t="shared" si="86"/>
        <v>311422.03592297883</v>
      </c>
      <c r="P570">
        <f t="shared" si="87"/>
        <v>189872.1167818089</v>
      </c>
      <c r="Q570">
        <f t="shared" si="88"/>
        <v>8416.9964181911037</v>
      </c>
      <c r="R570">
        <f t="shared" si="89"/>
        <v>0</v>
      </c>
      <c r="S570">
        <f t="shared" si="90"/>
        <v>198289.11319999999</v>
      </c>
    </row>
    <row r="571" spans="1:19" x14ac:dyDescent="0.3">
      <c r="A571" t="s">
        <v>13</v>
      </c>
      <c r="B571" t="s">
        <v>33</v>
      </c>
      <c r="C571" t="s">
        <v>15</v>
      </c>
      <c r="D571">
        <v>0</v>
      </c>
      <c r="E571">
        <v>24</v>
      </c>
      <c r="F571">
        <v>5</v>
      </c>
      <c r="G571">
        <v>20260407</v>
      </c>
      <c r="H571">
        <v>20260505</v>
      </c>
      <c r="I571">
        <v>1155212.3918999999</v>
      </c>
      <c r="J571">
        <f t="shared" si="81"/>
        <v>29</v>
      </c>
      <c r="K571">
        <f t="shared" si="82"/>
        <v>39834.910065517237</v>
      </c>
      <c r="L571">
        <f t="shared" si="83"/>
        <v>0</v>
      </c>
      <c r="M571">
        <f t="shared" si="84"/>
        <v>956037.84157241369</v>
      </c>
      <c r="N571">
        <f t="shared" si="85"/>
        <v>149678.76319442579</v>
      </c>
      <c r="O571">
        <f t="shared" si="86"/>
        <v>1105716.6047668394</v>
      </c>
      <c r="P571">
        <f t="shared" si="87"/>
        <v>0</v>
      </c>
      <c r="Q571">
        <f t="shared" si="88"/>
        <v>998833.47771798167</v>
      </c>
      <c r="R571">
        <f t="shared" si="89"/>
        <v>156378.91418201834</v>
      </c>
      <c r="S571">
        <f t="shared" si="90"/>
        <v>1155212.3918999999</v>
      </c>
    </row>
    <row r="572" spans="1:19" x14ac:dyDescent="0.3">
      <c r="A572" t="s">
        <v>13</v>
      </c>
      <c r="B572" t="s">
        <v>33</v>
      </c>
      <c r="C572" t="s">
        <v>15</v>
      </c>
      <c r="D572">
        <v>29</v>
      </c>
      <c r="E572">
        <v>1</v>
      </c>
      <c r="F572">
        <v>0</v>
      </c>
      <c r="G572">
        <v>20260303</v>
      </c>
      <c r="H572">
        <v>20260401</v>
      </c>
      <c r="I572">
        <v>203001.72159999999</v>
      </c>
      <c r="J572">
        <f t="shared" si="81"/>
        <v>30</v>
      </c>
      <c r="K572">
        <f t="shared" si="82"/>
        <v>6766.7240533333334</v>
      </c>
      <c r="L572">
        <f t="shared" si="83"/>
        <v>316193.16541750182</v>
      </c>
      <c r="M572">
        <f t="shared" si="84"/>
        <v>6766.7240533333334</v>
      </c>
      <c r="N572">
        <f t="shared" si="85"/>
        <v>0</v>
      </c>
      <c r="O572">
        <f t="shared" si="86"/>
        <v>322959.88947083516</v>
      </c>
      <c r="P572">
        <f t="shared" si="87"/>
        <v>198748.38650420989</v>
      </c>
      <c r="Q572">
        <f t="shared" si="88"/>
        <v>4253.3350957901066</v>
      </c>
      <c r="R572">
        <f t="shared" si="89"/>
        <v>0</v>
      </c>
      <c r="S572">
        <f t="shared" si="90"/>
        <v>203001.72159999999</v>
      </c>
    </row>
    <row r="573" spans="1:19" x14ac:dyDescent="0.3">
      <c r="A573" t="s">
        <v>13</v>
      </c>
      <c r="B573" t="s">
        <v>33</v>
      </c>
      <c r="C573" t="s">
        <v>14</v>
      </c>
      <c r="D573">
        <v>30</v>
      </c>
      <c r="E573">
        <v>3</v>
      </c>
      <c r="F573">
        <v>0</v>
      </c>
      <c r="G573">
        <v>20260302</v>
      </c>
      <c r="H573">
        <v>20260403</v>
      </c>
      <c r="I573">
        <v>64339.962399999997</v>
      </c>
      <c r="J573">
        <f t="shared" si="81"/>
        <v>33</v>
      </c>
      <c r="K573">
        <f t="shared" si="82"/>
        <v>1949.6958303030301</v>
      </c>
      <c r="L573">
        <f t="shared" si="83"/>
        <v>94246.261455714222</v>
      </c>
      <c r="M573">
        <f t="shared" si="84"/>
        <v>5849.0874909090908</v>
      </c>
      <c r="N573">
        <f t="shared" si="85"/>
        <v>0</v>
      </c>
      <c r="O573">
        <f t="shared" si="86"/>
        <v>100095.34894662331</v>
      </c>
      <c r="P573">
        <f t="shared" si="87"/>
        <v>60580.246557058257</v>
      </c>
      <c r="Q573">
        <f t="shared" si="88"/>
        <v>3759.7158429417377</v>
      </c>
      <c r="R573">
        <f t="shared" si="89"/>
        <v>0</v>
      </c>
      <c r="S573">
        <f t="shared" si="90"/>
        <v>64339.962399999997</v>
      </c>
    </row>
    <row r="574" spans="1:19" x14ac:dyDescent="0.3">
      <c r="A574" t="s">
        <v>13</v>
      </c>
      <c r="B574" t="s">
        <v>33</v>
      </c>
      <c r="C574" t="s">
        <v>15</v>
      </c>
      <c r="D574">
        <v>26</v>
      </c>
      <c r="E574">
        <v>1</v>
      </c>
      <c r="F574">
        <v>0</v>
      </c>
      <c r="G574">
        <v>20260306</v>
      </c>
      <c r="H574">
        <v>20260401</v>
      </c>
      <c r="I574">
        <v>41387.407299999999</v>
      </c>
      <c r="J574">
        <f t="shared" si="81"/>
        <v>27</v>
      </c>
      <c r="K574">
        <f t="shared" si="82"/>
        <v>1532.8669370370369</v>
      </c>
      <c r="L574">
        <f t="shared" si="83"/>
        <v>64217.56277510096</v>
      </c>
      <c r="M574">
        <f t="shared" si="84"/>
        <v>1532.8669370370369</v>
      </c>
      <c r="N574">
        <f t="shared" si="85"/>
        <v>0</v>
      </c>
      <c r="O574">
        <f t="shared" si="86"/>
        <v>65750.429712137993</v>
      </c>
      <c r="P574">
        <f t="shared" si="87"/>
        <v>40422.525571658327</v>
      </c>
      <c r="Q574">
        <f t="shared" si="88"/>
        <v>964.88172834167153</v>
      </c>
      <c r="R574">
        <f t="shared" si="89"/>
        <v>0</v>
      </c>
      <c r="S574">
        <f t="shared" si="90"/>
        <v>41387.407299999999</v>
      </c>
    </row>
    <row r="575" spans="1:19" x14ac:dyDescent="0.3">
      <c r="A575" t="s">
        <v>13</v>
      </c>
      <c r="B575" t="s">
        <v>33</v>
      </c>
      <c r="C575" t="s">
        <v>14</v>
      </c>
      <c r="D575">
        <v>14</v>
      </c>
      <c r="E575">
        <v>15</v>
      </c>
      <c r="F575">
        <v>0</v>
      </c>
      <c r="G575">
        <v>20260318</v>
      </c>
      <c r="H575">
        <v>20260415</v>
      </c>
      <c r="I575">
        <v>596265.86730000004</v>
      </c>
      <c r="J575">
        <f t="shared" si="81"/>
        <v>29</v>
      </c>
      <c r="K575">
        <f t="shared" si="82"/>
        <v>20560.891975862069</v>
      </c>
      <c r="L575">
        <f t="shared" si="83"/>
        <v>463816.29365336435</v>
      </c>
      <c r="M575">
        <f t="shared" si="84"/>
        <v>308413.37963793101</v>
      </c>
      <c r="N575">
        <f t="shared" si="85"/>
        <v>0</v>
      </c>
      <c r="O575">
        <f t="shared" si="86"/>
        <v>772229.6732912953</v>
      </c>
      <c r="P575">
        <f t="shared" si="87"/>
        <v>358128.97919913719</v>
      </c>
      <c r="Q575">
        <f t="shared" si="88"/>
        <v>238136.88810086291</v>
      </c>
      <c r="R575">
        <f t="shared" si="89"/>
        <v>0</v>
      </c>
      <c r="S575">
        <f t="shared" si="90"/>
        <v>596265.86730000004</v>
      </c>
    </row>
    <row r="576" spans="1:19" x14ac:dyDescent="0.3">
      <c r="A576" t="s">
        <v>13</v>
      </c>
      <c r="B576" t="s">
        <v>33</v>
      </c>
      <c r="C576" t="s">
        <v>15</v>
      </c>
      <c r="D576">
        <v>25</v>
      </c>
      <c r="E576">
        <v>2</v>
      </c>
      <c r="F576">
        <v>0</v>
      </c>
      <c r="G576">
        <v>20260307</v>
      </c>
      <c r="H576">
        <v>20260402</v>
      </c>
      <c r="I576">
        <v>49506.036800000002</v>
      </c>
      <c r="J576">
        <f t="shared" si="81"/>
        <v>27</v>
      </c>
      <c r="K576">
        <f t="shared" si="82"/>
        <v>1833.5569185185186</v>
      </c>
      <c r="L576">
        <f t="shared" si="83"/>
        <v>73860.189732677332</v>
      </c>
      <c r="M576">
        <f t="shared" si="84"/>
        <v>3667.1138370370372</v>
      </c>
      <c r="N576">
        <f t="shared" si="85"/>
        <v>0</v>
      </c>
      <c r="O576">
        <f t="shared" si="86"/>
        <v>77527.303569714364</v>
      </c>
      <c r="P576">
        <f t="shared" si="87"/>
        <v>47164.355041354858</v>
      </c>
      <c r="Q576">
        <f t="shared" si="88"/>
        <v>2341.6817586451452</v>
      </c>
      <c r="R576">
        <f t="shared" si="89"/>
        <v>0</v>
      </c>
      <c r="S576">
        <f t="shared" si="90"/>
        <v>49506.036800000002</v>
      </c>
    </row>
    <row r="577" spans="1:19" x14ac:dyDescent="0.3">
      <c r="A577" t="s">
        <v>13</v>
      </c>
      <c r="B577" t="s">
        <v>33</v>
      </c>
      <c r="C577" t="s">
        <v>14</v>
      </c>
      <c r="D577">
        <v>16</v>
      </c>
      <c r="E577">
        <v>15</v>
      </c>
      <c r="F577">
        <v>0</v>
      </c>
      <c r="G577">
        <v>20260316</v>
      </c>
      <c r="H577">
        <v>20260415</v>
      </c>
      <c r="I577">
        <v>4830965.8070999999</v>
      </c>
      <c r="J577">
        <f t="shared" si="81"/>
        <v>31</v>
      </c>
      <c r="K577">
        <f t="shared" si="82"/>
        <v>155837.60668064517</v>
      </c>
      <c r="L577">
        <f t="shared" si="83"/>
        <v>4017614.5346936113</v>
      </c>
      <c r="M577">
        <f t="shared" si="84"/>
        <v>2337564.1002096776</v>
      </c>
      <c r="N577">
        <f t="shared" si="85"/>
        <v>0</v>
      </c>
      <c r="O577">
        <f t="shared" si="86"/>
        <v>6355178.6349032894</v>
      </c>
      <c r="P577">
        <f t="shared" si="87"/>
        <v>3054038.2195736929</v>
      </c>
      <c r="Q577">
        <f t="shared" si="88"/>
        <v>1776927.5875263067</v>
      </c>
      <c r="R577">
        <f t="shared" si="89"/>
        <v>0</v>
      </c>
      <c r="S577">
        <f t="shared" si="90"/>
        <v>4830965.8070999999</v>
      </c>
    </row>
    <row r="578" spans="1:19" x14ac:dyDescent="0.3">
      <c r="A578" t="s">
        <v>13</v>
      </c>
      <c r="B578" t="s">
        <v>24</v>
      </c>
      <c r="C578" t="s">
        <v>14</v>
      </c>
      <c r="D578">
        <v>16</v>
      </c>
      <c r="E578">
        <v>15</v>
      </c>
      <c r="F578">
        <v>0</v>
      </c>
      <c r="G578">
        <v>20260316</v>
      </c>
      <c r="H578">
        <v>20260415</v>
      </c>
      <c r="I578">
        <v>5178562.5158000002</v>
      </c>
      <c r="J578">
        <f t="shared" si="81"/>
        <v>31</v>
      </c>
      <c r="K578">
        <f t="shared" si="82"/>
        <v>167050.40373548388</v>
      </c>
      <c r="L578">
        <f t="shared" si="83"/>
        <v>4306689.1514156656</v>
      </c>
      <c r="M578">
        <f t="shared" si="84"/>
        <v>2505756.0560322581</v>
      </c>
      <c r="N578">
        <f t="shared" si="85"/>
        <v>0</v>
      </c>
      <c r="O578">
        <f t="shared" si="86"/>
        <v>6812445.2074479237</v>
      </c>
      <c r="P578">
        <f t="shared" si="87"/>
        <v>3273781.7813698961</v>
      </c>
      <c r="Q578">
        <f t="shared" si="88"/>
        <v>1904780.7344301038</v>
      </c>
      <c r="R578">
        <f t="shared" si="89"/>
        <v>0</v>
      </c>
      <c r="S578">
        <f t="shared" si="90"/>
        <v>5178562.5158000002</v>
      </c>
    </row>
    <row r="579" spans="1:19" x14ac:dyDescent="0.3">
      <c r="A579" t="s">
        <v>13</v>
      </c>
      <c r="B579" t="s">
        <v>33</v>
      </c>
      <c r="C579" t="s">
        <v>15</v>
      </c>
      <c r="D579">
        <v>0</v>
      </c>
      <c r="E579">
        <v>26</v>
      </c>
      <c r="F579">
        <v>7</v>
      </c>
      <c r="G579">
        <v>20260405</v>
      </c>
      <c r="H579">
        <v>20260507</v>
      </c>
      <c r="I579">
        <v>274379.42200000002</v>
      </c>
      <c r="J579">
        <f t="shared" si="81"/>
        <v>33</v>
      </c>
      <c r="K579">
        <f t="shared" si="82"/>
        <v>8314.52793939394</v>
      </c>
      <c r="L579">
        <f t="shared" si="83"/>
        <v>0</v>
      </c>
      <c r="M579">
        <f t="shared" si="84"/>
        <v>216177.72642424243</v>
      </c>
      <c r="N579">
        <f t="shared" si="85"/>
        <v>43738.30790766095</v>
      </c>
      <c r="O579">
        <f t="shared" si="86"/>
        <v>259916.03433190339</v>
      </c>
      <c r="P579">
        <f t="shared" si="87"/>
        <v>0</v>
      </c>
      <c r="Q579">
        <f t="shared" si="88"/>
        <v>228207.23537900325</v>
      </c>
      <c r="R579">
        <f t="shared" si="89"/>
        <v>46172.186620996748</v>
      </c>
      <c r="S579">
        <f t="shared" si="90"/>
        <v>274379.42200000002</v>
      </c>
    </row>
    <row r="580" spans="1:19" x14ac:dyDescent="0.3">
      <c r="A580" t="s">
        <v>13</v>
      </c>
      <c r="B580" t="s">
        <v>33</v>
      </c>
      <c r="C580" t="s">
        <v>14</v>
      </c>
      <c r="D580">
        <v>29</v>
      </c>
      <c r="E580">
        <v>1</v>
      </c>
      <c r="F580">
        <v>0</v>
      </c>
      <c r="G580">
        <v>20260303</v>
      </c>
      <c r="H580">
        <v>20260401</v>
      </c>
      <c r="I580">
        <v>41852.259599999998</v>
      </c>
      <c r="J580">
        <f t="shared" si="81"/>
        <v>30</v>
      </c>
      <c r="K580">
        <f t="shared" si="82"/>
        <v>1395.0753199999999</v>
      </c>
      <c r="L580">
        <f t="shared" si="83"/>
        <v>65188.602039910133</v>
      </c>
      <c r="M580">
        <f t="shared" si="84"/>
        <v>1395.0753199999999</v>
      </c>
      <c r="N580">
        <f t="shared" si="85"/>
        <v>0</v>
      </c>
      <c r="O580">
        <f t="shared" si="86"/>
        <v>66583.677359910129</v>
      </c>
      <c r="P580">
        <f t="shared" si="87"/>
        <v>40975.362186560531</v>
      </c>
      <c r="Q580">
        <f t="shared" si="88"/>
        <v>876.89741343946514</v>
      </c>
      <c r="R580">
        <f t="shared" si="89"/>
        <v>0</v>
      </c>
      <c r="S580">
        <f t="shared" si="90"/>
        <v>41852.259599999998</v>
      </c>
    </row>
    <row r="581" spans="1:19" x14ac:dyDescent="0.3">
      <c r="A581" t="s">
        <v>13</v>
      </c>
      <c r="B581" t="s">
        <v>33</v>
      </c>
      <c r="C581" t="s">
        <v>15</v>
      </c>
      <c r="D581">
        <v>0</v>
      </c>
      <c r="E581">
        <v>26</v>
      </c>
      <c r="F581">
        <v>6</v>
      </c>
      <c r="G581">
        <v>20260405</v>
      </c>
      <c r="H581">
        <v>20260506</v>
      </c>
      <c r="I581">
        <v>334344.78330000001</v>
      </c>
      <c r="J581">
        <f t="shared" si="81"/>
        <v>32</v>
      </c>
      <c r="K581">
        <f t="shared" si="82"/>
        <v>10448.274478125</v>
      </c>
      <c r="L581">
        <f t="shared" si="83"/>
        <v>0</v>
      </c>
      <c r="M581">
        <f t="shared" si="84"/>
        <v>271655.13643125002</v>
      </c>
      <c r="N581">
        <f t="shared" si="85"/>
        <v>47110.982768515853</v>
      </c>
      <c r="O581">
        <f t="shared" si="86"/>
        <v>318766.11919976585</v>
      </c>
      <c r="P581">
        <f t="shared" si="87"/>
        <v>0</v>
      </c>
      <c r="Q581">
        <f t="shared" si="88"/>
        <v>284931.40347051329</v>
      </c>
      <c r="R581">
        <f t="shared" si="89"/>
        <v>49413.379829486716</v>
      </c>
      <c r="S581">
        <f t="shared" si="90"/>
        <v>334344.78330000001</v>
      </c>
    </row>
    <row r="582" spans="1:19" x14ac:dyDescent="0.3">
      <c r="A582" t="s">
        <v>13</v>
      </c>
      <c r="B582" t="s">
        <v>33</v>
      </c>
      <c r="C582" t="s">
        <v>15</v>
      </c>
      <c r="D582">
        <v>0</v>
      </c>
      <c r="E582">
        <v>25</v>
      </c>
      <c r="F582">
        <v>5</v>
      </c>
      <c r="G582">
        <v>20260406</v>
      </c>
      <c r="H582">
        <v>20260505</v>
      </c>
      <c r="I582">
        <v>473585.1164</v>
      </c>
      <c r="J582">
        <f t="shared" si="81"/>
        <v>30</v>
      </c>
      <c r="K582">
        <f t="shared" si="82"/>
        <v>15786.170546666666</v>
      </c>
      <c r="L582">
        <f t="shared" si="83"/>
        <v>0</v>
      </c>
      <c r="M582">
        <f t="shared" si="84"/>
        <v>394654.26366666664</v>
      </c>
      <c r="N582">
        <f t="shared" si="85"/>
        <v>59316.174659742093</v>
      </c>
      <c r="O582">
        <f t="shared" si="86"/>
        <v>453970.43832640874</v>
      </c>
      <c r="P582">
        <f t="shared" si="87"/>
        <v>0</v>
      </c>
      <c r="Q582">
        <f t="shared" si="88"/>
        <v>411706.07074187981</v>
      </c>
      <c r="R582">
        <f t="shared" si="89"/>
        <v>61879.045658120202</v>
      </c>
      <c r="S582">
        <f t="shared" si="90"/>
        <v>473585.1164</v>
      </c>
    </row>
    <row r="583" spans="1:19" x14ac:dyDescent="0.3">
      <c r="A583" t="s">
        <v>13</v>
      </c>
      <c r="B583" t="s">
        <v>24</v>
      </c>
      <c r="C583" t="s">
        <v>14</v>
      </c>
      <c r="D583">
        <v>25</v>
      </c>
      <c r="E583">
        <v>7</v>
      </c>
      <c r="F583">
        <v>0</v>
      </c>
      <c r="G583">
        <v>20260307</v>
      </c>
      <c r="H583">
        <v>20260407</v>
      </c>
      <c r="I583">
        <v>303844.7781</v>
      </c>
      <c r="J583">
        <f t="shared" si="81"/>
        <v>32</v>
      </c>
      <c r="K583">
        <f t="shared" si="82"/>
        <v>9495.1493156249999</v>
      </c>
      <c r="L583">
        <f t="shared" si="83"/>
        <v>382488.00618571072</v>
      </c>
      <c r="M583">
        <f t="shared" si="84"/>
        <v>66466.045209375006</v>
      </c>
      <c r="N583">
        <f t="shared" si="85"/>
        <v>0</v>
      </c>
      <c r="O583">
        <f t="shared" si="86"/>
        <v>448954.05139508576</v>
      </c>
      <c r="P583">
        <f t="shared" si="87"/>
        <v>258861.64297721451</v>
      </c>
      <c r="Q583">
        <f t="shared" si="88"/>
        <v>44983.135122785476</v>
      </c>
      <c r="R583">
        <f t="shared" si="89"/>
        <v>0</v>
      </c>
      <c r="S583">
        <f t="shared" si="90"/>
        <v>303844.7781</v>
      </c>
    </row>
    <row r="584" spans="1:19" x14ac:dyDescent="0.3">
      <c r="A584" t="s">
        <v>13</v>
      </c>
      <c r="B584" t="s">
        <v>33</v>
      </c>
      <c r="C584" t="s">
        <v>14</v>
      </c>
      <c r="D584">
        <v>0</v>
      </c>
      <c r="E584">
        <v>26</v>
      </c>
      <c r="F584">
        <v>10</v>
      </c>
      <c r="G584">
        <v>20260405</v>
      </c>
      <c r="H584">
        <v>20260510</v>
      </c>
      <c r="I584">
        <v>5780.1943000000001</v>
      </c>
      <c r="J584">
        <f t="shared" si="81"/>
        <v>36</v>
      </c>
      <c r="K584">
        <f t="shared" si="82"/>
        <v>160.56095277777777</v>
      </c>
      <c r="L584">
        <f t="shared" si="83"/>
        <v>0</v>
      </c>
      <c r="M584">
        <f t="shared" si="84"/>
        <v>4174.5847722222225</v>
      </c>
      <c r="N584">
        <f t="shared" si="85"/>
        <v>1206.6082132265171</v>
      </c>
      <c r="O584">
        <f t="shared" si="86"/>
        <v>5381.1929854487398</v>
      </c>
      <c r="P584">
        <f t="shared" si="87"/>
        <v>0</v>
      </c>
      <c r="Q584">
        <f t="shared" si="88"/>
        <v>4484.1192595239145</v>
      </c>
      <c r="R584">
        <f t="shared" si="89"/>
        <v>1296.075040476085</v>
      </c>
      <c r="S584">
        <f t="shared" si="90"/>
        <v>5780.1942999999992</v>
      </c>
    </row>
    <row r="585" spans="1:19" x14ac:dyDescent="0.3">
      <c r="A585" t="s">
        <v>13</v>
      </c>
      <c r="B585" t="s">
        <v>33</v>
      </c>
      <c r="C585" t="s">
        <v>15</v>
      </c>
      <c r="D585">
        <v>23</v>
      </c>
      <c r="E585">
        <v>4</v>
      </c>
      <c r="F585">
        <v>0</v>
      </c>
      <c r="G585">
        <v>20260309</v>
      </c>
      <c r="H585">
        <v>20260404</v>
      </c>
      <c r="I585">
        <v>20228.204600000001</v>
      </c>
      <c r="J585">
        <f t="shared" si="81"/>
        <v>27</v>
      </c>
      <c r="K585">
        <f t="shared" si="82"/>
        <v>749.192762962963</v>
      </c>
      <c r="L585">
        <f t="shared" si="83"/>
        <v>27764.983751048785</v>
      </c>
      <c r="M585">
        <f t="shared" si="84"/>
        <v>2996.771051851852</v>
      </c>
      <c r="N585">
        <f t="shared" si="85"/>
        <v>0</v>
      </c>
      <c r="O585">
        <f t="shared" si="86"/>
        <v>30761.754802900636</v>
      </c>
      <c r="P585">
        <f t="shared" si="87"/>
        <v>18257.598619794331</v>
      </c>
      <c r="Q585">
        <f t="shared" si="88"/>
        <v>1970.6059802056695</v>
      </c>
      <c r="R585">
        <f t="shared" si="89"/>
        <v>0</v>
      </c>
      <c r="S585">
        <f t="shared" si="90"/>
        <v>20228.204600000001</v>
      </c>
    </row>
    <row r="586" spans="1:19" x14ac:dyDescent="0.3">
      <c r="A586" t="s">
        <v>13</v>
      </c>
      <c r="B586" t="s">
        <v>33</v>
      </c>
      <c r="C586" t="s">
        <v>14</v>
      </c>
      <c r="D586">
        <v>0</v>
      </c>
      <c r="E586">
        <v>24</v>
      </c>
      <c r="F586">
        <v>2</v>
      </c>
      <c r="G586">
        <v>20260407</v>
      </c>
      <c r="H586">
        <v>20260502</v>
      </c>
      <c r="I586">
        <v>54821.7716</v>
      </c>
      <c r="J586">
        <f t="shared" si="81"/>
        <v>26</v>
      </c>
      <c r="K586">
        <f t="shared" si="82"/>
        <v>2108.5296769230767</v>
      </c>
      <c r="L586">
        <f t="shared" si="83"/>
        <v>0</v>
      </c>
      <c r="M586">
        <f t="shared" si="84"/>
        <v>50604.712246153838</v>
      </c>
      <c r="N586">
        <f t="shared" si="85"/>
        <v>3169.1008081254504</v>
      </c>
      <c r="O586">
        <f t="shared" si="86"/>
        <v>53773.813054279286</v>
      </c>
      <c r="P586">
        <f t="shared" si="87"/>
        <v>0</v>
      </c>
      <c r="Q586">
        <f t="shared" si="88"/>
        <v>51590.910502144434</v>
      </c>
      <c r="R586">
        <f t="shared" si="89"/>
        <v>3230.861097855568</v>
      </c>
      <c r="S586">
        <f t="shared" si="90"/>
        <v>54821.7716</v>
      </c>
    </row>
    <row r="587" spans="1:19" x14ac:dyDescent="0.3">
      <c r="A587" t="s">
        <v>13</v>
      </c>
      <c r="B587" t="s">
        <v>33</v>
      </c>
      <c r="C587" t="s">
        <v>14</v>
      </c>
      <c r="D587">
        <v>27</v>
      </c>
      <c r="E587">
        <v>5</v>
      </c>
      <c r="F587">
        <v>0</v>
      </c>
      <c r="G587">
        <v>20260305</v>
      </c>
      <c r="H587">
        <v>20260405</v>
      </c>
      <c r="I587">
        <v>34082.500899999999</v>
      </c>
      <c r="J587">
        <f t="shared" ref="J587:J650" si="91">IF(D587&lt;0,0,D587)+E587+F587</f>
        <v>32</v>
      </c>
      <c r="K587">
        <f t="shared" ref="K587:K650" si="92">I587/J587</f>
        <v>1065.078153125</v>
      </c>
      <c r="L587">
        <f t="shared" ref="L587:L650" si="93">IF(D587&lt;0,0,D587)*$K587*$B$6</f>
        <v>46336.289628894512</v>
      </c>
      <c r="M587">
        <f t="shared" ref="M587:M650" si="94">IF(E587&lt;0,0,E587)*$K587*$C$6</f>
        <v>5325.3907656249994</v>
      </c>
      <c r="N587">
        <f t="shared" ref="N587:N650" si="95">IF(F587&lt;0,0,F587)*$K587*$D$6</f>
        <v>0</v>
      </c>
      <c r="O587">
        <f t="shared" ref="O587:O650" si="96">L587+M587+N587</f>
        <v>51661.680394519513</v>
      </c>
      <c r="P587">
        <f t="shared" ref="P587:P650" si="97">L587/$O587*$I587</f>
        <v>30569.207600668597</v>
      </c>
      <c r="Q587">
        <f t="shared" ref="Q587:Q650" si="98">M587/$O587*$I587</f>
        <v>3513.2932993313993</v>
      </c>
      <c r="R587">
        <f t="shared" ref="R587:R650" si="99">N587/$O587*$I587</f>
        <v>0</v>
      </c>
      <c r="S587">
        <f t="shared" ref="S587:S650" si="100">P587+Q587+R587</f>
        <v>34082.500899999999</v>
      </c>
    </row>
    <row r="588" spans="1:19" x14ac:dyDescent="0.3">
      <c r="A588" t="s">
        <v>13</v>
      </c>
      <c r="B588" t="s">
        <v>24</v>
      </c>
      <c r="C588" t="s">
        <v>14</v>
      </c>
      <c r="D588">
        <v>27</v>
      </c>
      <c r="E588">
        <v>5</v>
      </c>
      <c r="F588">
        <v>0</v>
      </c>
      <c r="G588">
        <v>20260305</v>
      </c>
      <c r="H588">
        <v>20260405</v>
      </c>
      <c r="I588">
        <v>184045.50380000001</v>
      </c>
      <c r="J588">
        <f t="shared" si="91"/>
        <v>32</v>
      </c>
      <c r="K588">
        <f t="shared" si="92"/>
        <v>5751.4219937500002</v>
      </c>
      <c r="L588">
        <f t="shared" si="93"/>
        <v>250215.96255492527</v>
      </c>
      <c r="M588">
        <f t="shared" si="94"/>
        <v>28757.109968750003</v>
      </c>
      <c r="N588">
        <f t="shared" si="95"/>
        <v>0</v>
      </c>
      <c r="O588">
        <f t="shared" si="96"/>
        <v>278973.07252367528</v>
      </c>
      <c r="P588">
        <f t="shared" si="97"/>
        <v>165073.7200928774</v>
      </c>
      <c r="Q588">
        <f t="shared" si="98"/>
        <v>18971.783707122609</v>
      </c>
      <c r="R588">
        <f t="shared" si="99"/>
        <v>0</v>
      </c>
      <c r="S588">
        <f t="shared" si="100"/>
        <v>184045.50380000001</v>
      </c>
    </row>
    <row r="589" spans="1:19" x14ac:dyDescent="0.3">
      <c r="A589" t="s">
        <v>13</v>
      </c>
      <c r="B589" t="s">
        <v>33</v>
      </c>
      <c r="C589" t="s">
        <v>15</v>
      </c>
      <c r="D589">
        <v>14</v>
      </c>
      <c r="E589">
        <v>16</v>
      </c>
      <c r="F589">
        <v>0</v>
      </c>
      <c r="G589">
        <v>20260318</v>
      </c>
      <c r="H589">
        <v>20260416</v>
      </c>
      <c r="I589">
        <v>490700.92690000002</v>
      </c>
      <c r="J589">
        <f t="shared" si="91"/>
        <v>30</v>
      </c>
      <c r="K589">
        <f t="shared" si="92"/>
        <v>16356.697563333333</v>
      </c>
      <c r="L589">
        <f t="shared" si="93"/>
        <v>368977.32107831852</v>
      </c>
      <c r="M589">
        <f t="shared" si="94"/>
        <v>261707.16101333333</v>
      </c>
      <c r="N589">
        <f t="shared" si="95"/>
        <v>0</v>
      </c>
      <c r="O589">
        <f t="shared" si="96"/>
        <v>630684.48209165188</v>
      </c>
      <c r="P589">
        <f t="shared" si="97"/>
        <v>287080.97091232741</v>
      </c>
      <c r="Q589">
        <f t="shared" si="98"/>
        <v>203619.95598767255</v>
      </c>
      <c r="R589">
        <f t="shared" si="99"/>
        <v>0</v>
      </c>
      <c r="S589">
        <f t="shared" si="100"/>
        <v>490700.92689999996</v>
      </c>
    </row>
    <row r="590" spans="1:19" x14ac:dyDescent="0.3">
      <c r="A590" t="s">
        <v>13</v>
      </c>
      <c r="B590" t="s">
        <v>33</v>
      </c>
      <c r="C590" t="s">
        <v>14</v>
      </c>
      <c r="D590">
        <v>29</v>
      </c>
      <c r="E590">
        <v>2</v>
      </c>
      <c r="F590">
        <v>0</v>
      </c>
      <c r="G590">
        <v>20260303</v>
      </c>
      <c r="H590">
        <v>20260402</v>
      </c>
      <c r="I590">
        <v>29680.2075</v>
      </c>
      <c r="J590">
        <f t="shared" si="91"/>
        <v>31</v>
      </c>
      <c r="K590">
        <f t="shared" si="92"/>
        <v>957.42604838709678</v>
      </c>
      <c r="L590">
        <f t="shared" si="93"/>
        <v>44738.276676667316</v>
      </c>
      <c r="M590">
        <f t="shared" si="94"/>
        <v>1914.8520967741936</v>
      </c>
      <c r="N590">
        <f t="shared" si="95"/>
        <v>0</v>
      </c>
      <c r="O590">
        <f t="shared" si="96"/>
        <v>46653.128773441509</v>
      </c>
      <c r="P590">
        <f t="shared" si="97"/>
        <v>28461.999652889393</v>
      </c>
      <c r="Q590">
        <f t="shared" si="98"/>
        <v>1218.2078471106081</v>
      </c>
      <c r="R590">
        <f t="shared" si="99"/>
        <v>0</v>
      </c>
      <c r="S590">
        <f t="shared" si="100"/>
        <v>29680.2075</v>
      </c>
    </row>
    <row r="591" spans="1:19" x14ac:dyDescent="0.3">
      <c r="A591" t="s">
        <v>13</v>
      </c>
      <c r="B591" t="s">
        <v>33</v>
      </c>
      <c r="C591" t="s">
        <v>14</v>
      </c>
      <c r="D591">
        <v>22</v>
      </c>
      <c r="E591">
        <v>1</v>
      </c>
      <c r="F591">
        <v>0</v>
      </c>
      <c r="G591">
        <v>20260310</v>
      </c>
      <c r="H591">
        <v>20260401</v>
      </c>
      <c r="I591">
        <v>6727.1148999999996</v>
      </c>
      <c r="J591">
        <f t="shared" si="91"/>
        <v>23</v>
      </c>
      <c r="K591">
        <f t="shared" si="92"/>
        <v>292.48325652173912</v>
      </c>
      <c r="L591">
        <f t="shared" si="93"/>
        <v>10368.112584826607</v>
      </c>
      <c r="M591">
        <f t="shared" si="94"/>
        <v>292.48325652173912</v>
      </c>
      <c r="N591">
        <f t="shared" si="95"/>
        <v>0</v>
      </c>
      <c r="O591">
        <f t="shared" si="96"/>
        <v>10660.595841348346</v>
      </c>
      <c r="P591">
        <f t="shared" si="97"/>
        <v>6542.5503125951882</v>
      </c>
      <c r="Q591">
        <f t="shared" si="98"/>
        <v>184.56458740481213</v>
      </c>
      <c r="R591">
        <f t="shared" si="99"/>
        <v>0</v>
      </c>
      <c r="S591">
        <f t="shared" si="100"/>
        <v>6727.1149000000005</v>
      </c>
    </row>
    <row r="592" spans="1:19" x14ac:dyDescent="0.3">
      <c r="A592" t="s">
        <v>13</v>
      </c>
      <c r="B592" t="s">
        <v>33</v>
      </c>
      <c r="C592" t="s">
        <v>15</v>
      </c>
      <c r="D592">
        <v>0</v>
      </c>
      <c r="E592">
        <v>17</v>
      </c>
      <c r="F592">
        <v>4</v>
      </c>
      <c r="G592">
        <v>20260414</v>
      </c>
      <c r="H592">
        <v>20260504</v>
      </c>
      <c r="I592">
        <v>6291.0532000000003</v>
      </c>
      <c r="J592">
        <f t="shared" si="91"/>
        <v>21</v>
      </c>
      <c r="K592">
        <f t="shared" si="92"/>
        <v>299.57396190476192</v>
      </c>
      <c r="L592">
        <f t="shared" si="93"/>
        <v>0</v>
      </c>
      <c r="M592">
        <f t="shared" si="94"/>
        <v>5092.7573523809524</v>
      </c>
      <c r="N592">
        <f t="shared" si="95"/>
        <v>900.51384636058799</v>
      </c>
      <c r="O592">
        <f t="shared" si="96"/>
        <v>5993.2711987415405</v>
      </c>
      <c r="P592">
        <f t="shared" si="97"/>
        <v>0</v>
      </c>
      <c r="Q592">
        <f t="shared" si="98"/>
        <v>5345.7963733139904</v>
      </c>
      <c r="R592">
        <f t="shared" si="99"/>
        <v>945.25682668600973</v>
      </c>
      <c r="S592">
        <f t="shared" si="100"/>
        <v>6291.0532000000003</v>
      </c>
    </row>
    <row r="593" spans="1:19" x14ac:dyDescent="0.3">
      <c r="A593" t="s">
        <v>13</v>
      </c>
      <c r="B593" t="s">
        <v>24</v>
      </c>
      <c r="C593" t="s">
        <v>15</v>
      </c>
      <c r="D593">
        <v>30</v>
      </c>
      <c r="E593">
        <v>6</v>
      </c>
      <c r="F593">
        <v>0</v>
      </c>
      <c r="G593">
        <v>20260302</v>
      </c>
      <c r="H593">
        <v>20260406</v>
      </c>
      <c r="I593">
        <v>528699.27930000005</v>
      </c>
      <c r="J593">
        <f t="shared" si="91"/>
        <v>36</v>
      </c>
      <c r="K593">
        <f t="shared" si="92"/>
        <v>14686.091091666669</v>
      </c>
      <c r="L593">
        <f t="shared" si="93"/>
        <v>709910.31486820604</v>
      </c>
      <c r="M593">
        <f t="shared" si="94"/>
        <v>88116.546550000014</v>
      </c>
      <c r="N593">
        <f t="shared" si="95"/>
        <v>0</v>
      </c>
      <c r="O593">
        <f t="shared" si="96"/>
        <v>798026.86141820601</v>
      </c>
      <c r="P593">
        <f t="shared" si="97"/>
        <v>470321.35130319302</v>
      </c>
      <c r="Q593">
        <f t="shared" si="98"/>
        <v>58377.927996807004</v>
      </c>
      <c r="R593">
        <f t="shared" si="99"/>
        <v>0</v>
      </c>
      <c r="S593">
        <f t="shared" si="100"/>
        <v>528699.27930000005</v>
      </c>
    </row>
    <row r="594" spans="1:19" x14ac:dyDescent="0.3">
      <c r="A594" t="s">
        <v>13</v>
      </c>
      <c r="B594" t="s">
        <v>33</v>
      </c>
      <c r="C594" t="s">
        <v>15</v>
      </c>
      <c r="D594">
        <v>13</v>
      </c>
      <c r="E594">
        <v>16</v>
      </c>
      <c r="F594">
        <v>0</v>
      </c>
      <c r="G594">
        <v>20260319</v>
      </c>
      <c r="H594">
        <v>20260416</v>
      </c>
      <c r="I594">
        <v>28580.3999</v>
      </c>
      <c r="J594">
        <f t="shared" si="91"/>
        <v>29</v>
      </c>
      <c r="K594">
        <f t="shared" si="92"/>
        <v>985.53103103448279</v>
      </c>
      <c r="L594">
        <f t="shared" si="93"/>
        <v>20643.80127299259</v>
      </c>
      <c r="M594">
        <f t="shared" si="94"/>
        <v>15768.496496551725</v>
      </c>
      <c r="N594">
        <f t="shared" si="95"/>
        <v>0</v>
      </c>
      <c r="O594">
        <f t="shared" si="96"/>
        <v>36412.297769544311</v>
      </c>
      <c r="P594">
        <f t="shared" si="97"/>
        <v>16203.539243045168</v>
      </c>
      <c r="Q594">
        <f t="shared" si="98"/>
        <v>12376.860656954834</v>
      </c>
      <c r="R594">
        <f t="shared" si="99"/>
        <v>0</v>
      </c>
      <c r="S594">
        <f t="shared" si="100"/>
        <v>28580.399900000004</v>
      </c>
    </row>
    <row r="595" spans="1:19" x14ac:dyDescent="0.3">
      <c r="A595" t="s">
        <v>13</v>
      </c>
      <c r="B595" t="s">
        <v>33</v>
      </c>
      <c r="C595" t="s">
        <v>15</v>
      </c>
      <c r="D595">
        <v>0</v>
      </c>
      <c r="E595">
        <v>22</v>
      </c>
      <c r="F595">
        <v>2</v>
      </c>
      <c r="G595">
        <v>20260409</v>
      </c>
      <c r="H595">
        <v>20260502</v>
      </c>
      <c r="I595">
        <v>5445.3418000000001</v>
      </c>
      <c r="J595">
        <f t="shared" si="91"/>
        <v>24</v>
      </c>
      <c r="K595">
        <f t="shared" si="92"/>
        <v>226.88924166666666</v>
      </c>
      <c r="L595">
        <f t="shared" si="93"/>
        <v>0</v>
      </c>
      <c r="M595">
        <f t="shared" si="94"/>
        <v>4991.5633166666667</v>
      </c>
      <c r="N595">
        <f t="shared" si="95"/>
        <v>341.0124538394324</v>
      </c>
      <c r="O595">
        <f t="shared" si="96"/>
        <v>5332.5757705060987</v>
      </c>
      <c r="P595">
        <f t="shared" si="97"/>
        <v>0</v>
      </c>
      <c r="Q595">
        <f t="shared" si="98"/>
        <v>5097.1180805203994</v>
      </c>
      <c r="R595">
        <f t="shared" si="99"/>
        <v>348.22371947960079</v>
      </c>
      <c r="S595">
        <f t="shared" si="100"/>
        <v>5445.3418000000001</v>
      </c>
    </row>
    <row r="596" spans="1:19" x14ac:dyDescent="0.3">
      <c r="A596" t="s">
        <v>13</v>
      </c>
      <c r="B596" t="s">
        <v>33</v>
      </c>
      <c r="C596" t="s">
        <v>14</v>
      </c>
      <c r="D596">
        <v>0</v>
      </c>
      <c r="E596">
        <v>22</v>
      </c>
      <c r="F596">
        <v>6</v>
      </c>
      <c r="G596">
        <v>20260409</v>
      </c>
      <c r="H596">
        <v>20260506</v>
      </c>
      <c r="I596">
        <v>39379.140399999997</v>
      </c>
      <c r="J596">
        <f t="shared" si="91"/>
        <v>28</v>
      </c>
      <c r="K596">
        <f t="shared" si="92"/>
        <v>1406.3978714285713</v>
      </c>
      <c r="L596">
        <f t="shared" si="93"/>
        <v>0</v>
      </c>
      <c r="M596">
        <f t="shared" si="94"/>
        <v>30940.753171428569</v>
      </c>
      <c r="N596">
        <f t="shared" si="95"/>
        <v>6341.4093901597944</v>
      </c>
      <c r="O596">
        <f t="shared" si="96"/>
        <v>37282.16256158836</v>
      </c>
      <c r="P596">
        <f t="shared" si="97"/>
        <v>0</v>
      </c>
      <c r="Q596">
        <f t="shared" si="98"/>
        <v>32681.051191884548</v>
      </c>
      <c r="R596">
        <f t="shared" si="99"/>
        <v>6698.0892081154507</v>
      </c>
      <c r="S596">
        <f t="shared" si="100"/>
        <v>39379.140399999997</v>
      </c>
    </row>
    <row r="597" spans="1:19" x14ac:dyDescent="0.3">
      <c r="A597" t="s">
        <v>13</v>
      </c>
      <c r="B597" t="s">
        <v>33</v>
      </c>
      <c r="C597" t="s">
        <v>14</v>
      </c>
      <c r="D597">
        <v>30</v>
      </c>
      <c r="E597">
        <v>4</v>
      </c>
      <c r="F597">
        <v>0</v>
      </c>
      <c r="G597">
        <v>20260302</v>
      </c>
      <c r="H597">
        <v>20260404</v>
      </c>
      <c r="I597">
        <v>2596.1821</v>
      </c>
      <c r="J597">
        <f t="shared" si="91"/>
        <v>34</v>
      </c>
      <c r="K597">
        <f t="shared" si="92"/>
        <v>76.358297058823524</v>
      </c>
      <c r="L597">
        <f t="shared" si="93"/>
        <v>3691.080381394911</v>
      </c>
      <c r="M597">
        <f t="shared" si="94"/>
        <v>305.4331882352941</v>
      </c>
      <c r="N597">
        <f t="shared" si="95"/>
        <v>0</v>
      </c>
      <c r="O597">
        <f t="shared" si="96"/>
        <v>3996.513569630205</v>
      </c>
      <c r="P597">
        <f t="shared" si="97"/>
        <v>2397.7691177276106</v>
      </c>
      <c r="Q597">
        <f t="shared" si="98"/>
        <v>198.41298227238931</v>
      </c>
      <c r="R597">
        <f t="shared" si="99"/>
        <v>0</v>
      </c>
      <c r="S597">
        <f t="shared" si="100"/>
        <v>2596.1821</v>
      </c>
    </row>
    <row r="598" spans="1:19" x14ac:dyDescent="0.3">
      <c r="A598" t="s">
        <v>13</v>
      </c>
      <c r="B598" t="s">
        <v>33</v>
      </c>
      <c r="C598" t="s">
        <v>14</v>
      </c>
      <c r="D598">
        <v>25</v>
      </c>
      <c r="E598">
        <v>8</v>
      </c>
      <c r="F598">
        <v>0</v>
      </c>
      <c r="G598">
        <v>20260307</v>
      </c>
      <c r="H598">
        <v>20260408</v>
      </c>
      <c r="I598">
        <v>19537.157899999998</v>
      </c>
      <c r="J598">
        <f t="shared" si="91"/>
        <v>33</v>
      </c>
      <c r="K598">
        <f t="shared" si="92"/>
        <v>592.03508787878786</v>
      </c>
      <c r="L598">
        <f t="shared" si="93"/>
        <v>23848.631846379154</v>
      </c>
      <c r="M598">
        <f t="shared" si="94"/>
        <v>4736.2807030303029</v>
      </c>
      <c r="N598">
        <f t="shared" si="95"/>
        <v>0</v>
      </c>
      <c r="O598">
        <f t="shared" si="96"/>
        <v>28584.912549409455</v>
      </c>
      <c r="P598">
        <f t="shared" si="97"/>
        <v>16300.014396626304</v>
      </c>
      <c r="Q598">
        <f t="shared" si="98"/>
        <v>3237.1435033736952</v>
      </c>
      <c r="R598">
        <f t="shared" si="99"/>
        <v>0</v>
      </c>
      <c r="S598">
        <f t="shared" si="100"/>
        <v>19537.157899999998</v>
      </c>
    </row>
    <row r="599" spans="1:19" x14ac:dyDescent="0.3">
      <c r="A599" t="s">
        <v>13</v>
      </c>
      <c r="B599" t="s">
        <v>33</v>
      </c>
      <c r="C599" t="s">
        <v>14</v>
      </c>
      <c r="D599">
        <v>27</v>
      </c>
      <c r="E599">
        <v>8</v>
      </c>
      <c r="F599">
        <v>0</v>
      </c>
      <c r="G599">
        <v>20260305</v>
      </c>
      <c r="H599">
        <v>20260408</v>
      </c>
      <c r="I599">
        <v>12121.264300000001</v>
      </c>
      <c r="J599">
        <f t="shared" si="91"/>
        <v>35</v>
      </c>
      <c r="K599">
        <f t="shared" si="92"/>
        <v>346.32183714285719</v>
      </c>
      <c r="L599">
        <f t="shared" si="93"/>
        <v>15066.752522881696</v>
      </c>
      <c r="M599">
        <f t="shared" si="94"/>
        <v>2770.5746971428575</v>
      </c>
      <c r="N599">
        <f t="shared" si="95"/>
        <v>0</v>
      </c>
      <c r="O599">
        <f t="shared" si="96"/>
        <v>17837.327220024552</v>
      </c>
      <c r="P599">
        <f t="shared" si="97"/>
        <v>10238.534463140799</v>
      </c>
      <c r="Q599">
        <f t="shared" si="98"/>
        <v>1882.7298368592024</v>
      </c>
      <c r="R599">
        <f t="shared" si="99"/>
        <v>0</v>
      </c>
      <c r="S599">
        <f t="shared" si="100"/>
        <v>12121.264300000001</v>
      </c>
    </row>
    <row r="600" spans="1:19" x14ac:dyDescent="0.3">
      <c r="A600" t="s">
        <v>13</v>
      </c>
      <c r="B600" t="s">
        <v>33</v>
      </c>
      <c r="C600" t="s">
        <v>14</v>
      </c>
      <c r="D600">
        <v>24</v>
      </c>
      <c r="E600">
        <v>4</v>
      </c>
      <c r="F600">
        <v>0</v>
      </c>
      <c r="G600">
        <v>20260308</v>
      </c>
      <c r="H600">
        <v>20260404</v>
      </c>
      <c r="I600">
        <v>361.0883</v>
      </c>
      <c r="J600">
        <f t="shared" si="91"/>
        <v>28</v>
      </c>
      <c r="K600">
        <f t="shared" si="92"/>
        <v>12.896010714285714</v>
      </c>
      <c r="L600">
        <f t="shared" si="93"/>
        <v>498.70375824740228</v>
      </c>
      <c r="M600">
        <f t="shared" si="94"/>
        <v>51.584042857142855</v>
      </c>
      <c r="N600">
        <f t="shared" si="95"/>
        <v>0</v>
      </c>
      <c r="O600">
        <f t="shared" si="96"/>
        <v>550.28780110454511</v>
      </c>
      <c r="P600">
        <f t="shared" si="97"/>
        <v>327.23984051202717</v>
      </c>
      <c r="Q600">
        <f t="shared" si="98"/>
        <v>33.848459487972846</v>
      </c>
      <c r="R600">
        <f t="shared" si="99"/>
        <v>0</v>
      </c>
      <c r="S600">
        <f t="shared" si="100"/>
        <v>361.0883</v>
      </c>
    </row>
    <row r="601" spans="1:19" x14ac:dyDescent="0.3">
      <c r="A601" t="s">
        <v>13</v>
      </c>
      <c r="B601" t="s">
        <v>33</v>
      </c>
      <c r="C601" t="s">
        <v>15</v>
      </c>
      <c r="D601">
        <v>0</v>
      </c>
      <c r="E601">
        <v>22</v>
      </c>
      <c r="F601">
        <v>7</v>
      </c>
      <c r="G601">
        <v>20260409</v>
      </c>
      <c r="H601">
        <v>20260507</v>
      </c>
      <c r="I601">
        <v>242248.71669999999</v>
      </c>
      <c r="J601">
        <f t="shared" si="91"/>
        <v>29</v>
      </c>
      <c r="K601">
        <f t="shared" si="92"/>
        <v>8353.4040241379298</v>
      </c>
      <c r="L601">
        <f t="shared" si="93"/>
        <v>0</v>
      </c>
      <c r="M601">
        <f t="shared" si="94"/>
        <v>183774.88853103446</v>
      </c>
      <c r="N601">
        <f t="shared" si="95"/>
        <v>43942.814306240798</v>
      </c>
      <c r="O601">
        <f t="shared" si="96"/>
        <v>227717.70283727525</v>
      </c>
      <c r="P601">
        <f t="shared" si="97"/>
        <v>0</v>
      </c>
      <c r="Q601">
        <f t="shared" si="98"/>
        <v>195501.84440487542</v>
      </c>
      <c r="R601">
        <f t="shared" si="99"/>
        <v>46746.872295124573</v>
      </c>
      <c r="S601">
        <f t="shared" si="100"/>
        <v>242248.71669999999</v>
      </c>
    </row>
    <row r="602" spans="1:19" x14ac:dyDescent="0.3">
      <c r="A602" t="s">
        <v>13</v>
      </c>
      <c r="B602" t="s">
        <v>33</v>
      </c>
      <c r="C602" t="s">
        <v>14</v>
      </c>
      <c r="D602">
        <v>22</v>
      </c>
      <c r="E602">
        <v>2</v>
      </c>
      <c r="F602">
        <v>0</v>
      </c>
      <c r="G602">
        <v>20260310</v>
      </c>
      <c r="H602">
        <v>20260402</v>
      </c>
      <c r="I602">
        <v>4561.6274999999996</v>
      </c>
      <c r="J602">
        <f t="shared" si="91"/>
        <v>24</v>
      </c>
      <c r="K602">
        <f t="shared" si="92"/>
        <v>190.06781249999997</v>
      </c>
      <c r="L602">
        <f t="shared" si="93"/>
        <v>6737.6317611714085</v>
      </c>
      <c r="M602">
        <f t="shared" si="94"/>
        <v>380.13562499999995</v>
      </c>
      <c r="N602">
        <f t="shared" si="95"/>
        <v>0</v>
      </c>
      <c r="O602">
        <f t="shared" si="96"/>
        <v>7117.7673861714084</v>
      </c>
      <c r="P602">
        <f t="shared" si="97"/>
        <v>4318.0065685126037</v>
      </c>
      <c r="Q602">
        <f t="shared" si="98"/>
        <v>243.62093148739612</v>
      </c>
      <c r="R602">
        <f t="shared" si="99"/>
        <v>0</v>
      </c>
      <c r="S602">
        <f t="shared" si="100"/>
        <v>4561.6274999999996</v>
      </c>
    </row>
    <row r="603" spans="1:19" x14ac:dyDescent="0.3">
      <c r="A603" t="s">
        <v>13</v>
      </c>
      <c r="B603" t="s">
        <v>33</v>
      </c>
      <c r="C603" t="s">
        <v>14</v>
      </c>
      <c r="D603">
        <v>14</v>
      </c>
      <c r="E603">
        <v>20</v>
      </c>
      <c r="F603">
        <v>0</v>
      </c>
      <c r="G603">
        <v>20260318</v>
      </c>
      <c r="H603">
        <v>20260420</v>
      </c>
      <c r="I603">
        <v>40471.296199999997</v>
      </c>
      <c r="J603">
        <f t="shared" si="91"/>
        <v>34</v>
      </c>
      <c r="K603">
        <f t="shared" si="92"/>
        <v>1190.3322411764705</v>
      </c>
      <c r="L603">
        <f t="shared" si="93"/>
        <v>26851.728464247477</v>
      </c>
      <c r="M603">
        <f t="shared" si="94"/>
        <v>23806.644823529408</v>
      </c>
      <c r="N603">
        <f t="shared" si="95"/>
        <v>0</v>
      </c>
      <c r="O603">
        <f t="shared" si="96"/>
        <v>50658.373287776885</v>
      </c>
      <c r="P603">
        <f t="shared" si="97"/>
        <v>21452.016431422624</v>
      </c>
      <c r="Q603">
        <f t="shared" si="98"/>
        <v>19019.279768577373</v>
      </c>
      <c r="R603">
        <f t="shared" si="99"/>
        <v>0</v>
      </c>
      <c r="S603">
        <f t="shared" si="100"/>
        <v>40471.296199999997</v>
      </c>
    </row>
    <row r="604" spans="1:19" x14ac:dyDescent="0.3">
      <c r="A604" t="s">
        <v>13</v>
      </c>
      <c r="B604" t="s">
        <v>33</v>
      </c>
      <c r="C604" t="s">
        <v>15</v>
      </c>
      <c r="D604">
        <v>0</v>
      </c>
      <c r="E604">
        <v>24</v>
      </c>
      <c r="F604">
        <v>9</v>
      </c>
      <c r="G604">
        <v>20260407</v>
      </c>
      <c r="H604">
        <v>20260509</v>
      </c>
      <c r="I604">
        <v>38746.942600000002</v>
      </c>
      <c r="J604">
        <f t="shared" si="91"/>
        <v>33</v>
      </c>
      <c r="K604">
        <f t="shared" si="92"/>
        <v>1174.1497757575758</v>
      </c>
      <c r="L604">
        <f t="shared" si="93"/>
        <v>0</v>
      </c>
      <c r="M604">
        <f t="shared" si="94"/>
        <v>28179.594618181818</v>
      </c>
      <c r="N604">
        <f t="shared" si="95"/>
        <v>7941.3136545918751</v>
      </c>
      <c r="O604">
        <f t="shared" si="96"/>
        <v>36120.908272773697</v>
      </c>
      <c r="P604">
        <f t="shared" si="97"/>
        <v>0</v>
      </c>
      <c r="Q604">
        <f t="shared" si="98"/>
        <v>30228.285704126778</v>
      </c>
      <c r="R604">
        <f t="shared" si="99"/>
        <v>8518.6568958732169</v>
      </c>
      <c r="S604">
        <f t="shared" si="100"/>
        <v>38746.942599999995</v>
      </c>
    </row>
    <row r="605" spans="1:19" x14ac:dyDescent="0.3">
      <c r="A605" t="s">
        <v>13</v>
      </c>
      <c r="B605" t="s">
        <v>33</v>
      </c>
      <c r="C605" t="s">
        <v>15</v>
      </c>
      <c r="D605">
        <v>0</v>
      </c>
      <c r="E605">
        <v>29</v>
      </c>
      <c r="F605">
        <v>14</v>
      </c>
      <c r="G605">
        <v>20260402</v>
      </c>
      <c r="H605">
        <v>20260514</v>
      </c>
      <c r="I605">
        <v>15854.6018</v>
      </c>
      <c r="J605">
        <f t="shared" si="91"/>
        <v>43</v>
      </c>
      <c r="K605">
        <f t="shared" si="92"/>
        <v>368.71166976744189</v>
      </c>
      <c r="L605">
        <f t="shared" si="93"/>
        <v>0</v>
      </c>
      <c r="M605">
        <f t="shared" si="94"/>
        <v>10692.638423255816</v>
      </c>
      <c r="N605">
        <f t="shared" si="95"/>
        <v>3879.1918576706807</v>
      </c>
      <c r="O605">
        <f t="shared" si="96"/>
        <v>14571.830280926497</v>
      </c>
      <c r="P605">
        <f t="shared" si="97"/>
        <v>0</v>
      </c>
      <c r="Q605">
        <f t="shared" si="98"/>
        <v>11633.921142630961</v>
      </c>
      <c r="R605">
        <f t="shared" si="99"/>
        <v>4220.6806573690392</v>
      </c>
      <c r="S605">
        <f t="shared" si="100"/>
        <v>15854.6018</v>
      </c>
    </row>
    <row r="606" spans="1:19" x14ac:dyDescent="0.3">
      <c r="A606" t="s">
        <v>13</v>
      </c>
      <c r="B606" t="s">
        <v>33</v>
      </c>
      <c r="C606" t="s">
        <v>15</v>
      </c>
      <c r="D606">
        <v>0</v>
      </c>
      <c r="E606">
        <v>26</v>
      </c>
      <c r="F606">
        <v>0</v>
      </c>
      <c r="G606">
        <v>20260404</v>
      </c>
      <c r="H606">
        <v>20260429</v>
      </c>
      <c r="I606">
        <v>7296.5129999999999</v>
      </c>
      <c r="J606">
        <f t="shared" si="91"/>
        <v>26</v>
      </c>
      <c r="K606">
        <f t="shared" si="92"/>
        <v>280.6351153846154</v>
      </c>
      <c r="L606">
        <f t="shared" si="93"/>
        <v>0</v>
      </c>
      <c r="M606">
        <f t="shared" si="94"/>
        <v>7296.5130000000008</v>
      </c>
      <c r="N606">
        <f t="shared" si="95"/>
        <v>0</v>
      </c>
      <c r="O606">
        <f t="shared" si="96"/>
        <v>7296.5130000000008</v>
      </c>
      <c r="P606">
        <f t="shared" si="97"/>
        <v>0</v>
      </c>
      <c r="Q606">
        <f t="shared" si="98"/>
        <v>7296.5129999999999</v>
      </c>
      <c r="R606">
        <f t="shared" si="99"/>
        <v>0</v>
      </c>
      <c r="S606">
        <f t="shared" si="100"/>
        <v>7296.5129999999999</v>
      </c>
    </row>
    <row r="607" spans="1:19" x14ac:dyDescent="0.3">
      <c r="A607" t="s">
        <v>13</v>
      </c>
      <c r="B607" t="s">
        <v>33</v>
      </c>
      <c r="C607" t="s">
        <v>15</v>
      </c>
      <c r="D607">
        <v>24</v>
      </c>
      <c r="E607">
        <v>14</v>
      </c>
      <c r="F607">
        <v>0</v>
      </c>
      <c r="G607">
        <v>20260308</v>
      </c>
      <c r="H607">
        <v>20260414</v>
      </c>
      <c r="I607">
        <v>1629.6484</v>
      </c>
      <c r="J607">
        <f t="shared" si="91"/>
        <v>38</v>
      </c>
      <c r="K607">
        <f t="shared" si="92"/>
        <v>42.885484210526315</v>
      </c>
      <c r="L607">
        <f t="shared" si="93"/>
        <v>1658.4316362545528</v>
      </c>
      <c r="M607">
        <f t="shared" si="94"/>
        <v>600.39677894736838</v>
      </c>
      <c r="N607">
        <f t="shared" si="95"/>
        <v>0</v>
      </c>
      <c r="O607">
        <f t="shared" si="96"/>
        <v>2258.8284152019214</v>
      </c>
      <c r="P607">
        <f t="shared" si="97"/>
        <v>1196.4877209542353</v>
      </c>
      <c r="Q607">
        <f t="shared" si="98"/>
        <v>433.1606790457646</v>
      </c>
      <c r="R607">
        <f t="shared" si="99"/>
        <v>0</v>
      </c>
      <c r="S607">
        <f t="shared" si="100"/>
        <v>1629.6484</v>
      </c>
    </row>
    <row r="608" spans="1:19" x14ac:dyDescent="0.3">
      <c r="A608" t="s">
        <v>13</v>
      </c>
      <c r="B608" t="s">
        <v>33</v>
      </c>
      <c r="C608" t="s">
        <v>15</v>
      </c>
      <c r="D608">
        <v>30</v>
      </c>
      <c r="E608">
        <v>13</v>
      </c>
      <c r="F608">
        <v>0</v>
      </c>
      <c r="G608">
        <v>20260302</v>
      </c>
      <c r="H608">
        <v>20260413</v>
      </c>
      <c r="I608">
        <v>6401.9005999999999</v>
      </c>
      <c r="J608">
        <f t="shared" si="91"/>
        <v>43</v>
      </c>
      <c r="K608">
        <f t="shared" si="92"/>
        <v>148.88140930232558</v>
      </c>
      <c r="L608">
        <f t="shared" si="93"/>
        <v>7196.7719317640131</v>
      </c>
      <c r="M608">
        <f t="shared" si="94"/>
        <v>1935.4583209302325</v>
      </c>
      <c r="N608">
        <f t="shared" si="95"/>
        <v>0</v>
      </c>
      <c r="O608">
        <f t="shared" si="96"/>
        <v>9132.2302526942458</v>
      </c>
      <c r="P608">
        <f t="shared" si="97"/>
        <v>5045.1004051754444</v>
      </c>
      <c r="Q608">
        <f t="shared" si="98"/>
        <v>1356.8001948245549</v>
      </c>
      <c r="R608">
        <f t="shared" si="99"/>
        <v>0</v>
      </c>
      <c r="S608">
        <f t="shared" si="100"/>
        <v>6401.900599999999</v>
      </c>
    </row>
    <row r="609" spans="1:19" x14ac:dyDescent="0.3">
      <c r="A609" t="s">
        <v>13</v>
      </c>
      <c r="B609" t="s">
        <v>24</v>
      </c>
      <c r="C609" t="s">
        <v>15</v>
      </c>
      <c r="D609">
        <v>26</v>
      </c>
      <c r="E609">
        <v>8</v>
      </c>
      <c r="F609">
        <v>0</v>
      </c>
      <c r="G609">
        <v>20260306</v>
      </c>
      <c r="H609">
        <v>20260408</v>
      </c>
      <c r="I609">
        <v>27102.7637</v>
      </c>
      <c r="J609">
        <f t="shared" si="91"/>
        <v>34</v>
      </c>
      <c r="K609">
        <f t="shared" si="92"/>
        <v>797.14010882352943</v>
      </c>
      <c r="L609">
        <f t="shared" si="93"/>
        <v>33395.198071056679</v>
      </c>
      <c r="M609">
        <f t="shared" si="94"/>
        <v>6377.1208705882354</v>
      </c>
      <c r="N609">
        <f t="shared" si="95"/>
        <v>0</v>
      </c>
      <c r="O609">
        <f t="shared" si="96"/>
        <v>39772.318941644917</v>
      </c>
      <c r="P609">
        <f t="shared" si="97"/>
        <v>22757.087997874522</v>
      </c>
      <c r="Q609">
        <f t="shared" si="98"/>
        <v>4345.675702125478</v>
      </c>
      <c r="R609">
        <f t="shared" si="99"/>
        <v>0</v>
      </c>
      <c r="S609">
        <f t="shared" si="100"/>
        <v>27102.7637</v>
      </c>
    </row>
    <row r="610" spans="1:19" x14ac:dyDescent="0.3">
      <c r="A610" t="s">
        <v>13</v>
      </c>
      <c r="B610" t="s">
        <v>33</v>
      </c>
      <c r="C610" t="s">
        <v>15</v>
      </c>
      <c r="D610">
        <v>0</v>
      </c>
      <c r="E610">
        <v>23</v>
      </c>
      <c r="F610">
        <v>11</v>
      </c>
      <c r="G610">
        <v>20260408</v>
      </c>
      <c r="H610">
        <v>20260511</v>
      </c>
      <c r="I610">
        <v>21696.435000000001</v>
      </c>
      <c r="J610">
        <f t="shared" si="91"/>
        <v>34</v>
      </c>
      <c r="K610">
        <f t="shared" si="92"/>
        <v>638.13044117647064</v>
      </c>
      <c r="L610">
        <f t="shared" si="93"/>
        <v>0</v>
      </c>
      <c r="M610">
        <f t="shared" si="94"/>
        <v>14677.000147058825</v>
      </c>
      <c r="N610">
        <f t="shared" si="95"/>
        <v>5275.0731726721124</v>
      </c>
      <c r="O610">
        <f t="shared" si="96"/>
        <v>19952.073319730938</v>
      </c>
      <c r="P610">
        <f t="shared" si="97"/>
        <v>0</v>
      </c>
      <c r="Q610">
        <f t="shared" si="98"/>
        <v>15960.174894242346</v>
      </c>
      <c r="R610">
        <f t="shared" si="99"/>
        <v>5736.2601057576549</v>
      </c>
      <c r="S610">
        <f t="shared" si="100"/>
        <v>21696.435000000001</v>
      </c>
    </row>
    <row r="611" spans="1:19" x14ac:dyDescent="0.3">
      <c r="A611" t="s">
        <v>13</v>
      </c>
      <c r="B611" t="s">
        <v>24</v>
      </c>
      <c r="C611" t="s">
        <v>15</v>
      </c>
      <c r="D611">
        <v>28</v>
      </c>
      <c r="E611">
        <v>13</v>
      </c>
      <c r="F611">
        <v>0</v>
      </c>
      <c r="G611">
        <v>20260304</v>
      </c>
      <c r="H611">
        <v>20260413</v>
      </c>
      <c r="I611">
        <v>15636.2037</v>
      </c>
      <c r="J611">
        <f t="shared" si="91"/>
        <v>41</v>
      </c>
      <c r="K611">
        <f t="shared" si="92"/>
        <v>381.37082195121951</v>
      </c>
      <c r="L611">
        <f t="shared" si="93"/>
        <v>17206.062981373681</v>
      </c>
      <c r="M611">
        <f t="shared" si="94"/>
        <v>4957.8206853658539</v>
      </c>
      <c r="N611">
        <f t="shared" si="95"/>
        <v>0</v>
      </c>
      <c r="O611">
        <f t="shared" si="96"/>
        <v>22163.883666739537</v>
      </c>
      <c r="P611">
        <f t="shared" si="97"/>
        <v>12138.554311919715</v>
      </c>
      <c r="Q611">
        <f t="shared" si="98"/>
        <v>3497.6493880802823</v>
      </c>
      <c r="R611">
        <f t="shared" si="99"/>
        <v>0</v>
      </c>
      <c r="S611">
        <f t="shared" si="100"/>
        <v>15636.203699999998</v>
      </c>
    </row>
    <row r="612" spans="1:19" x14ac:dyDescent="0.3">
      <c r="A612" t="s">
        <v>13</v>
      </c>
      <c r="B612" t="s">
        <v>33</v>
      </c>
      <c r="C612" t="s">
        <v>14</v>
      </c>
      <c r="D612">
        <v>0</v>
      </c>
      <c r="E612">
        <v>24</v>
      </c>
      <c r="F612">
        <v>8</v>
      </c>
      <c r="G612">
        <v>20260407</v>
      </c>
      <c r="H612">
        <v>20260508</v>
      </c>
      <c r="I612">
        <v>46806.478300000002</v>
      </c>
      <c r="J612">
        <f t="shared" si="91"/>
        <v>32</v>
      </c>
      <c r="K612">
        <f t="shared" si="92"/>
        <v>1462.7024468750001</v>
      </c>
      <c r="L612">
        <f t="shared" si="93"/>
        <v>0</v>
      </c>
      <c r="M612">
        <f t="shared" si="94"/>
        <v>35104.858724999998</v>
      </c>
      <c r="N612">
        <f t="shared" si="95"/>
        <v>8793.7135667030907</v>
      </c>
      <c r="O612">
        <f t="shared" si="96"/>
        <v>43898.572291703087</v>
      </c>
      <c r="P612">
        <f t="shared" si="97"/>
        <v>0</v>
      </c>
      <c r="Q612">
        <f t="shared" si="98"/>
        <v>37430.256210105348</v>
      </c>
      <c r="R612">
        <f t="shared" si="99"/>
        <v>9376.2220898946525</v>
      </c>
      <c r="S612">
        <f t="shared" si="100"/>
        <v>46806.478300000002</v>
      </c>
    </row>
    <row r="613" spans="1:19" x14ac:dyDescent="0.3">
      <c r="A613" t="s">
        <v>13</v>
      </c>
      <c r="B613" t="s">
        <v>33</v>
      </c>
      <c r="C613" t="s">
        <v>14</v>
      </c>
      <c r="D613">
        <v>0</v>
      </c>
      <c r="E613">
        <v>28</v>
      </c>
      <c r="F613">
        <v>9</v>
      </c>
      <c r="G613">
        <v>20260403</v>
      </c>
      <c r="H613">
        <v>20260509</v>
      </c>
      <c r="I613">
        <v>1855.8910000000001</v>
      </c>
      <c r="J613">
        <f t="shared" si="91"/>
        <v>37</v>
      </c>
      <c r="K613">
        <f t="shared" si="92"/>
        <v>50.159216216216215</v>
      </c>
      <c r="L613">
        <f t="shared" si="93"/>
        <v>0</v>
      </c>
      <c r="M613">
        <f t="shared" si="94"/>
        <v>1404.4580540540539</v>
      </c>
      <c r="N613">
        <f t="shared" si="95"/>
        <v>339.24979322544829</v>
      </c>
      <c r="O613">
        <f t="shared" si="96"/>
        <v>1743.7078472795022</v>
      </c>
      <c r="P613">
        <f t="shared" si="97"/>
        <v>0</v>
      </c>
      <c r="Q613">
        <f t="shared" si="98"/>
        <v>1494.8152389536322</v>
      </c>
      <c r="R613">
        <f t="shared" si="99"/>
        <v>361.07576104636814</v>
      </c>
      <c r="S613">
        <f t="shared" si="100"/>
        <v>1855.8910000000003</v>
      </c>
    </row>
    <row r="614" spans="1:19" x14ac:dyDescent="0.3">
      <c r="A614" t="s">
        <v>13</v>
      </c>
      <c r="B614" t="s">
        <v>33</v>
      </c>
      <c r="C614" t="s">
        <v>14</v>
      </c>
      <c r="D614">
        <v>0</v>
      </c>
      <c r="E614">
        <v>19</v>
      </c>
      <c r="F614">
        <v>0</v>
      </c>
      <c r="G614">
        <v>20260403</v>
      </c>
      <c r="H614">
        <v>20260421</v>
      </c>
      <c r="I614">
        <v>4300.0752000000002</v>
      </c>
      <c r="J614">
        <f t="shared" si="91"/>
        <v>19</v>
      </c>
      <c r="K614">
        <f t="shared" si="92"/>
        <v>226.31974736842108</v>
      </c>
      <c r="L614">
        <f t="shared" si="93"/>
        <v>0</v>
      </c>
      <c r="M614">
        <f t="shared" si="94"/>
        <v>4300.0752000000002</v>
      </c>
      <c r="N614">
        <f t="shared" si="95"/>
        <v>0</v>
      </c>
      <c r="O614">
        <f t="shared" si="96"/>
        <v>4300.0752000000002</v>
      </c>
      <c r="P614">
        <f t="shared" si="97"/>
        <v>0</v>
      </c>
      <c r="Q614">
        <f t="shared" si="98"/>
        <v>4300.0752000000002</v>
      </c>
      <c r="R614">
        <f t="shared" si="99"/>
        <v>0</v>
      </c>
      <c r="S614">
        <f t="shared" si="100"/>
        <v>4300.0752000000002</v>
      </c>
    </row>
    <row r="615" spans="1:19" x14ac:dyDescent="0.3">
      <c r="A615" t="s">
        <v>13</v>
      </c>
      <c r="B615" t="s">
        <v>33</v>
      </c>
      <c r="C615" t="s">
        <v>14</v>
      </c>
      <c r="D615">
        <v>0</v>
      </c>
      <c r="E615">
        <v>25</v>
      </c>
      <c r="F615">
        <v>2</v>
      </c>
      <c r="G615">
        <v>20260406</v>
      </c>
      <c r="H615">
        <v>20260502</v>
      </c>
      <c r="I615">
        <v>1223.5447999999999</v>
      </c>
      <c r="J615">
        <f t="shared" si="91"/>
        <v>27</v>
      </c>
      <c r="K615">
        <f t="shared" si="92"/>
        <v>45.316474074074073</v>
      </c>
      <c r="L615">
        <f t="shared" si="93"/>
        <v>0</v>
      </c>
      <c r="M615">
        <f t="shared" si="94"/>
        <v>1132.9118518518519</v>
      </c>
      <c r="N615">
        <f t="shared" si="95"/>
        <v>68.110245817888682</v>
      </c>
      <c r="O615">
        <f t="shared" si="96"/>
        <v>1201.0220976697406</v>
      </c>
      <c r="P615">
        <f t="shared" si="97"/>
        <v>0</v>
      </c>
      <c r="Q615">
        <f t="shared" si="98"/>
        <v>1154.1572864322727</v>
      </c>
      <c r="R615">
        <f t="shared" si="99"/>
        <v>69.387513567727311</v>
      </c>
      <c r="S615">
        <f t="shared" si="100"/>
        <v>1223.5448000000001</v>
      </c>
    </row>
    <row r="616" spans="1:19" x14ac:dyDescent="0.3">
      <c r="A616" t="s">
        <v>13</v>
      </c>
      <c r="B616" t="s">
        <v>33</v>
      </c>
      <c r="C616" t="s">
        <v>14</v>
      </c>
      <c r="D616">
        <v>24</v>
      </c>
      <c r="E616">
        <v>5</v>
      </c>
      <c r="F616">
        <v>0</v>
      </c>
      <c r="G616">
        <v>20260308</v>
      </c>
      <c r="H616">
        <v>20260405</v>
      </c>
      <c r="I616">
        <v>936.91790000000003</v>
      </c>
      <c r="J616">
        <f t="shared" si="91"/>
        <v>29</v>
      </c>
      <c r="K616">
        <f t="shared" si="92"/>
        <v>32.307513793103446</v>
      </c>
      <c r="L616">
        <f t="shared" si="93"/>
        <v>1249.3691968169928</v>
      </c>
      <c r="M616">
        <f t="shared" si="94"/>
        <v>161.53756896551724</v>
      </c>
      <c r="N616">
        <f t="shared" si="95"/>
        <v>0</v>
      </c>
      <c r="O616">
        <f t="shared" si="96"/>
        <v>1410.9067657825101</v>
      </c>
      <c r="P616">
        <f t="shared" si="97"/>
        <v>829.64827485057492</v>
      </c>
      <c r="Q616">
        <f t="shared" si="98"/>
        <v>107.26962514942511</v>
      </c>
      <c r="R616">
        <f t="shared" si="99"/>
        <v>0</v>
      </c>
      <c r="S616">
        <f t="shared" si="100"/>
        <v>936.91790000000003</v>
      </c>
    </row>
    <row r="617" spans="1:19" x14ac:dyDescent="0.3">
      <c r="A617" t="s">
        <v>13</v>
      </c>
      <c r="B617" t="s">
        <v>33</v>
      </c>
      <c r="C617" t="s">
        <v>14</v>
      </c>
      <c r="D617">
        <v>29</v>
      </c>
      <c r="E617">
        <v>5</v>
      </c>
      <c r="F617">
        <v>0</v>
      </c>
      <c r="G617">
        <v>20260303</v>
      </c>
      <c r="H617">
        <v>20260405</v>
      </c>
      <c r="I617">
        <v>403.21319999999997</v>
      </c>
      <c r="J617">
        <f t="shared" si="91"/>
        <v>34</v>
      </c>
      <c r="K617">
        <f t="shared" si="92"/>
        <v>11.859211764705881</v>
      </c>
      <c r="L617">
        <f t="shared" si="93"/>
        <v>554.15318811347902</v>
      </c>
      <c r="M617">
        <f t="shared" si="94"/>
        <v>59.296058823529407</v>
      </c>
      <c r="N617">
        <f t="shared" si="95"/>
        <v>0</v>
      </c>
      <c r="O617">
        <f t="shared" si="96"/>
        <v>613.44924693700841</v>
      </c>
      <c r="P617">
        <f t="shared" si="97"/>
        <v>364.23857619044696</v>
      </c>
      <c r="Q617">
        <f t="shared" si="98"/>
        <v>38.974623809553066</v>
      </c>
      <c r="R617">
        <f t="shared" si="99"/>
        <v>0</v>
      </c>
      <c r="S617">
        <f t="shared" si="100"/>
        <v>403.21320000000003</v>
      </c>
    </row>
    <row r="618" spans="1:19" x14ac:dyDescent="0.3">
      <c r="A618" t="s">
        <v>13</v>
      </c>
      <c r="B618" t="s">
        <v>33</v>
      </c>
      <c r="C618" t="s">
        <v>14</v>
      </c>
      <c r="D618">
        <v>0</v>
      </c>
      <c r="E618">
        <v>27</v>
      </c>
      <c r="F618">
        <v>9</v>
      </c>
      <c r="G618">
        <v>20260404</v>
      </c>
      <c r="H618">
        <v>20260509</v>
      </c>
      <c r="I618">
        <v>2615.5479999999998</v>
      </c>
      <c r="J618">
        <f t="shared" si="91"/>
        <v>36</v>
      </c>
      <c r="K618">
        <f t="shared" si="92"/>
        <v>72.654111111111106</v>
      </c>
      <c r="L618">
        <f t="shared" si="93"/>
        <v>0</v>
      </c>
      <c r="M618">
        <f t="shared" si="94"/>
        <v>1961.6609999999998</v>
      </c>
      <c r="N618">
        <f t="shared" si="95"/>
        <v>491.39308846406277</v>
      </c>
      <c r="O618">
        <f t="shared" si="96"/>
        <v>2453.0540884640627</v>
      </c>
      <c r="P618">
        <f t="shared" si="97"/>
        <v>0</v>
      </c>
      <c r="Q618">
        <f t="shared" si="98"/>
        <v>2091.6043104620544</v>
      </c>
      <c r="R618">
        <f t="shared" si="99"/>
        <v>523.94368953794526</v>
      </c>
      <c r="S618">
        <f t="shared" si="100"/>
        <v>2615.5479999999998</v>
      </c>
    </row>
    <row r="619" spans="1:19" x14ac:dyDescent="0.3">
      <c r="A619" t="s">
        <v>13</v>
      </c>
      <c r="B619" t="s">
        <v>33</v>
      </c>
      <c r="C619" t="s">
        <v>14</v>
      </c>
      <c r="D619">
        <v>0</v>
      </c>
      <c r="E619">
        <v>25</v>
      </c>
      <c r="F619">
        <v>1</v>
      </c>
      <c r="G619">
        <v>20260406</v>
      </c>
      <c r="H619">
        <v>20260501</v>
      </c>
      <c r="I619">
        <v>7088.2875000000004</v>
      </c>
      <c r="J619">
        <f t="shared" si="91"/>
        <v>26</v>
      </c>
      <c r="K619">
        <f t="shared" si="92"/>
        <v>272.62644230769234</v>
      </c>
      <c r="L619">
        <f t="shared" si="93"/>
        <v>0</v>
      </c>
      <c r="M619">
        <f t="shared" si="94"/>
        <v>6815.6610576923085</v>
      </c>
      <c r="N619">
        <f t="shared" si="95"/>
        <v>204.87752391857703</v>
      </c>
      <c r="O619">
        <f t="shared" si="96"/>
        <v>7020.5385816108856</v>
      </c>
      <c r="P619">
        <f t="shared" si="97"/>
        <v>0</v>
      </c>
      <c r="Q619">
        <f t="shared" si="98"/>
        <v>6881.4328869327246</v>
      </c>
      <c r="R619">
        <f t="shared" si="99"/>
        <v>206.85461306727575</v>
      </c>
      <c r="S619">
        <f t="shared" si="100"/>
        <v>7088.2875000000004</v>
      </c>
    </row>
    <row r="620" spans="1:19" x14ac:dyDescent="0.3">
      <c r="A620" t="s">
        <v>13</v>
      </c>
      <c r="B620" t="s">
        <v>33</v>
      </c>
      <c r="C620" t="s">
        <v>14</v>
      </c>
      <c r="D620">
        <v>28</v>
      </c>
      <c r="E620">
        <v>5</v>
      </c>
      <c r="F620">
        <v>0</v>
      </c>
      <c r="G620">
        <v>20260304</v>
      </c>
      <c r="H620">
        <v>20260405</v>
      </c>
      <c r="I620">
        <v>1469.6451</v>
      </c>
      <c r="J620">
        <f t="shared" si="91"/>
        <v>33</v>
      </c>
      <c r="K620">
        <f t="shared" si="92"/>
        <v>44.534700000000001</v>
      </c>
      <c r="L620">
        <f t="shared" si="93"/>
        <v>2009.2435208758429</v>
      </c>
      <c r="M620">
        <f t="shared" si="94"/>
        <v>222.67349999999999</v>
      </c>
      <c r="N620">
        <f t="shared" si="95"/>
        <v>0</v>
      </c>
      <c r="O620">
        <f t="shared" si="96"/>
        <v>2231.9170208758428</v>
      </c>
      <c r="P620">
        <f t="shared" si="97"/>
        <v>1323.0218092978971</v>
      </c>
      <c r="Q620">
        <f t="shared" si="98"/>
        <v>146.62329070210282</v>
      </c>
      <c r="R620">
        <f t="shared" si="99"/>
        <v>0</v>
      </c>
      <c r="S620">
        <f t="shared" si="100"/>
        <v>1469.6451</v>
      </c>
    </row>
    <row r="621" spans="1:19" x14ac:dyDescent="0.3">
      <c r="A621" t="s">
        <v>13</v>
      </c>
      <c r="B621" t="s">
        <v>24</v>
      </c>
      <c r="C621" t="s">
        <v>14</v>
      </c>
      <c r="D621">
        <v>28</v>
      </c>
      <c r="E621">
        <v>5</v>
      </c>
      <c r="F621">
        <v>0</v>
      </c>
      <c r="G621">
        <v>20260304</v>
      </c>
      <c r="H621">
        <v>20260405</v>
      </c>
      <c r="I621">
        <v>8230.0121999999992</v>
      </c>
      <c r="J621">
        <f t="shared" si="91"/>
        <v>33</v>
      </c>
      <c r="K621">
        <f t="shared" si="92"/>
        <v>249.39430909090908</v>
      </c>
      <c r="L621">
        <f t="shared" si="93"/>
        <v>11251.763224726255</v>
      </c>
      <c r="M621">
        <f t="shared" si="94"/>
        <v>1246.9715454545453</v>
      </c>
      <c r="N621">
        <f t="shared" si="95"/>
        <v>0</v>
      </c>
      <c r="O621">
        <f t="shared" si="96"/>
        <v>12498.734770180801</v>
      </c>
      <c r="P621">
        <f t="shared" si="97"/>
        <v>7408.9218079846396</v>
      </c>
      <c r="Q621">
        <f t="shared" si="98"/>
        <v>821.09039201535973</v>
      </c>
      <c r="R621">
        <f t="shared" si="99"/>
        <v>0</v>
      </c>
      <c r="S621">
        <f t="shared" si="100"/>
        <v>8230.0121999999992</v>
      </c>
    </row>
    <row r="622" spans="1:19" x14ac:dyDescent="0.3">
      <c r="A622" t="s">
        <v>13</v>
      </c>
      <c r="B622" t="s">
        <v>24</v>
      </c>
      <c r="C622" t="s">
        <v>14</v>
      </c>
      <c r="D622">
        <v>22</v>
      </c>
      <c r="E622">
        <v>8</v>
      </c>
      <c r="F622">
        <v>0</v>
      </c>
      <c r="G622">
        <v>20260310</v>
      </c>
      <c r="H622">
        <v>20260408</v>
      </c>
      <c r="I622">
        <v>1450.9884</v>
      </c>
      <c r="J622">
        <f t="shared" si="91"/>
        <v>30</v>
      </c>
      <c r="K622">
        <f t="shared" si="92"/>
        <v>48.366279999999996</v>
      </c>
      <c r="L622">
        <f t="shared" si="93"/>
        <v>1714.5153617091764</v>
      </c>
      <c r="M622">
        <f t="shared" si="94"/>
        <v>386.93023999999997</v>
      </c>
      <c r="N622">
        <f t="shared" si="95"/>
        <v>0</v>
      </c>
      <c r="O622">
        <f t="shared" si="96"/>
        <v>2101.4456017091766</v>
      </c>
      <c r="P622">
        <f t="shared" si="97"/>
        <v>1183.8240777864794</v>
      </c>
      <c r="Q622">
        <f t="shared" si="98"/>
        <v>267.16432221352051</v>
      </c>
      <c r="R622">
        <f t="shared" si="99"/>
        <v>0</v>
      </c>
      <c r="S622">
        <f t="shared" si="100"/>
        <v>1450.9884</v>
      </c>
    </row>
    <row r="623" spans="1:19" x14ac:dyDescent="0.3">
      <c r="A623" t="s">
        <v>13</v>
      </c>
      <c r="B623" t="s">
        <v>33</v>
      </c>
      <c r="C623" t="s">
        <v>15</v>
      </c>
      <c r="D623">
        <v>30</v>
      </c>
      <c r="E623">
        <v>9</v>
      </c>
      <c r="F623">
        <v>0</v>
      </c>
      <c r="G623">
        <v>20260302</v>
      </c>
      <c r="H623">
        <v>20260409</v>
      </c>
      <c r="I623">
        <v>807.93449999999996</v>
      </c>
      <c r="J623">
        <f t="shared" si="91"/>
        <v>39</v>
      </c>
      <c r="K623">
        <f t="shared" si="92"/>
        <v>20.716269230769228</v>
      </c>
      <c r="L623">
        <f t="shared" si="93"/>
        <v>1001.4028321569469</v>
      </c>
      <c r="M623">
        <f t="shared" si="94"/>
        <v>186.44642307692305</v>
      </c>
      <c r="N623">
        <f t="shared" si="95"/>
        <v>0</v>
      </c>
      <c r="O623">
        <f t="shared" si="96"/>
        <v>1187.8492552338701</v>
      </c>
      <c r="P623">
        <f t="shared" si="97"/>
        <v>681.12000991069635</v>
      </c>
      <c r="Q623">
        <f t="shared" si="98"/>
        <v>126.8144900893036</v>
      </c>
      <c r="R623">
        <f t="shared" si="99"/>
        <v>0</v>
      </c>
      <c r="S623">
        <f t="shared" si="100"/>
        <v>807.93449999999996</v>
      </c>
    </row>
    <row r="624" spans="1:19" x14ac:dyDescent="0.3">
      <c r="A624" t="s">
        <v>13</v>
      </c>
      <c r="B624" t="s">
        <v>33</v>
      </c>
      <c r="C624" t="s">
        <v>15</v>
      </c>
      <c r="D624">
        <v>15</v>
      </c>
      <c r="E624">
        <v>20</v>
      </c>
      <c r="F624">
        <v>0</v>
      </c>
      <c r="G624">
        <v>20260317</v>
      </c>
      <c r="H624">
        <v>20260420</v>
      </c>
      <c r="I624">
        <v>15920.1685</v>
      </c>
      <c r="J624">
        <f t="shared" si="91"/>
        <v>35</v>
      </c>
      <c r="K624">
        <f t="shared" si="92"/>
        <v>454.86195714285714</v>
      </c>
      <c r="L624">
        <f t="shared" si="93"/>
        <v>10993.776124679074</v>
      </c>
      <c r="M624">
        <f t="shared" si="94"/>
        <v>9097.2391428571427</v>
      </c>
      <c r="N624">
        <f t="shared" si="95"/>
        <v>0</v>
      </c>
      <c r="O624">
        <f t="shared" si="96"/>
        <v>20091.015267536219</v>
      </c>
      <c r="P624">
        <f t="shared" si="97"/>
        <v>8711.4944678269148</v>
      </c>
      <c r="Q624">
        <f t="shared" si="98"/>
        <v>7208.6740321730831</v>
      </c>
      <c r="R624">
        <f t="shared" si="99"/>
        <v>0</v>
      </c>
      <c r="S624">
        <f t="shared" si="100"/>
        <v>15920.168499999998</v>
      </c>
    </row>
    <row r="625" spans="1:19" x14ac:dyDescent="0.3">
      <c r="A625" t="s">
        <v>13</v>
      </c>
      <c r="B625" t="s">
        <v>24</v>
      </c>
      <c r="C625" t="s">
        <v>15</v>
      </c>
      <c r="D625">
        <v>15</v>
      </c>
      <c r="E625">
        <v>20</v>
      </c>
      <c r="F625">
        <v>0</v>
      </c>
      <c r="G625">
        <v>20260317</v>
      </c>
      <c r="H625">
        <v>20260420</v>
      </c>
      <c r="I625">
        <v>11940.126399999999</v>
      </c>
      <c r="J625">
        <f t="shared" si="91"/>
        <v>35</v>
      </c>
      <c r="K625">
        <f t="shared" si="92"/>
        <v>341.14646857142856</v>
      </c>
      <c r="L625">
        <f t="shared" si="93"/>
        <v>8245.332110773219</v>
      </c>
      <c r="M625">
        <f t="shared" si="94"/>
        <v>6822.9293714285714</v>
      </c>
      <c r="N625">
        <f t="shared" si="95"/>
        <v>0</v>
      </c>
      <c r="O625">
        <f t="shared" si="96"/>
        <v>15068.261482201789</v>
      </c>
      <c r="P625">
        <f t="shared" si="97"/>
        <v>6533.6208645501529</v>
      </c>
      <c r="Q625">
        <f t="shared" si="98"/>
        <v>5406.5055354498463</v>
      </c>
      <c r="R625">
        <f t="shared" si="99"/>
        <v>0</v>
      </c>
      <c r="S625">
        <f t="shared" si="100"/>
        <v>11940.126399999999</v>
      </c>
    </row>
    <row r="626" spans="1:19" x14ac:dyDescent="0.3">
      <c r="A626" t="s">
        <v>13</v>
      </c>
      <c r="B626" t="s">
        <v>33</v>
      </c>
      <c r="C626" t="s">
        <v>14</v>
      </c>
      <c r="D626">
        <v>0</v>
      </c>
      <c r="E626">
        <v>28</v>
      </c>
      <c r="F626">
        <v>10</v>
      </c>
      <c r="G626">
        <v>20260403</v>
      </c>
      <c r="H626">
        <v>20260510</v>
      </c>
      <c r="I626">
        <v>20793.440600000002</v>
      </c>
      <c r="J626">
        <f t="shared" si="91"/>
        <v>38</v>
      </c>
      <c r="K626">
        <f t="shared" si="92"/>
        <v>547.19580526315792</v>
      </c>
      <c r="L626">
        <f t="shared" si="93"/>
        <v>0</v>
      </c>
      <c r="M626">
        <f t="shared" si="94"/>
        <v>15321.482547368421</v>
      </c>
      <c r="N626">
        <f t="shared" si="95"/>
        <v>4112.1514381359939</v>
      </c>
      <c r="O626">
        <f t="shared" si="96"/>
        <v>19433.633985504413</v>
      </c>
      <c r="P626">
        <f t="shared" si="97"/>
        <v>0</v>
      </c>
      <c r="Q626">
        <f t="shared" si="98"/>
        <v>16393.554468005117</v>
      </c>
      <c r="R626">
        <f t="shared" si="99"/>
        <v>4399.8861319948855</v>
      </c>
      <c r="S626">
        <f t="shared" si="100"/>
        <v>20793.440600000002</v>
      </c>
    </row>
    <row r="627" spans="1:19" x14ac:dyDescent="0.3">
      <c r="A627" t="s">
        <v>13</v>
      </c>
      <c r="B627" t="s">
        <v>24</v>
      </c>
      <c r="C627" t="s">
        <v>15</v>
      </c>
      <c r="D627">
        <v>29</v>
      </c>
      <c r="E627">
        <v>8</v>
      </c>
      <c r="F627">
        <v>0</v>
      </c>
      <c r="G627">
        <v>20260303</v>
      </c>
      <c r="H627">
        <v>20260408</v>
      </c>
      <c r="I627">
        <v>20494.478500000001</v>
      </c>
      <c r="J627">
        <f t="shared" si="91"/>
        <v>37</v>
      </c>
      <c r="K627">
        <f t="shared" si="92"/>
        <v>553.90482432432441</v>
      </c>
      <c r="L627">
        <f t="shared" si="93"/>
        <v>25882.675037835746</v>
      </c>
      <c r="M627">
        <f t="shared" si="94"/>
        <v>4431.2385945945953</v>
      </c>
      <c r="N627">
        <f t="shared" si="95"/>
        <v>0</v>
      </c>
      <c r="O627">
        <f t="shared" si="96"/>
        <v>30313.91363243034</v>
      </c>
      <c r="P627">
        <f t="shared" si="97"/>
        <v>17498.628963497638</v>
      </c>
      <c r="Q627">
        <f t="shared" si="98"/>
        <v>2995.8495365023646</v>
      </c>
      <c r="R627">
        <f t="shared" si="99"/>
        <v>0</v>
      </c>
      <c r="S627">
        <f t="shared" si="100"/>
        <v>20494.478500000005</v>
      </c>
    </row>
    <row r="628" spans="1:19" x14ac:dyDescent="0.3">
      <c r="A628" t="s">
        <v>13</v>
      </c>
      <c r="B628" t="s">
        <v>33</v>
      </c>
      <c r="C628" t="s">
        <v>15</v>
      </c>
      <c r="D628">
        <v>23</v>
      </c>
      <c r="E628">
        <v>7</v>
      </c>
      <c r="F628">
        <v>0</v>
      </c>
      <c r="G628">
        <v>20260309</v>
      </c>
      <c r="H628">
        <v>20260407</v>
      </c>
      <c r="I628">
        <v>11062.9656</v>
      </c>
      <c r="J628">
        <f t="shared" si="91"/>
        <v>30</v>
      </c>
      <c r="K628">
        <f t="shared" si="92"/>
        <v>368.76551999999998</v>
      </c>
      <c r="L628">
        <f t="shared" si="93"/>
        <v>13666.400927651801</v>
      </c>
      <c r="M628">
        <f t="shared" si="94"/>
        <v>2581.3586399999999</v>
      </c>
      <c r="N628">
        <f t="shared" si="95"/>
        <v>0</v>
      </c>
      <c r="O628">
        <f t="shared" si="96"/>
        <v>16247.759567651801</v>
      </c>
      <c r="P628">
        <f t="shared" si="97"/>
        <v>9305.3397737021514</v>
      </c>
      <c r="Q628">
        <f t="shared" si="98"/>
        <v>1757.6258262978492</v>
      </c>
      <c r="R628">
        <f t="shared" si="99"/>
        <v>0</v>
      </c>
      <c r="S628">
        <f t="shared" si="100"/>
        <v>11062.965600000001</v>
      </c>
    </row>
    <row r="629" spans="1:19" x14ac:dyDescent="0.3">
      <c r="A629" t="s">
        <v>13</v>
      </c>
      <c r="B629" t="s">
        <v>33</v>
      </c>
      <c r="C629" t="s">
        <v>15</v>
      </c>
      <c r="D629">
        <v>0</v>
      </c>
      <c r="E629">
        <v>21</v>
      </c>
      <c r="F629">
        <v>0</v>
      </c>
      <c r="G629">
        <v>20260407</v>
      </c>
      <c r="H629">
        <v>20260427</v>
      </c>
      <c r="I629">
        <v>3038.7624000000001</v>
      </c>
      <c r="J629">
        <f t="shared" si="91"/>
        <v>21</v>
      </c>
      <c r="K629">
        <f t="shared" si="92"/>
        <v>144.70297142857143</v>
      </c>
      <c r="L629">
        <f t="shared" si="93"/>
        <v>0</v>
      </c>
      <c r="M629">
        <f t="shared" si="94"/>
        <v>3038.7624000000001</v>
      </c>
      <c r="N629">
        <f t="shared" si="95"/>
        <v>0</v>
      </c>
      <c r="O629">
        <f t="shared" si="96"/>
        <v>3038.7624000000001</v>
      </c>
      <c r="P629">
        <f t="shared" si="97"/>
        <v>0</v>
      </c>
      <c r="Q629">
        <f t="shared" si="98"/>
        <v>3038.7624000000001</v>
      </c>
      <c r="R629">
        <f t="shared" si="99"/>
        <v>0</v>
      </c>
      <c r="S629">
        <f t="shared" si="100"/>
        <v>3038.7624000000001</v>
      </c>
    </row>
    <row r="630" spans="1:19" x14ac:dyDescent="0.3">
      <c r="A630" t="s">
        <v>13</v>
      </c>
      <c r="B630" t="s">
        <v>33</v>
      </c>
      <c r="C630" t="s">
        <v>15</v>
      </c>
      <c r="D630">
        <v>0</v>
      </c>
      <c r="E630">
        <v>23</v>
      </c>
      <c r="F630">
        <v>0</v>
      </c>
      <c r="G630">
        <v>20260402</v>
      </c>
      <c r="H630">
        <v>20260424</v>
      </c>
      <c r="I630">
        <v>25973.951499999999</v>
      </c>
      <c r="J630">
        <f t="shared" si="91"/>
        <v>23</v>
      </c>
      <c r="K630">
        <f t="shared" si="92"/>
        <v>1129.3022391304348</v>
      </c>
      <c r="L630">
        <f t="shared" si="93"/>
        <v>0</v>
      </c>
      <c r="M630">
        <f t="shared" si="94"/>
        <v>25973.951500000003</v>
      </c>
      <c r="N630">
        <f t="shared" si="95"/>
        <v>0</v>
      </c>
      <c r="O630">
        <f t="shared" si="96"/>
        <v>25973.951500000003</v>
      </c>
      <c r="P630">
        <f t="shared" si="97"/>
        <v>0</v>
      </c>
      <c r="Q630">
        <f t="shared" si="98"/>
        <v>25973.951499999999</v>
      </c>
      <c r="R630">
        <f t="shared" si="99"/>
        <v>0</v>
      </c>
      <c r="S630">
        <f t="shared" si="100"/>
        <v>25973.951499999999</v>
      </c>
    </row>
    <row r="631" spans="1:19" x14ac:dyDescent="0.3">
      <c r="A631" t="s">
        <v>13</v>
      </c>
      <c r="B631" t="s">
        <v>33</v>
      </c>
      <c r="C631" t="s">
        <v>15</v>
      </c>
      <c r="D631">
        <v>23</v>
      </c>
      <c r="E631">
        <v>6</v>
      </c>
      <c r="F631">
        <v>0</v>
      </c>
      <c r="G631">
        <v>20260309</v>
      </c>
      <c r="H631">
        <v>20260406</v>
      </c>
      <c r="I631">
        <v>1881.8005000000001</v>
      </c>
      <c r="J631">
        <f t="shared" si="91"/>
        <v>29</v>
      </c>
      <c r="K631">
        <f t="shared" si="92"/>
        <v>64.889672413793107</v>
      </c>
      <c r="L631">
        <f t="shared" si="93"/>
        <v>2404.8025945345535</v>
      </c>
      <c r="M631">
        <f t="shared" si="94"/>
        <v>389.33803448275864</v>
      </c>
      <c r="N631">
        <f t="shared" si="95"/>
        <v>0</v>
      </c>
      <c r="O631">
        <f t="shared" si="96"/>
        <v>2794.1406290173122</v>
      </c>
      <c r="P631">
        <f t="shared" si="97"/>
        <v>1619.5887486121162</v>
      </c>
      <c r="Q631">
        <f t="shared" si="98"/>
        <v>262.21175138788368</v>
      </c>
      <c r="R631">
        <f t="shared" si="99"/>
        <v>0</v>
      </c>
      <c r="S631">
        <f t="shared" si="100"/>
        <v>1881.8004999999998</v>
      </c>
    </row>
    <row r="632" spans="1:19" x14ac:dyDescent="0.3">
      <c r="A632" t="s">
        <v>13</v>
      </c>
      <c r="B632" t="s">
        <v>33</v>
      </c>
      <c r="C632" t="s">
        <v>15</v>
      </c>
      <c r="D632">
        <v>0</v>
      </c>
      <c r="E632">
        <v>29</v>
      </c>
      <c r="F632">
        <v>11</v>
      </c>
      <c r="G632">
        <v>20260402</v>
      </c>
      <c r="H632">
        <v>20260511</v>
      </c>
      <c r="I632">
        <v>16616.713500000002</v>
      </c>
      <c r="J632">
        <f t="shared" si="91"/>
        <v>40</v>
      </c>
      <c r="K632">
        <f t="shared" si="92"/>
        <v>415.41783750000002</v>
      </c>
      <c r="L632">
        <f t="shared" si="93"/>
        <v>0</v>
      </c>
      <c r="M632">
        <f t="shared" si="94"/>
        <v>12047.117287500001</v>
      </c>
      <c r="N632">
        <f t="shared" si="95"/>
        <v>3434.0306442765482</v>
      </c>
      <c r="O632">
        <f t="shared" si="96"/>
        <v>15481.14793177655</v>
      </c>
      <c r="P632">
        <f t="shared" si="97"/>
        <v>0</v>
      </c>
      <c r="Q632">
        <f t="shared" si="98"/>
        <v>12930.79152459933</v>
      </c>
      <c r="R632">
        <f t="shared" si="99"/>
        <v>3685.9219754006704</v>
      </c>
      <c r="S632">
        <f t="shared" si="100"/>
        <v>16616.713500000002</v>
      </c>
    </row>
    <row r="633" spans="1:19" x14ac:dyDescent="0.3">
      <c r="A633" t="s">
        <v>13</v>
      </c>
      <c r="B633" t="s">
        <v>33</v>
      </c>
      <c r="C633" t="s">
        <v>14</v>
      </c>
      <c r="D633">
        <v>0</v>
      </c>
      <c r="E633">
        <v>23</v>
      </c>
      <c r="F633">
        <v>3</v>
      </c>
      <c r="G633">
        <v>20260408</v>
      </c>
      <c r="H633">
        <v>20260503</v>
      </c>
      <c r="I633">
        <v>211.04990000000001</v>
      </c>
      <c r="J633">
        <f t="shared" si="91"/>
        <v>26</v>
      </c>
      <c r="K633">
        <f t="shared" si="92"/>
        <v>8.1173038461538471</v>
      </c>
      <c r="L633">
        <f t="shared" si="93"/>
        <v>0</v>
      </c>
      <c r="M633">
        <f t="shared" si="94"/>
        <v>186.69798846153847</v>
      </c>
      <c r="N633">
        <f t="shared" si="95"/>
        <v>18.30035009242922</v>
      </c>
      <c r="O633">
        <f t="shared" si="96"/>
        <v>204.9983385539677</v>
      </c>
      <c r="P633">
        <f t="shared" si="97"/>
        <v>0</v>
      </c>
      <c r="Q633">
        <f t="shared" si="98"/>
        <v>192.20932263622106</v>
      </c>
      <c r="R633">
        <f t="shared" si="99"/>
        <v>18.840577363778952</v>
      </c>
      <c r="S633">
        <f t="shared" si="100"/>
        <v>211.04990000000001</v>
      </c>
    </row>
    <row r="634" spans="1:19" x14ac:dyDescent="0.3">
      <c r="A634" t="s">
        <v>13</v>
      </c>
      <c r="B634" t="s">
        <v>33</v>
      </c>
      <c r="C634" t="s">
        <v>15</v>
      </c>
      <c r="D634">
        <v>0</v>
      </c>
      <c r="E634">
        <v>21</v>
      </c>
      <c r="F634">
        <v>0</v>
      </c>
      <c r="G634">
        <v>20260404</v>
      </c>
      <c r="H634">
        <v>20260424</v>
      </c>
      <c r="I634">
        <v>1012.3279</v>
      </c>
      <c r="J634">
        <f t="shared" si="91"/>
        <v>21</v>
      </c>
      <c r="K634">
        <f t="shared" si="92"/>
        <v>48.206090476190475</v>
      </c>
      <c r="L634">
        <f t="shared" si="93"/>
        <v>0</v>
      </c>
      <c r="M634">
        <f t="shared" si="94"/>
        <v>1012.3279</v>
      </c>
      <c r="N634">
        <f t="shared" si="95"/>
        <v>0</v>
      </c>
      <c r="O634">
        <f t="shared" si="96"/>
        <v>1012.3279</v>
      </c>
      <c r="P634">
        <f t="shared" si="97"/>
        <v>0</v>
      </c>
      <c r="Q634">
        <f t="shared" si="98"/>
        <v>1012.3279</v>
      </c>
      <c r="R634">
        <f t="shared" si="99"/>
        <v>0</v>
      </c>
      <c r="S634">
        <f t="shared" si="100"/>
        <v>1012.3279</v>
      </c>
    </row>
    <row r="635" spans="1:19" x14ac:dyDescent="0.3">
      <c r="A635" t="s">
        <v>13</v>
      </c>
      <c r="B635" t="s">
        <v>24</v>
      </c>
      <c r="C635" t="s">
        <v>15</v>
      </c>
      <c r="D635">
        <v>28</v>
      </c>
      <c r="E635">
        <v>11</v>
      </c>
      <c r="F635">
        <v>0</v>
      </c>
      <c r="G635">
        <v>20260304</v>
      </c>
      <c r="H635">
        <v>20260411</v>
      </c>
      <c r="I635">
        <v>5176.3841000000002</v>
      </c>
      <c r="J635">
        <f t="shared" si="91"/>
        <v>39</v>
      </c>
      <c r="K635">
        <f t="shared" si="92"/>
        <v>132.72779743589743</v>
      </c>
      <c r="L635">
        <f t="shared" si="93"/>
        <v>5988.1949814009795</v>
      </c>
      <c r="M635">
        <f t="shared" si="94"/>
        <v>1460.0057717948716</v>
      </c>
      <c r="N635">
        <f t="shared" si="95"/>
        <v>0</v>
      </c>
      <c r="O635">
        <f t="shared" si="96"/>
        <v>7448.2007531958516</v>
      </c>
      <c r="P635">
        <f t="shared" si="97"/>
        <v>4161.7027140579748</v>
      </c>
      <c r="Q635">
        <f t="shared" si="98"/>
        <v>1014.6813859420251</v>
      </c>
      <c r="R635">
        <f t="shared" si="99"/>
        <v>0</v>
      </c>
      <c r="S635">
        <f t="shared" si="100"/>
        <v>5176.3841000000002</v>
      </c>
    </row>
    <row r="636" spans="1:19" x14ac:dyDescent="0.3">
      <c r="A636" t="s">
        <v>13</v>
      </c>
      <c r="B636" t="s">
        <v>33</v>
      </c>
      <c r="C636" t="s">
        <v>15</v>
      </c>
      <c r="D636">
        <v>0</v>
      </c>
      <c r="E636">
        <v>18</v>
      </c>
      <c r="F636">
        <v>0</v>
      </c>
      <c r="G636">
        <v>20260403</v>
      </c>
      <c r="H636">
        <v>20260420</v>
      </c>
      <c r="I636">
        <v>2697.5805</v>
      </c>
      <c r="J636">
        <f t="shared" si="91"/>
        <v>18</v>
      </c>
      <c r="K636">
        <f t="shared" si="92"/>
        <v>149.86558333333335</v>
      </c>
      <c r="L636">
        <f t="shared" si="93"/>
        <v>0</v>
      </c>
      <c r="M636">
        <f t="shared" si="94"/>
        <v>2697.5805</v>
      </c>
      <c r="N636">
        <f t="shared" si="95"/>
        <v>0</v>
      </c>
      <c r="O636">
        <f t="shared" si="96"/>
        <v>2697.5805</v>
      </c>
      <c r="P636">
        <f t="shared" si="97"/>
        <v>0</v>
      </c>
      <c r="Q636">
        <f t="shared" si="98"/>
        <v>2697.5805</v>
      </c>
      <c r="R636">
        <f t="shared" si="99"/>
        <v>0</v>
      </c>
      <c r="S636">
        <f t="shared" si="100"/>
        <v>2697.5805</v>
      </c>
    </row>
    <row r="637" spans="1:19" x14ac:dyDescent="0.3">
      <c r="A637" t="s">
        <v>13</v>
      </c>
      <c r="B637" t="s">
        <v>24</v>
      </c>
      <c r="C637" t="s">
        <v>15</v>
      </c>
      <c r="D637">
        <v>31</v>
      </c>
      <c r="E637">
        <v>2</v>
      </c>
      <c r="F637">
        <v>0</v>
      </c>
      <c r="G637">
        <v>20260227</v>
      </c>
      <c r="H637">
        <v>20260402</v>
      </c>
      <c r="I637">
        <v>59916.9882</v>
      </c>
      <c r="J637">
        <f t="shared" si="91"/>
        <v>33</v>
      </c>
      <c r="K637">
        <f t="shared" si="92"/>
        <v>1815.6663090909092</v>
      </c>
      <c r="L637">
        <f t="shared" si="93"/>
        <v>90692.994769100915</v>
      </c>
      <c r="M637">
        <f t="shared" si="94"/>
        <v>3631.3326181818184</v>
      </c>
      <c r="N637">
        <f t="shared" si="95"/>
        <v>0</v>
      </c>
      <c r="O637">
        <f t="shared" si="96"/>
        <v>94324.327387282727</v>
      </c>
      <c r="P637">
        <f t="shared" si="97"/>
        <v>57610.281969903845</v>
      </c>
      <c r="Q637">
        <f t="shared" si="98"/>
        <v>2306.7062300961625</v>
      </c>
      <c r="R637">
        <f t="shared" si="99"/>
        <v>0</v>
      </c>
      <c r="S637">
        <f t="shared" si="100"/>
        <v>59916.988200000007</v>
      </c>
    </row>
    <row r="638" spans="1:19" x14ac:dyDescent="0.3">
      <c r="A638" t="s">
        <v>13</v>
      </c>
      <c r="B638" t="s">
        <v>24</v>
      </c>
      <c r="C638" t="s">
        <v>15</v>
      </c>
      <c r="D638">
        <v>31</v>
      </c>
      <c r="E638">
        <v>1</v>
      </c>
      <c r="F638">
        <v>0</v>
      </c>
      <c r="G638">
        <v>20260227</v>
      </c>
      <c r="H638">
        <v>20260401</v>
      </c>
      <c r="I638">
        <v>34837.9041</v>
      </c>
      <c r="J638">
        <f t="shared" si="91"/>
        <v>32</v>
      </c>
      <c r="K638">
        <f t="shared" si="92"/>
        <v>1088.684503125</v>
      </c>
      <c r="L638">
        <f t="shared" si="93"/>
        <v>54380.068326846515</v>
      </c>
      <c r="M638">
        <f t="shared" si="94"/>
        <v>1088.684503125</v>
      </c>
      <c r="N638">
        <f t="shared" si="95"/>
        <v>0</v>
      </c>
      <c r="O638">
        <f t="shared" si="96"/>
        <v>55468.752829971512</v>
      </c>
      <c r="P638">
        <f t="shared" si="97"/>
        <v>34154.141001318407</v>
      </c>
      <c r="Q638">
        <f t="shared" si="98"/>
        <v>683.76309868159649</v>
      </c>
      <c r="R638">
        <f t="shared" si="99"/>
        <v>0</v>
      </c>
      <c r="S638">
        <f t="shared" si="100"/>
        <v>34837.9041</v>
      </c>
    </row>
    <row r="639" spans="1:19" x14ac:dyDescent="0.3">
      <c r="A639" t="s">
        <v>13</v>
      </c>
      <c r="B639" t="s">
        <v>33</v>
      </c>
      <c r="C639" t="s">
        <v>14</v>
      </c>
      <c r="D639">
        <v>31</v>
      </c>
      <c r="E639">
        <v>3</v>
      </c>
      <c r="F639">
        <v>0</v>
      </c>
      <c r="G639">
        <v>20260226</v>
      </c>
      <c r="H639">
        <v>20260403</v>
      </c>
      <c r="I639">
        <v>82.1614</v>
      </c>
      <c r="J639">
        <f t="shared" si="91"/>
        <v>34</v>
      </c>
      <c r="K639">
        <f t="shared" si="92"/>
        <v>2.4165117647058825</v>
      </c>
      <c r="L639">
        <f t="shared" si="93"/>
        <v>120.70537837190665</v>
      </c>
      <c r="M639">
        <f t="shared" si="94"/>
        <v>7.2495352941176474</v>
      </c>
      <c r="N639">
        <f t="shared" si="95"/>
        <v>0</v>
      </c>
      <c r="O639">
        <f t="shared" si="96"/>
        <v>127.9549136660243</v>
      </c>
      <c r="P639">
        <f t="shared" si="97"/>
        <v>77.506385573052867</v>
      </c>
      <c r="Q639">
        <f t="shared" si="98"/>
        <v>4.6550144269471305</v>
      </c>
      <c r="R639">
        <f t="shared" si="99"/>
        <v>0</v>
      </c>
      <c r="S639">
        <f t="shared" si="100"/>
        <v>82.1614</v>
      </c>
    </row>
    <row r="640" spans="1:19" x14ac:dyDescent="0.3">
      <c r="A640" t="s">
        <v>13</v>
      </c>
      <c r="B640" t="s">
        <v>33</v>
      </c>
      <c r="C640" t="s">
        <v>14</v>
      </c>
      <c r="D640">
        <v>14</v>
      </c>
      <c r="E640">
        <v>4</v>
      </c>
      <c r="F640">
        <v>0</v>
      </c>
      <c r="G640">
        <v>20260318</v>
      </c>
      <c r="H640">
        <v>20260404</v>
      </c>
      <c r="I640">
        <v>908.49620000000004</v>
      </c>
      <c r="J640">
        <f t="shared" si="91"/>
        <v>18</v>
      </c>
      <c r="K640">
        <f t="shared" si="92"/>
        <v>50.472011111111115</v>
      </c>
      <c r="L640">
        <f t="shared" si="93"/>
        <v>1138.5566907442237</v>
      </c>
      <c r="M640">
        <f t="shared" si="94"/>
        <v>201.88804444444446</v>
      </c>
      <c r="N640">
        <f t="shared" si="95"/>
        <v>0</v>
      </c>
      <c r="O640">
        <f t="shared" si="96"/>
        <v>1340.4447351886681</v>
      </c>
      <c r="P640">
        <f t="shared" si="97"/>
        <v>771.66510477592635</v>
      </c>
      <c r="Q640">
        <f t="shared" si="98"/>
        <v>136.83109522407372</v>
      </c>
      <c r="R640">
        <f t="shared" si="99"/>
        <v>0</v>
      </c>
      <c r="S640">
        <f t="shared" si="100"/>
        <v>908.49620000000004</v>
      </c>
    </row>
    <row r="641" spans="1:19" x14ac:dyDescent="0.3">
      <c r="A641" t="s">
        <v>13</v>
      </c>
      <c r="B641" t="s">
        <v>33</v>
      </c>
      <c r="C641" t="s">
        <v>15</v>
      </c>
      <c r="D641">
        <v>14</v>
      </c>
      <c r="E641">
        <v>8</v>
      </c>
      <c r="F641">
        <v>0</v>
      </c>
      <c r="G641">
        <v>20260318</v>
      </c>
      <c r="H641">
        <v>20260408</v>
      </c>
      <c r="I641">
        <v>842.61839999999995</v>
      </c>
      <c r="J641">
        <f t="shared" si="91"/>
        <v>22</v>
      </c>
      <c r="K641">
        <f t="shared" si="92"/>
        <v>38.300836363636364</v>
      </c>
      <c r="L641">
        <f t="shared" si="93"/>
        <v>863.99714501009601</v>
      </c>
      <c r="M641">
        <f t="shared" si="94"/>
        <v>306.40669090909091</v>
      </c>
      <c r="N641">
        <f t="shared" si="95"/>
        <v>0</v>
      </c>
      <c r="O641">
        <f t="shared" si="96"/>
        <v>1170.4038359191868</v>
      </c>
      <c r="P641">
        <f t="shared" si="97"/>
        <v>622.02452656968467</v>
      </c>
      <c r="Q641">
        <f t="shared" si="98"/>
        <v>220.5938734303154</v>
      </c>
      <c r="R641">
        <f t="shared" si="99"/>
        <v>0</v>
      </c>
      <c r="S641">
        <f t="shared" si="100"/>
        <v>842.61840000000007</v>
      </c>
    </row>
    <row r="642" spans="1:19" x14ac:dyDescent="0.3">
      <c r="A642" t="s">
        <v>13</v>
      </c>
      <c r="B642" t="s">
        <v>33</v>
      </c>
      <c r="C642" t="s">
        <v>15</v>
      </c>
      <c r="D642">
        <v>0</v>
      </c>
      <c r="E642">
        <v>14</v>
      </c>
      <c r="F642">
        <v>4</v>
      </c>
      <c r="G642">
        <v>20260417</v>
      </c>
      <c r="H642">
        <v>20260504</v>
      </c>
      <c r="I642">
        <v>4011.4495999999999</v>
      </c>
      <c r="J642">
        <f t="shared" si="91"/>
        <v>18</v>
      </c>
      <c r="K642">
        <f t="shared" si="92"/>
        <v>222.85831111111111</v>
      </c>
      <c r="L642">
        <f t="shared" si="93"/>
        <v>0</v>
      </c>
      <c r="M642">
        <f t="shared" si="94"/>
        <v>3120.0163555555555</v>
      </c>
      <c r="N642">
        <f t="shared" si="95"/>
        <v>669.90800420729488</v>
      </c>
      <c r="O642">
        <f t="shared" si="96"/>
        <v>3789.9243597628501</v>
      </c>
      <c r="P642">
        <f t="shared" si="97"/>
        <v>0</v>
      </c>
      <c r="Q642">
        <f t="shared" si="98"/>
        <v>3302.3847373750623</v>
      </c>
      <c r="R642">
        <f t="shared" si="99"/>
        <v>709.06486262493797</v>
      </c>
      <c r="S642">
        <f t="shared" si="100"/>
        <v>4011.4496000000004</v>
      </c>
    </row>
    <row r="643" spans="1:19" x14ac:dyDescent="0.3">
      <c r="A643" t="s">
        <v>13</v>
      </c>
      <c r="B643" t="s">
        <v>24</v>
      </c>
      <c r="C643" t="s">
        <v>15</v>
      </c>
      <c r="D643">
        <v>14</v>
      </c>
      <c r="E643">
        <v>7</v>
      </c>
      <c r="F643">
        <v>0</v>
      </c>
      <c r="G643">
        <v>20260318</v>
      </c>
      <c r="H643">
        <v>20260407</v>
      </c>
      <c r="I643">
        <v>5195.9027999999998</v>
      </c>
      <c r="J643">
        <f t="shared" si="91"/>
        <v>21</v>
      </c>
      <c r="K643">
        <f t="shared" si="92"/>
        <v>247.42394285714286</v>
      </c>
      <c r="L643">
        <f t="shared" si="93"/>
        <v>5581.4337370103431</v>
      </c>
      <c r="M643">
        <f t="shared" si="94"/>
        <v>1731.9675999999999</v>
      </c>
      <c r="N643">
        <f t="shared" si="95"/>
        <v>0</v>
      </c>
      <c r="O643">
        <f t="shared" si="96"/>
        <v>7313.401337010343</v>
      </c>
      <c r="P643">
        <f t="shared" si="97"/>
        <v>3965.4034895344198</v>
      </c>
      <c r="Q643">
        <f t="shared" si="98"/>
        <v>1230.4993104655803</v>
      </c>
      <c r="R643">
        <f t="shared" si="99"/>
        <v>0</v>
      </c>
      <c r="S643">
        <f t="shared" si="100"/>
        <v>5195.9027999999998</v>
      </c>
    </row>
    <row r="644" spans="1:19" x14ac:dyDescent="0.3">
      <c r="A644" t="s">
        <v>13</v>
      </c>
      <c r="B644" t="s">
        <v>33</v>
      </c>
      <c r="C644" t="s">
        <v>15</v>
      </c>
      <c r="D644">
        <v>0</v>
      </c>
      <c r="E644">
        <v>18</v>
      </c>
      <c r="F644">
        <v>1</v>
      </c>
      <c r="G644">
        <v>20260413</v>
      </c>
      <c r="H644">
        <v>20260501</v>
      </c>
      <c r="I644">
        <v>13132.834000000001</v>
      </c>
      <c r="J644">
        <f t="shared" si="91"/>
        <v>19</v>
      </c>
      <c r="K644">
        <f t="shared" si="92"/>
        <v>691.20178947368424</v>
      </c>
      <c r="L644">
        <f t="shared" si="93"/>
        <v>0</v>
      </c>
      <c r="M644">
        <f t="shared" si="94"/>
        <v>12441.632210526317</v>
      </c>
      <c r="N644">
        <f t="shared" si="95"/>
        <v>519.43498200967542</v>
      </c>
      <c r="O644">
        <f t="shared" si="96"/>
        <v>12961.067192535993</v>
      </c>
      <c r="P644">
        <f t="shared" si="97"/>
        <v>0</v>
      </c>
      <c r="Q644">
        <f t="shared" si="98"/>
        <v>12606.515195291195</v>
      </c>
      <c r="R644">
        <f t="shared" si="99"/>
        <v>526.31880470880526</v>
      </c>
      <c r="S644">
        <f t="shared" si="100"/>
        <v>13132.834000000001</v>
      </c>
    </row>
    <row r="645" spans="1:19" x14ac:dyDescent="0.3">
      <c r="A645" t="s">
        <v>13</v>
      </c>
      <c r="B645" t="s">
        <v>33</v>
      </c>
      <c r="C645" t="s">
        <v>15</v>
      </c>
      <c r="D645">
        <v>9</v>
      </c>
      <c r="E645">
        <v>3</v>
      </c>
      <c r="F645">
        <v>0</v>
      </c>
      <c r="G645">
        <v>20260323</v>
      </c>
      <c r="H645">
        <v>20260403</v>
      </c>
      <c r="I645">
        <v>2502.7559999999999</v>
      </c>
      <c r="J645">
        <f t="shared" si="91"/>
        <v>12</v>
      </c>
      <c r="K645">
        <f t="shared" si="92"/>
        <v>208.56299999999999</v>
      </c>
      <c r="L645">
        <f t="shared" si="93"/>
        <v>3024.5153201563335</v>
      </c>
      <c r="M645">
        <f t="shared" si="94"/>
        <v>625.68899999999996</v>
      </c>
      <c r="N645">
        <f t="shared" si="95"/>
        <v>0</v>
      </c>
      <c r="O645">
        <f t="shared" si="96"/>
        <v>3650.2043201563333</v>
      </c>
      <c r="P645">
        <f t="shared" si="97"/>
        <v>2073.7534671179687</v>
      </c>
      <c r="Q645">
        <f t="shared" si="98"/>
        <v>429.00253288203123</v>
      </c>
      <c r="R645">
        <f t="shared" si="99"/>
        <v>0</v>
      </c>
      <c r="S645">
        <f t="shared" si="100"/>
        <v>2502.7559999999999</v>
      </c>
    </row>
    <row r="646" spans="1:19" x14ac:dyDescent="0.3">
      <c r="A646" t="s">
        <v>13</v>
      </c>
      <c r="B646" t="s">
        <v>33</v>
      </c>
      <c r="C646" t="s">
        <v>15</v>
      </c>
      <c r="D646">
        <v>14</v>
      </c>
      <c r="E646">
        <v>1</v>
      </c>
      <c r="F646">
        <v>0</v>
      </c>
      <c r="G646">
        <v>20260318</v>
      </c>
      <c r="H646">
        <v>20260401</v>
      </c>
      <c r="I646">
        <v>61.85</v>
      </c>
      <c r="J646">
        <f t="shared" si="91"/>
        <v>15</v>
      </c>
      <c r="K646">
        <f t="shared" si="92"/>
        <v>4.1233333333333331</v>
      </c>
      <c r="L646">
        <f t="shared" si="93"/>
        <v>93.014893828984938</v>
      </c>
      <c r="M646">
        <f t="shared" si="94"/>
        <v>4.1233333333333331</v>
      </c>
      <c r="N646">
        <f t="shared" si="95"/>
        <v>0</v>
      </c>
      <c r="O646">
        <f t="shared" si="96"/>
        <v>97.138227162318273</v>
      </c>
      <c r="P646">
        <f t="shared" si="97"/>
        <v>59.224584917629663</v>
      </c>
      <c r="Q646">
        <f t="shared" si="98"/>
        <v>2.6254150823703402</v>
      </c>
      <c r="R646">
        <f t="shared" si="99"/>
        <v>0</v>
      </c>
      <c r="S646">
        <f t="shared" si="100"/>
        <v>61.85</v>
      </c>
    </row>
    <row r="647" spans="1:19" x14ac:dyDescent="0.3">
      <c r="A647" t="s">
        <v>13</v>
      </c>
      <c r="B647" t="s">
        <v>33</v>
      </c>
      <c r="C647" t="s">
        <v>15</v>
      </c>
      <c r="D647">
        <v>0</v>
      </c>
      <c r="E647">
        <v>8</v>
      </c>
      <c r="F647">
        <v>1</v>
      </c>
      <c r="G647">
        <v>20260423</v>
      </c>
      <c r="H647">
        <v>20260501</v>
      </c>
      <c r="I647">
        <v>13876.3529</v>
      </c>
      <c r="J647">
        <f t="shared" si="91"/>
        <v>9</v>
      </c>
      <c r="K647">
        <f t="shared" si="92"/>
        <v>1541.8169888888888</v>
      </c>
      <c r="L647">
        <f t="shared" si="93"/>
        <v>0</v>
      </c>
      <c r="M647">
        <f t="shared" si="94"/>
        <v>12334.53591111111</v>
      </c>
      <c r="N647">
        <f t="shared" si="95"/>
        <v>1158.6684121514461</v>
      </c>
      <c r="O647">
        <f t="shared" si="96"/>
        <v>13493.204323262556</v>
      </c>
      <c r="P647">
        <f t="shared" si="97"/>
        <v>0</v>
      </c>
      <c r="Q647">
        <f t="shared" si="98"/>
        <v>12684.783322017907</v>
      </c>
      <c r="R647">
        <f t="shared" si="99"/>
        <v>1191.5695779820928</v>
      </c>
      <c r="S647">
        <f t="shared" si="100"/>
        <v>13876.3529</v>
      </c>
    </row>
    <row r="648" spans="1:19" x14ac:dyDescent="0.3">
      <c r="A648" t="s">
        <v>13</v>
      </c>
      <c r="B648" t="s">
        <v>24</v>
      </c>
      <c r="C648" t="s">
        <v>14</v>
      </c>
      <c r="D648">
        <v>13</v>
      </c>
      <c r="E648">
        <v>1</v>
      </c>
      <c r="F648">
        <v>0</v>
      </c>
      <c r="G648">
        <v>20260319</v>
      </c>
      <c r="H648">
        <v>20260401</v>
      </c>
      <c r="I648">
        <v>2859.4917</v>
      </c>
      <c r="J648">
        <f t="shared" si="91"/>
        <v>14</v>
      </c>
      <c r="K648">
        <f t="shared" si="92"/>
        <v>204.24940714285714</v>
      </c>
      <c r="L648">
        <f t="shared" si="93"/>
        <v>4278.3880348828561</v>
      </c>
      <c r="M648">
        <f t="shared" si="94"/>
        <v>204.24940714285714</v>
      </c>
      <c r="N648">
        <f t="shared" si="95"/>
        <v>0</v>
      </c>
      <c r="O648">
        <f t="shared" si="96"/>
        <v>4482.6374420257134</v>
      </c>
      <c r="P648">
        <f t="shared" si="97"/>
        <v>2729.2002160224361</v>
      </c>
      <c r="Q648">
        <f t="shared" si="98"/>
        <v>130.29148397756379</v>
      </c>
      <c r="R648">
        <f t="shared" si="99"/>
        <v>0</v>
      </c>
      <c r="S648">
        <f t="shared" si="100"/>
        <v>2859.4917</v>
      </c>
    </row>
    <row r="649" spans="1:19" x14ac:dyDescent="0.3">
      <c r="A649" t="s">
        <v>13</v>
      </c>
      <c r="B649" t="s">
        <v>24</v>
      </c>
      <c r="C649" t="s">
        <v>15</v>
      </c>
      <c r="D649">
        <v>5</v>
      </c>
      <c r="E649">
        <v>30</v>
      </c>
      <c r="F649">
        <v>1</v>
      </c>
      <c r="G649">
        <v>20260327</v>
      </c>
      <c r="H649">
        <v>20260501</v>
      </c>
      <c r="I649">
        <v>5981.9655000000002</v>
      </c>
      <c r="J649">
        <f t="shared" si="91"/>
        <v>36</v>
      </c>
      <c r="K649">
        <f t="shared" si="92"/>
        <v>166.16570833333333</v>
      </c>
      <c r="L649">
        <f t="shared" si="93"/>
        <v>1338.7128177598231</v>
      </c>
      <c r="M649">
        <f t="shared" si="94"/>
        <v>4984.9712499999996</v>
      </c>
      <c r="N649">
        <f t="shared" si="95"/>
        <v>124.87276947658437</v>
      </c>
      <c r="O649">
        <f t="shared" si="96"/>
        <v>6448.5568372364069</v>
      </c>
      <c r="P649">
        <f t="shared" si="97"/>
        <v>1241.8490047269265</v>
      </c>
      <c r="Q649">
        <f t="shared" si="98"/>
        <v>4624.2790113596175</v>
      </c>
      <c r="R649">
        <f t="shared" si="99"/>
        <v>115.83748391345627</v>
      </c>
      <c r="S649">
        <f t="shared" si="100"/>
        <v>5981.9655000000012</v>
      </c>
    </row>
    <row r="650" spans="1:19" x14ac:dyDescent="0.3">
      <c r="A650" t="s">
        <v>13</v>
      </c>
      <c r="B650" t="s">
        <v>24</v>
      </c>
      <c r="C650" t="s">
        <v>15</v>
      </c>
      <c r="D650">
        <v>1</v>
      </c>
      <c r="E650">
        <v>30</v>
      </c>
      <c r="F650">
        <v>2</v>
      </c>
      <c r="G650">
        <v>20260331</v>
      </c>
      <c r="H650">
        <v>20260502</v>
      </c>
      <c r="I650">
        <v>1046.5938000000001</v>
      </c>
      <c r="J650">
        <f t="shared" si="91"/>
        <v>33</v>
      </c>
      <c r="K650">
        <f t="shared" si="92"/>
        <v>31.714963636363638</v>
      </c>
      <c r="L650">
        <f t="shared" si="93"/>
        <v>51.102274663814796</v>
      </c>
      <c r="M650">
        <f t="shared" si="94"/>
        <v>951.44890909090918</v>
      </c>
      <c r="N650">
        <f t="shared" si="95"/>
        <v>47.66730010475257</v>
      </c>
      <c r="O650">
        <f t="shared" si="96"/>
        <v>1050.2184838594765</v>
      </c>
      <c r="P650">
        <f t="shared" si="97"/>
        <v>50.925902229884905</v>
      </c>
      <c r="Q650">
        <f t="shared" si="98"/>
        <v>948.16511475963398</v>
      </c>
      <c r="R650">
        <f t="shared" si="99"/>
        <v>47.502783010481323</v>
      </c>
      <c r="S650">
        <f t="shared" si="100"/>
        <v>1046.5938000000001</v>
      </c>
    </row>
    <row r="651" spans="1:19" x14ac:dyDescent="0.3">
      <c r="A651" t="s">
        <v>13</v>
      </c>
      <c r="B651" t="s">
        <v>33</v>
      </c>
      <c r="C651" t="s">
        <v>14</v>
      </c>
      <c r="D651">
        <v>8</v>
      </c>
      <c r="E651">
        <v>1</v>
      </c>
      <c r="F651">
        <v>0</v>
      </c>
      <c r="G651">
        <v>20260324</v>
      </c>
      <c r="H651">
        <v>20260401</v>
      </c>
      <c r="I651">
        <v>775.3895</v>
      </c>
      <c r="J651">
        <f t="shared" ref="J651:J714" si="101">IF(D651&lt;0,0,D651)+E651+F651</f>
        <v>9</v>
      </c>
      <c r="K651">
        <f t="shared" ref="K651:K714" si="102">I651/J651</f>
        <v>86.154388888888889</v>
      </c>
      <c r="L651">
        <f t="shared" ref="L651:L714" si="103">IF(D651&lt;0,0,D651)*$K651*$B$6</f>
        <v>1110.5635295624547</v>
      </c>
      <c r="M651">
        <f t="shared" ref="M651:M714" si="104">IF(E651&lt;0,0,E651)*$K651*$C$6</f>
        <v>86.154388888888889</v>
      </c>
      <c r="N651">
        <f t="shared" ref="N651:N714" si="105">IF(F651&lt;0,0,F651)*$K651*$D$6</f>
        <v>0</v>
      </c>
      <c r="O651">
        <f t="shared" ref="O651:O714" si="106">L651+M651+N651</f>
        <v>1196.7179184513436</v>
      </c>
      <c r="P651">
        <f t="shared" ref="P651:P714" si="107">L651/$O651*$I651</f>
        <v>719.56748255263847</v>
      </c>
      <c r="Q651">
        <f t="shared" ref="Q651:Q714" si="108">M651/$O651*$I651</f>
        <v>55.822017447361553</v>
      </c>
      <c r="R651">
        <f t="shared" ref="R651:R714" si="109">N651/$O651*$I651</f>
        <v>0</v>
      </c>
      <c r="S651">
        <f t="shared" ref="S651:S714" si="110">P651+Q651+R651</f>
        <v>775.3895</v>
      </c>
    </row>
    <row r="652" spans="1:19" x14ac:dyDescent="0.3">
      <c r="A652" t="s">
        <v>13</v>
      </c>
      <c r="B652" t="s">
        <v>24</v>
      </c>
      <c r="C652" t="s">
        <v>15</v>
      </c>
      <c r="D652">
        <v>7</v>
      </c>
      <c r="E652">
        <v>1</v>
      </c>
      <c r="F652">
        <v>0</v>
      </c>
      <c r="G652">
        <v>20260325</v>
      </c>
      <c r="H652">
        <v>20260401</v>
      </c>
      <c r="I652">
        <v>11544.365900000001</v>
      </c>
      <c r="J652">
        <f t="shared" si="101"/>
        <v>8</v>
      </c>
      <c r="K652">
        <f t="shared" si="102"/>
        <v>1443.0457375000001</v>
      </c>
      <c r="L652">
        <f t="shared" si="103"/>
        <v>16276.242449142899</v>
      </c>
      <c r="M652">
        <f t="shared" si="104"/>
        <v>1443.0457375000001</v>
      </c>
      <c r="N652">
        <f t="shared" si="105"/>
        <v>0</v>
      </c>
      <c r="O652">
        <f t="shared" si="106"/>
        <v>17719.288186642898</v>
      </c>
      <c r="P652">
        <f t="shared" si="107"/>
        <v>10604.20127100022</v>
      </c>
      <c r="Q652">
        <f t="shared" si="108"/>
        <v>940.16462899978285</v>
      </c>
      <c r="R652">
        <f t="shared" si="109"/>
        <v>0</v>
      </c>
      <c r="S652">
        <f t="shared" si="110"/>
        <v>11544.365900000003</v>
      </c>
    </row>
    <row r="653" spans="1:19" x14ac:dyDescent="0.3">
      <c r="A653" t="s">
        <v>13</v>
      </c>
      <c r="B653" t="s">
        <v>33</v>
      </c>
      <c r="C653" t="s">
        <v>15</v>
      </c>
      <c r="D653">
        <v>8</v>
      </c>
      <c r="E653">
        <v>2</v>
      </c>
      <c r="F653">
        <v>0</v>
      </c>
      <c r="G653">
        <v>20260324</v>
      </c>
      <c r="H653">
        <v>20260402</v>
      </c>
      <c r="I653">
        <v>287.45119999999997</v>
      </c>
      <c r="J653">
        <f t="shared" si="101"/>
        <v>10</v>
      </c>
      <c r="K653">
        <f t="shared" si="102"/>
        <v>28.745119999999996</v>
      </c>
      <c r="L653">
        <f t="shared" si="103"/>
        <v>370.53575954287072</v>
      </c>
      <c r="M653">
        <f t="shared" si="104"/>
        <v>57.490239999999993</v>
      </c>
      <c r="N653">
        <f t="shared" si="105"/>
        <v>0</v>
      </c>
      <c r="O653">
        <f t="shared" si="106"/>
        <v>428.02599954287069</v>
      </c>
      <c r="P653">
        <f t="shared" si="107"/>
        <v>248.84224051170423</v>
      </c>
      <c r="Q653">
        <f t="shared" si="108"/>
        <v>38.60895948829576</v>
      </c>
      <c r="R653">
        <f t="shared" si="109"/>
        <v>0</v>
      </c>
      <c r="S653">
        <f t="shared" si="110"/>
        <v>287.45119999999997</v>
      </c>
    </row>
    <row r="654" spans="1:19" x14ac:dyDescent="0.3">
      <c r="A654" t="s">
        <v>13</v>
      </c>
      <c r="B654" t="s">
        <v>24</v>
      </c>
      <c r="C654" t="s">
        <v>15</v>
      </c>
      <c r="D654">
        <v>14</v>
      </c>
      <c r="E654">
        <v>2</v>
      </c>
      <c r="F654">
        <v>0</v>
      </c>
      <c r="G654">
        <v>20260318</v>
      </c>
      <c r="H654">
        <v>20260402</v>
      </c>
      <c r="I654">
        <v>1180.6065000000001</v>
      </c>
      <c r="J654">
        <f t="shared" si="101"/>
        <v>16</v>
      </c>
      <c r="K654">
        <f t="shared" si="102"/>
        <v>73.787906250000006</v>
      </c>
      <c r="L654">
        <f t="shared" si="103"/>
        <v>1664.5208405109568</v>
      </c>
      <c r="M654">
        <f t="shared" si="104"/>
        <v>147.57581250000001</v>
      </c>
      <c r="N654">
        <f t="shared" si="105"/>
        <v>0</v>
      </c>
      <c r="O654">
        <f t="shared" si="106"/>
        <v>1812.0966530109567</v>
      </c>
      <c r="P654">
        <f t="shared" si="107"/>
        <v>1084.4587789660338</v>
      </c>
      <c r="Q654">
        <f t="shared" si="108"/>
        <v>96.147721033966178</v>
      </c>
      <c r="R654">
        <f t="shared" si="109"/>
        <v>0</v>
      </c>
      <c r="S654">
        <f t="shared" si="110"/>
        <v>1180.6065000000001</v>
      </c>
    </row>
    <row r="655" spans="1:19" x14ac:dyDescent="0.3">
      <c r="A655" t="s">
        <v>13</v>
      </c>
      <c r="B655" t="s">
        <v>33</v>
      </c>
      <c r="C655" t="s">
        <v>15</v>
      </c>
      <c r="D655">
        <v>20</v>
      </c>
      <c r="E655">
        <v>7</v>
      </c>
      <c r="F655">
        <v>0</v>
      </c>
      <c r="G655">
        <v>20260312</v>
      </c>
      <c r="H655">
        <v>20260407</v>
      </c>
      <c r="I655">
        <v>3503.4324999999999</v>
      </c>
      <c r="J655">
        <f t="shared" si="101"/>
        <v>27</v>
      </c>
      <c r="K655">
        <f t="shared" si="102"/>
        <v>129.75675925925927</v>
      </c>
      <c r="L655">
        <f t="shared" si="103"/>
        <v>4181.5375399329578</v>
      </c>
      <c r="M655">
        <f t="shared" si="104"/>
        <v>908.29731481481485</v>
      </c>
      <c r="N655">
        <f t="shared" si="105"/>
        <v>0</v>
      </c>
      <c r="O655">
        <f t="shared" si="106"/>
        <v>5089.8348547477726</v>
      </c>
      <c r="P655">
        <f t="shared" si="107"/>
        <v>2878.2337611024791</v>
      </c>
      <c r="Q655">
        <f t="shared" si="108"/>
        <v>625.1987388975208</v>
      </c>
      <c r="R655">
        <f t="shared" si="109"/>
        <v>0</v>
      </c>
      <c r="S655">
        <f t="shared" si="110"/>
        <v>3503.4324999999999</v>
      </c>
    </row>
    <row r="656" spans="1:19" x14ac:dyDescent="0.3">
      <c r="A656" t="s">
        <v>13</v>
      </c>
      <c r="B656" t="s">
        <v>33</v>
      </c>
      <c r="C656" t="s">
        <v>15</v>
      </c>
      <c r="D656">
        <v>0</v>
      </c>
      <c r="E656">
        <v>8</v>
      </c>
      <c r="F656">
        <v>4</v>
      </c>
      <c r="G656">
        <v>20260423</v>
      </c>
      <c r="H656">
        <v>20260504</v>
      </c>
      <c r="I656">
        <v>4007.0374000000002</v>
      </c>
      <c r="J656">
        <f t="shared" si="101"/>
        <v>12</v>
      </c>
      <c r="K656">
        <f t="shared" si="102"/>
        <v>333.91978333333333</v>
      </c>
      <c r="L656">
        <f t="shared" si="103"/>
        <v>0</v>
      </c>
      <c r="M656">
        <f t="shared" si="104"/>
        <v>2671.3582666666666</v>
      </c>
      <c r="N656">
        <f t="shared" si="105"/>
        <v>1003.7567569406784</v>
      </c>
      <c r="O656">
        <f t="shared" si="106"/>
        <v>3675.1150236073449</v>
      </c>
      <c r="P656">
        <f t="shared" si="107"/>
        <v>0</v>
      </c>
      <c r="Q656">
        <f t="shared" si="108"/>
        <v>2912.6251599128627</v>
      </c>
      <c r="R656">
        <f t="shared" si="109"/>
        <v>1094.4122400871377</v>
      </c>
      <c r="S656">
        <f t="shared" si="110"/>
        <v>4007.0374000000002</v>
      </c>
    </row>
    <row r="657" spans="1:19" x14ac:dyDescent="0.3">
      <c r="A657" t="s">
        <v>13</v>
      </c>
      <c r="B657" t="s">
        <v>33</v>
      </c>
      <c r="C657" t="s">
        <v>15</v>
      </c>
      <c r="D657">
        <v>0</v>
      </c>
      <c r="E657">
        <v>7</v>
      </c>
      <c r="F657">
        <v>7</v>
      </c>
      <c r="G657">
        <v>20260424</v>
      </c>
      <c r="H657">
        <v>20260507</v>
      </c>
      <c r="I657">
        <v>42.177399999999999</v>
      </c>
      <c r="J657">
        <f t="shared" si="101"/>
        <v>14</v>
      </c>
      <c r="K657">
        <f t="shared" si="102"/>
        <v>3.0126714285714287</v>
      </c>
      <c r="L657">
        <f t="shared" si="103"/>
        <v>0</v>
      </c>
      <c r="M657">
        <f t="shared" si="104"/>
        <v>21.088699999999999</v>
      </c>
      <c r="N657">
        <f t="shared" si="105"/>
        <v>15.848061552977931</v>
      </c>
      <c r="O657">
        <f t="shared" si="106"/>
        <v>36.936761552977927</v>
      </c>
      <c r="P657">
        <f t="shared" si="107"/>
        <v>0</v>
      </c>
      <c r="Q657">
        <f t="shared" si="108"/>
        <v>24.080793712904406</v>
      </c>
      <c r="R657">
        <f t="shared" si="109"/>
        <v>18.0966062870956</v>
      </c>
      <c r="S657">
        <f t="shared" si="110"/>
        <v>42.177400000000006</v>
      </c>
    </row>
    <row r="658" spans="1:19" x14ac:dyDescent="0.3">
      <c r="A658" t="s">
        <v>13</v>
      </c>
      <c r="B658" t="s">
        <v>33</v>
      </c>
      <c r="C658" t="s">
        <v>15</v>
      </c>
      <c r="D658">
        <v>16</v>
      </c>
      <c r="E658">
        <v>8</v>
      </c>
      <c r="F658">
        <v>0</v>
      </c>
      <c r="G658">
        <v>20260316</v>
      </c>
      <c r="H658">
        <v>20260408</v>
      </c>
      <c r="I658">
        <v>491.30829999999997</v>
      </c>
      <c r="J658">
        <f t="shared" si="101"/>
        <v>24</v>
      </c>
      <c r="K658">
        <f t="shared" si="102"/>
        <v>20.471179166666666</v>
      </c>
      <c r="L658">
        <f t="shared" si="103"/>
        <v>527.76289827692665</v>
      </c>
      <c r="M658">
        <f t="shared" si="104"/>
        <v>163.76943333333332</v>
      </c>
      <c r="N658">
        <f t="shared" si="105"/>
        <v>0</v>
      </c>
      <c r="O658">
        <f t="shared" si="106"/>
        <v>691.53233161025992</v>
      </c>
      <c r="P658">
        <f t="shared" si="107"/>
        <v>374.95613798957584</v>
      </c>
      <c r="Q658">
        <f t="shared" si="108"/>
        <v>116.35216201042415</v>
      </c>
      <c r="R658">
        <f t="shared" si="109"/>
        <v>0</v>
      </c>
      <c r="S658">
        <f t="shared" si="110"/>
        <v>491.30829999999997</v>
      </c>
    </row>
    <row r="659" spans="1:19" x14ac:dyDescent="0.3">
      <c r="A659" t="s">
        <v>13</v>
      </c>
      <c r="B659" t="s">
        <v>24</v>
      </c>
      <c r="C659" t="s">
        <v>15</v>
      </c>
      <c r="D659">
        <v>21</v>
      </c>
      <c r="E659">
        <v>3</v>
      </c>
      <c r="F659">
        <v>0</v>
      </c>
      <c r="G659">
        <v>20260311</v>
      </c>
      <c r="H659">
        <v>20260403</v>
      </c>
      <c r="I659">
        <v>221.0472</v>
      </c>
      <c r="J659">
        <f t="shared" si="101"/>
        <v>24</v>
      </c>
      <c r="K659">
        <f t="shared" si="102"/>
        <v>9.2103000000000002</v>
      </c>
      <c r="L659">
        <f t="shared" si="103"/>
        <v>311.65140217048912</v>
      </c>
      <c r="M659">
        <f t="shared" si="104"/>
        <v>27.6309</v>
      </c>
      <c r="N659">
        <f t="shared" si="105"/>
        <v>0</v>
      </c>
      <c r="O659">
        <f t="shared" si="106"/>
        <v>339.28230217048912</v>
      </c>
      <c r="P659">
        <f t="shared" si="107"/>
        <v>203.04527935926211</v>
      </c>
      <c r="Q659">
        <f t="shared" si="108"/>
        <v>18.001920640737897</v>
      </c>
      <c r="R659">
        <f t="shared" si="109"/>
        <v>0</v>
      </c>
      <c r="S659">
        <f t="shared" si="110"/>
        <v>221.0472</v>
      </c>
    </row>
    <row r="660" spans="1:19" x14ac:dyDescent="0.3">
      <c r="A660" t="s">
        <v>13</v>
      </c>
      <c r="B660" t="s">
        <v>33</v>
      </c>
      <c r="C660" t="s">
        <v>15</v>
      </c>
      <c r="D660">
        <v>0</v>
      </c>
      <c r="E660">
        <v>30</v>
      </c>
      <c r="F660">
        <v>5</v>
      </c>
      <c r="G660">
        <v>20260401</v>
      </c>
      <c r="H660">
        <v>20260505</v>
      </c>
      <c r="I660">
        <v>11469.286400000001</v>
      </c>
      <c r="J660">
        <f t="shared" si="101"/>
        <v>35</v>
      </c>
      <c r="K660">
        <f t="shared" si="102"/>
        <v>327.69389714285717</v>
      </c>
      <c r="L660">
        <f t="shared" si="103"/>
        <v>0</v>
      </c>
      <c r="M660">
        <f t="shared" si="104"/>
        <v>9830.816914285715</v>
      </c>
      <c r="N660">
        <f t="shared" si="105"/>
        <v>1231.3023212562225</v>
      </c>
      <c r="O660">
        <f t="shared" si="106"/>
        <v>11062.119235541937</v>
      </c>
      <c r="P660">
        <f t="shared" si="107"/>
        <v>0</v>
      </c>
      <c r="Q660">
        <f t="shared" si="108"/>
        <v>10192.663117717999</v>
      </c>
      <c r="R660">
        <f t="shared" si="109"/>
        <v>1276.6232822820025</v>
      </c>
      <c r="S660">
        <f t="shared" si="110"/>
        <v>11469.286400000001</v>
      </c>
    </row>
    <row r="661" spans="1:19" x14ac:dyDescent="0.3">
      <c r="A661" t="s">
        <v>13</v>
      </c>
      <c r="B661" t="s">
        <v>33</v>
      </c>
      <c r="C661" t="s">
        <v>15</v>
      </c>
      <c r="D661">
        <v>0</v>
      </c>
      <c r="E661">
        <v>20</v>
      </c>
      <c r="F661">
        <v>4</v>
      </c>
      <c r="G661">
        <v>20260411</v>
      </c>
      <c r="H661">
        <v>20260504</v>
      </c>
      <c r="I661">
        <v>11864.0574</v>
      </c>
      <c r="J661">
        <f t="shared" si="101"/>
        <v>24</v>
      </c>
      <c r="K661">
        <f t="shared" si="102"/>
        <v>494.33572499999997</v>
      </c>
      <c r="L661">
        <f t="shared" si="103"/>
        <v>0</v>
      </c>
      <c r="M661">
        <f t="shared" si="104"/>
        <v>9886.7145</v>
      </c>
      <c r="N661">
        <f t="shared" si="105"/>
        <v>1485.9641414854348</v>
      </c>
      <c r="O661">
        <f t="shared" si="106"/>
        <v>11372.678641485434</v>
      </c>
      <c r="P661">
        <f t="shared" si="107"/>
        <v>0</v>
      </c>
      <c r="Q661">
        <f t="shared" si="108"/>
        <v>10313.889280009735</v>
      </c>
      <c r="R661">
        <f t="shared" si="109"/>
        <v>1550.1681199902653</v>
      </c>
      <c r="S661">
        <f t="shared" si="110"/>
        <v>11864.0574</v>
      </c>
    </row>
    <row r="662" spans="1:19" x14ac:dyDescent="0.3">
      <c r="A662" t="s">
        <v>13</v>
      </c>
      <c r="B662" t="s">
        <v>33</v>
      </c>
      <c r="C662" t="s">
        <v>14</v>
      </c>
      <c r="D662">
        <v>16</v>
      </c>
      <c r="E662">
        <v>6</v>
      </c>
      <c r="F662">
        <v>0</v>
      </c>
      <c r="G662">
        <v>20260316</v>
      </c>
      <c r="H662">
        <v>20260406</v>
      </c>
      <c r="I662">
        <v>103.36620000000001</v>
      </c>
      <c r="J662">
        <f t="shared" si="101"/>
        <v>22</v>
      </c>
      <c r="K662">
        <f t="shared" si="102"/>
        <v>4.6984636363636367</v>
      </c>
      <c r="L662">
        <f t="shared" si="103"/>
        <v>121.13004170339583</v>
      </c>
      <c r="M662">
        <f t="shared" si="104"/>
        <v>28.190781818181819</v>
      </c>
      <c r="N662">
        <f t="shared" si="105"/>
        <v>0</v>
      </c>
      <c r="O662">
        <f t="shared" si="106"/>
        <v>149.32082352157767</v>
      </c>
      <c r="P662">
        <f t="shared" si="107"/>
        <v>83.851346526442356</v>
      </c>
      <c r="Q662">
        <f t="shared" si="108"/>
        <v>19.514853473557629</v>
      </c>
      <c r="R662">
        <f t="shared" si="109"/>
        <v>0</v>
      </c>
      <c r="S662">
        <f t="shared" si="110"/>
        <v>103.36619999999999</v>
      </c>
    </row>
    <row r="663" spans="1:19" x14ac:dyDescent="0.3">
      <c r="A663" t="s">
        <v>13</v>
      </c>
      <c r="B663" t="s">
        <v>33</v>
      </c>
      <c r="C663" t="s">
        <v>14</v>
      </c>
      <c r="D663">
        <v>0</v>
      </c>
      <c r="E663">
        <v>11</v>
      </c>
      <c r="F663">
        <v>3</v>
      </c>
      <c r="G663">
        <v>20260420</v>
      </c>
      <c r="H663">
        <v>20260503</v>
      </c>
      <c r="I663">
        <v>5868.1480000000001</v>
      </c>
      <c r="J663">
        <f t="shared" si="101"/>
        <v>14</v>
      </c>
      <c r="K663">
        <f t="shared" si="102"/>
        <v>419.15342857142861</v>
      </c>
      <c r="L663">
        <f t="shared" si="103"/>
        <v>0</v>
      </c>
      <c r="M663">
        <f t="shared" si="104"/>
        <v>4610.6877142857147</v>
      </c>
      <c r="N663">
        <f t="shared" si="105"/>
        <v>944.9756508663512</v>
      </c>
      <c r="O663">
        <f t="shared" si="106"/>
        <v>5555.663365152066</v>
      </c>
      <c r="P663">
        <f t="shared" si="107"/>
        <v>0</v>
      </c>
      <c r="Q663">
        <f t="shared" si="108"/>
        <v>4870.0211137558226</v>
      </c>
      <c r="R663">
        <f t="shared" si="109"/>
        <v>998.12688624417694</v>
      </c>
      <c r="S663">
        <f t="shared" si="110"/>
        <v>5868.1479999999992</v>
      </c>
    </row>
    <row r="664" spans="1:19" x14ac:dyDescent="0.3">
      <c r="A664" t="s">
        <v>13</v>
      </c>
      <c r="B664" t="s">
        <v>24</v>
      </c>
      <c r="C664" t="s">
        <v>15</v>
      </c>
      <c r="D664">
        <v>15</v>
      </c>
      <c r="E664">
        <v>6</v>
      </c>
      <c r="F664">
        <v>0</v>
      </c>
      <c r="G664">
        <v>20260317</v>
      </c>
      <c r="H664">
        <v>20260406</v>
      </c>
      <c r="I664">
        <v>2737.8031000000001</v>
      </c>
      <c r="J664">
        <f t="shared" si="101"/>
        <v>21</v>
      </c>
      <c r="K664">
        <f t="shared" si="102"/>
        <v>130.37157619047619</v>
      </c>
      <c r="L664">
        <f t="shared" si="103"/>
        <v>3151.0129593218353</v>
      </c>
      <c r="M664">
        <f t="shared" si="104"/>
        <v>782.2294571428572</v>
      </c>
      <c r="N664">
        <f t="shared" si="105"/>
        <v>0</v>
      </c>
      <c r="O664">
        <f t="shared" si="106"/>
        <v>3933.2424164646927</v>
      </c>
      <c r="P664">
        <f t="shared" si="107"/>
        <v>2193.3184214782136</v>
      </c>
      <c r="Q664">
        <f t="shared" si="108"/>
        <v>544.48467852178612</v>
      </c>
      <c r="R664">
        <f t="shared" si="109"/>
        <v>0</v>
      </c>
      <c r="S664">
        <f t="shared" si="110"/>
        <v>2737.8030999999996</v>
      </c>
    </row>
    <row r="665" spans="1:19" x14ac:dyDescent="0.3">
      <c r="A665" t="s">
        <v>13</v>
      </c>
      <c r="B665" t="s">
        <v>33</v>
      </c>
      <c r="C665" t="s">
        <v>15</v>
      </c>
      <c r="D665">
        <v>0</v>
      </c>
      <c r="E665">
        <v>21</v>
      </c>
      <c r="F665">
        <v>9</v>
      </c>
      <c r="G665">
        <v>20260410</v>
      </c>
      <c r="H665">
        <v>20260509</v>
      </c>
      <c r="I665">
        <v>7388.6478999999999</v>
      </c>
      <c r="J665">
        <f t="shared" si="101"/>
        <v>30</v>
      </c>
      <c r="K665">
        <f t="shared" si="102"/>
        <v>246.28826333333333</v>
      </c>
      <c r="L665">
        <f t="shared" si="103"/>
        <v>0</v>
      </c>
      <c r="M665">
        <f t="shared" si="104"/>
        <v>5172.0535300000001</v>
      </c>
      <c r="N665">
        <f t="shared" si="105"/>
        <v>1665.7605264309482</v>
      </c>
      <c r="O665">
        <f t="shared" si="106"/>
        <v>6837.8140564309488</v>
      </c>
      <c r="P665">
        <f t="shared" si="107"/>
        <v>0</v>
      </c>
      <c r="Q665">
        <f t="shared" si="108"/>
        <v>5588.698689046897</v>
      </c>
      <c r="R665">
        <f t="shared" si="109"/>
        <v>1799.9492109531027</v>
      </c>
      <c r="S665">
        <f t="shared" si="110"/>
        <v>7388.6478999999999</v>
      </c>
    </row>
    <row r="666" spans="1:19" x14ac:dyDescent="0.3">
      <c r="A666" t="s">
        <v>13</v>
      </c>
      <c r="B666" t="s">
        <v>33</v>
      </c>
      <c r="C666" t="s">
        <v>15</v>
      </c>
      <c r="D666">
        <v>4</v>
      </c>
      <c r="E666">
        <v>30</v>
      </c>
      <c r="F666">
        <v>5</v>
      </c>
      <c r="G666">
        <v>20260328</v>
      </c>
      <c r="H666">
        <v>20260505</v>
      </c>
      <c r="I666">
        <v>832.77160000000003</v>
      </c>
      <c r="J666">
        <f t="shared" si="101"/>
        <v>39</v>
      </c>
      <c r="K666">
        <f t="shared" si="102"/>
        <v>21.353117948717948</v>
      </c>
      <c r="L666">
        <f t="shared" si="103"/>
        <v>137.62499126350338</v>
      </c>
      <c r="M666">
        <f t="shared" si="104"/>
        <v>640.5935384615384</v>
      </c>
      <c r="N666">
        <f t="shared" si="105"/>
        <v>80.233852157619935</v>
      </c>
      <c r="O666">
        <f t="shared" si="106"/>
        <v>858.45238188266171</v>
      </c>
      <c r="P666">
        <f t="shared" si="107"/>
        <v>133.50791097246827</v>
      </c>
      <c r="Q666">
        <f t="shared" si="108"/>
        <v>621.43004927580762</v>
      </c>
      <c r="R666">
        <f t="shared" si="109"/>
        <v>77.833639751724149</v>
      </c>
      <c r="S666">
        <f t="shared" si="110"/>
        <v>832.77160000000003</v>
      </c>
    </row>
    <row r="667" spans="1:19" x14ac:dyDescent="0.3">
      <c r="A667" t="s">
        <v>13</v>
      </c>
      <c r="B667" t="s">
        <v>33</v>
      </c>
      <c r="C667" t="s">
        <v>15</v>
      </c>
      <c r="D667">
        <v>0</v>
      </c>
      <c r="E667">
        <v>9</v>
      </c>
      <c r="F667">
        <v>0</v>
      </c>
      <c r="G667">
        <v>20260401</v>
      </c>
      <c r="H667">
        <v>20260409</v>
      </c>
      <c r="I667">
        <v>1093.5797</v>
      </c>
      <c r="J667">
        <f t="shared" si="101"/>
        <v>9</v>
      </c>
      <c r="K667">
        <f t="shared" si="102"/>
        <v>121.50885555555556</v>
      </c>
      <c r="L667">
        <f t="shared" si="103"/>
        <v>0</v>
      </c>
      <c r="M667">
        <f t="shared" si="104"/>
        <v>1093.5797</v>
      </c>
      <c r="N667">
        <f t="shared" si="105"/>
        <v>0</v>
      </c>
      <c r="O667">
        <f t="shared" si="106"/>
        <v>1093.5797</v>
      </c>
      <c r="P667">
        <f t="shared" si="107"/>
        <v>0</v>
      </c>
      <c r="Q667">
        <f t="shared" si="108"/>
        <v>1093.5797</v>
      </c>
      <c r="R667">
        <f t="shared" si="109"/>
        <v>0</v>
      </c>
      <c r="S667">
        <f t="shared" si="110"/>
        <v>1093.5797</v>
      </c>
    </row>
    <row r="668" spans="1:19" x14ac:dyDescent="0.3">
      <c r="A668" t="s">
        <v>13</v>
      </c>
      <c r="B668" t="s">
        <v>33</v>
      </c>
      <c r="C668" t="s">
        <v>14</v>
      </c>
      <c r="D668">
        <v>0</v>
      </c>
      <c r="E668">
        <v>10</v>
      </c>
      <c r="F668">
        <v>4</v>
      </c>
      <c r="G668">
        <v>20260421</v>
      </c>
      <c r="H668">
        <v>20260504</v>
      </c>
      <c r="I668">
        <v>2574.3865000000001</v>
      </c>
      <c r="J668">
        <f t="shared" si="101"/>
        <v>14</v>
      </c>
      <c r="K668">
        <f t="shared" si="102"/>
        <v>183.88475</v>
      </c>
      <c r="L668">
        <f t="shared" si="103"/>
        <v>0</v>
      </c>
      <c r="M668">
        <f t="shared" si="104"/>
        <v>1838.8474999999999</v>
      </c>
      <c r="N668">
        <f t="shared" si="105"/>
        <v>552.75419284336328</v>
      </c>
      <c r="O668">
        <f t="shared" si="106"/>
        <v>2391.6016928433633</v>
      </c>
      <c r="P668">
        <f t="shared" si="107"/>
        <v>0</v>
      </c>
      <c r="Q668">
        <f t="shared" si="108"/>
        <v>1979.3865315133787</v>
      </c>
      <c r="R668">
        <f t="shared" si="109"/>
        <v>594.99996848662124</v>
      </c>
      <c r="S668">
        <f t="shared" si="110"/>
        <v>2574.3865000000001</v>
      </c>
    </row>
    <row r="669" spans="1:19" x14ac:dyDescent="0.3">
      <c r="A669" t="s">
        <v>13</v>
      </c>
      <c r="B669" t="s">
        <v>33</v>
      </c>
      <c r="C669" t="s">
        <v>15</v>
      </c>
      <c r="D669">
        <v>0</v>
      </c>
      <c r="E669">
        <v>23</v>
      </c>
      <c r="F669">
        <v>6</v>
      </c>
      <c r="G669">
        <v>20260408</v>
      </c>
      <c r="H669">
        <v>20260506</v>
      </c>
      <c r="I669">
        <v>1098217.1846</v>
      </c>
      <c r="J669">
        <f t="shared" si="101"/>
        <v>29</v>
      </c>
      <c r="K669">
        <f t="shared" si="102"/>
        <v>37869.558089655176</v>
      </c>
      <c r="L669">
        <f t="shared" si="103"/>
        <v>0</v>
      </c>
      <c r="M669">
        <f t="shared" si="104"/>
        <v>870999.83606206905</v>
      </c>
      <c r="N669">
        <f t="shared" si="105"/>
        <v>170752.79773213007</v>
      </c>
      <c r="O669">
        <f t="shared" si="106"/>
        <v>1041752.6337941991</v>
      </c>
      <c r="P669">
        <f t="shared" si="107"/>
        <v>0</v>
      </c>
      <c r="Q669">
        <f t="shared" si="108"/>
        <v>918209.32985144283</v>
      </c>
      <c r="R669">
        <f t="shared" si="109"/>
        <v>180007.85474855726</v>
      </c>
      <c r="S669">
        <f t="shared" si="110"/>
        <v>1098217.1846</v>
      </c>
    </row>
    <row r="670" spans="1:19" x14ac:dyDescent="0.3">
      <c r="A670" t="s">
        <v>13</v>
      </c>
      <c r="B670" t="s">
        <v>33</v>
      </c>
      <c r="C670" t="s">
        <v>14</v>
      </c>
      <c r="D670">
        <v>0</v>
      </c>
      <c r="E670">
        <v>15</v>
      </c>
      <c r="F670">
        <v>15</v>
      </c>
      <c r="G670">
        <v>20260416</v>
      </c>
      <c r="H670">
        <v>20260515</v>
      </c>
      <c r="I670">
        <v>21890433.717700001</v>
      </c>
      <c r="J670">
        <f t="shared" si="101"/>
        <v>30</v>
      </c>
      <c r="K670">
        <f t="shared" si="102"/>
        <v>729681.12392333336</v>
      </c>
      <c r="L670">
        <f t="shared" si="103"/>
        <v>0</v>
      </c>
      <c r="M670">
        <f t="shared" si="104"/>
        <v>10945216.85885</v>
      </c>
      <c r="N670">
        <f t="shared" si="105"/>
        <v>8225280.3866405506</v>
      </c>
      <c r="O670">
        <f t="shared" si="106"/>
        <v>19170497.245490551</v>
      </c>
      <c r="P670">
        <f t="shared" si="107"/>
        <v>0</v>
      </c>
      <c r="Q670">
        <f t="shared" si="108"/>
        <v>12498139.255666321</v>
      </c>
      <c r="R670">
        <f t="shared" si="109"/>
        <v>9392294.4620336797</v>
      </c>
      <c r="S670">
        <f t="shared" si="110"/>
        <v>21890433.717700001</v>
      </c>
    </row>
    <row r="671" spans="1:19" x14ac:dyDescent="0.3">
      <c r="A671" t="s">
        <v>13</v>
      </c>
      <c r="B671" t="s">
        <v>24</v>
      </c>
      <c r="C671" t="s">
        <v>14</v>
      </c>
      <c r="D671">
        <v>15</v>
      </c>
      <c r="E671">
        <v>15</v>
      </c>
      <c r="F671">
        <v>0</v>
      </c>
      <c r="G671">
        <v>20260317</v>
      </c>
      <c r="H671">
        <v>20260415</v>
      </c>
      <c r="I671">
        <v>8891487.2721999995</v>
      </c>
      <c r="J671">
        <f t="shared" si="101"/>
        <v>30</v>
      </c>
      <c r="K671">
        <f t="shared" si="102"/>
        <v>296382.90907333331</v>
      </c>
      <c r="L671">
        <f t="shared" si="103"/>
        <v>7163420.238527433</v>
      </c>
      <c r="M671">
        <f t="shared" si="104"/>
        <v>4445743.6360999998</v>
      </c>
      <c r="N671">
        <f t="shared" si="105"/>
        <v>0</v>
      </c>
      <c r="O671">
        <f t="shared" si="106"/>
        <v>11609163.874627434</v>
      </c>
      <c r="P671">
        <f t="shared" si="107"/>
        <v>5486481.2456901101</v>
      </c>
      <c r="Q671">
        <f t="shared" si="108"/>
        <v>3405006.026509888</v>
      </c>
      <c r="R671">
        <f t="shared" si="109"/>
        <v>0</v>
      </c>
      <c r="S671">
        <f t="shared" si="110"/>
        <v>8891487.2721999977</v>
      </c>
    </row>
    <row r="672" spans="1:19" x14ac:dyDescent="0.3">
      <c r="A672" t="s">
        <v>13</v>
      </c>
      <c r="B672" t="s">
        <v>24</v>
      </c>
      <c r="C672" t="s">
        <v>14</v>
      </c>
      <c r="D672">
        <v>26</v>
      </c>
      <c r="E672">
        <v>3</v>
      </c>
      <c r="F672">
        <v>0</v>
      </c>
      <c r="G672">
        <v>20260306</v>
      </c>
      <c r="H672">
        <v>20260403</v>
      </c>
      <c r="I672">
        <v>755444.38589999999</v>
      </c>
      <c r="J672">
        <f t="shared" si="101"/>
        <v>29</v>
      </c>
      <c r="K672">
        <f t="shared" si="102"/>
        <v>26049.806410344827</v>
      </c>
      <c r="L672">
        <f t="shared" si="103"/>
        <v>1091324.3922327012</v>
      </c>
      <c r="M672">
        <f t="shared" si="104"/>
        <v>78149.419231034481</v>
      </c>
      <c r="N672">
        <f t="shared" si="105"/>
        <v>0</v>
      </c>
      <c r="O672">
        <f t="shared" si="106"/>
        <v>1169473.8114637358</v>
      </c>
      <c r="P672">
        <f t="shared" si="107"/>
        <v>704962.24646197516</v>
      </c>
      <c r="Q672">
        <f t="shared" si="108"/>
        <v>50482.139438024678</v>
      </c>
      <c r="R672">
        <f t="shared" si="109"/>
        <v>0</v>
      </c>
      <c r="S672">
        <f t="shared" si="110"/>
        <v>755444.38589999988</v>
      </c>
    </row>
    <row r="673" spans="1:19" x14ac:dyDescent="0.3">
      <c r="A673" t="s">
        <v>13</v>
      </c>
      <c r="B673" t="s">
        <v>33</v>
      </c>
      <c r="C673" t="s">
        <v>15</v>
      </c>
      <c r="D673">
        <v>26</v>
      </c>
      <c r="E673">
        <v>3</v>
      </c>
      <c r="F673">
        <v>0</v>
      </c>
      <c r="G673">
        <v>20260306</v>
      </c>
      <c r="H673">
        <v>20260403</v>
      </c>
      <c r="I673">
        <v>346577.71120000002</v>
      </c>
      <c r="J673">
        <f t="shared" si="101"/>
        <v>29</v>
      </c>
      <c r="K673">
        <f t="shared" si="102"/>
        <v>11950.95555862069</v>
      </c>
      <c r="L673">
        <f t="shared" si="103"/>
        <v>500670.4889151266</v>
      </c>
      <c r="M673">
        <f t="shared" si="104"/>
        <v>35852.866675862067</v>
      </c>
      <c r="N673">
        <f t="shared" si="105"/>
        <v>0</v>
      </c>
      <c r="O673">
        <f t="shared" si="106"/>
        <v>536523.35559098865</v>
      </c>
      <c r="P673">
        <f t="shared" si="107"/>
        <v>323417.85367843544</v>
      </c>
      <c r="Q673">
        <f t="shared" si="108"/>
        <v>23159.857521564583</v>
      </c>
      <c r="R673">
        <f t="shared" si="109"/>
        <v>0</v>
      </c>
      <c r="S673">
        <f t="shared" si="110"/>
        <v>346577.71120000002</v>
      </c>
    </row>
    <row r="674" spans="1:19" x14ac:dyDescent="0.3">
      <c r="A674" t="s">
        <v>13</v>
      </c>
      <c r="B674" t="s">
        <v>24</v>
      </c>
      <c r="C674" t="s">
        <v>15</v>
      </c>
      <c r="D674">
        <v>27</v>
      </c>
      <c r="E674">
        <v>1</v>
      </c>
      <c r="F674">
        <v>0</v>
      </c>
      <c r="G674">
        <v>20260305</v>
      </c>
      <c r="H674">
        <v>20260401</v>
      </c>
      <c r="I674">
        <v>3864154.5383000001</v>
      </c>
      <c r="J674">
        <f t="shared" si="101"/>
        <v>28</v>
      </c>
      <c r="K674">
        <f t="shared" si="102"/>
        <v>138005.519225</v>
      </c>
      <c r="L674">
        <f t="shared" si="103"/>
        <v>6003938.4813529998</v>
      </c>
      <c r="M674">
        <f t="shared" si="104"/>
        <v>138005.519225</v>
      </c>
      <c r="N674">
        <f t="shared" si="105"/>
        <v>0</v>
      </c>
      <c r="O674">
        <f t="shared" si="106"/>
        <v>6141944.0005780002</v>
      </c>
      <c r="P674">
        <f t="shared" si="107"/>
        <v>3777329.4787791795</v>
      </c>
      <c r="Q674">
        <f t="shared" si="108"/>
        <v>86825.059520820563</v>
      </c>
      <c r="R674">
        <f t="shared" si="109"/>
        <v>0</v>
      </c>
      <c r="S674">
        <f t="shared" si="110"/>
        <v>3864154.5383000001</v>
      </c>
    </row>
    <row r="675" spans="1:19" x14ac:dyDescent="0.3">
      <c r="A675" t="s">
        <v>13</v>
      </c>
      <c r="B675" t="s">
        <v>33</v>
      </c>
      <c r="C675" t="s">
        <v>15</v>
      </c>
      <c r="D675">
        <v>27</v>
      </c>
      <c r="E675">
        <v>2</v>
      </c>
      <c r="F675">
        <v>0</v>
      </c>
      <c r="G675">
        <v>20260305</v>
      </c>
      <c r="H675">
        <v>20260402</v>
      </c>
      <c r="I675">
        <v>519407.4779</v>
      </c>
      <c r="J675">
        <f t="shared" si="101"/>
        <v>29</v>
      </c>
      <c r="K675">
        <f t="shared" si="102"/>
        <v>17910.602686206897</v>
      </c>
      <c r="L675">
        <f t="shared" si="103"/>
        <v>779201.85580854618</v>
      </c>
      <c r="M675">
        <f t="shared" si="104"/>
        <v>35821.205372413795</v>
      </c>
      <c r="N675">
        <f t="shared" si="105"/>
        <v>0</v>
      </c>
      <c r="O675">
        <f t="shared" si="106"/>
        <v>815023.06118095992</v>
      </c>
      <c r="P675">
        <f t="shared" si="107"/>
        <v>496578.91902356315</v>
      </c>
      <c r="Q675">
        <f t="shared" si="108"/>
        <v>22828.558876436902</v>
      </c>
      <c r="R675">
        <f t="shared" si="109"/>
        <v>0</v>
      </c>
      <c r="S675">
        <f t="shared" si="110"/>
        <v>519407.47790000006</v>
      </c>
    </row>
    <row r="676" spans="1:19" x14ac:dyDescent="0.3">
      <c r="A676" t="s">
        <v>13</v>
      </c>
      <c r="B676" t="s">
        <v>33</v>
      </c>
      <c r="C676" t="s">
        <v>14</v>
      </c>
      <c r="D676">
        <v>0</v>
      </c>
      <c r="E676">
        <v>24</v>
      </c>
      <c r="F676">
        <v>1</v>
      </c>
      <c r="G676">
        <v>20260407</v>
      </c>
      <c r="H676">
        <v>20260501</v>
      </c>
      <c r="I676">
        <v>305849.9595</v>
      </c>
      <c r="J676">
        <f t="shared" si="101"/>
        <v>25</v>
      </c>
      <c r="K676">
        <f t="shared" si="102"/>
        <v>12233.998379999999</v>
      </c>
      <c r="L676">
        <f t="shared" si="103"/>
        <v>0</v>
      </c>
      <c r="M676">
        <f t="shared" si="104"/>
        <v>293615.96111999999</v>
      </c>
      <c r="N676">
        <f t="shared" si="105"/>
        <v>9193.7938026180982</v>
      </c>
      <c r="O676">
        <f t="shared" si="106"/>
        <v>302809.7549226181</v>
      </c>
      <c r="P676">
        <f t="shared" si="107"/>
        <v>0</v>
      </c>
      <c r="Q676">
        <f t="shared" si="108"/>
        <v>296563.86017040384</v>
      </c>
      <c r="R676">
        <f t="shared" si="109"/>
        <v>9286.0993295961434</v>
      </c>
      <c r="S676">
        <f t="shared" si="110"/>
        <v>305849.9595</v>
      </c>
    </row>
    <row r="677" spans="1:19" x14ac:dyDescent="0.3">
      <c r="A677" t="s">
        <v>13</v>
      </c>
      <c r="B677" t="s">
        <v>33</v>
      </c>
      <c r="C677" t="s">
        <v>14</v>
      </c>
      <c r="D677">
        <v>26</v>
      </c>
      <c r="E677">
        <v>2</v>
      </c>
      <c r="F677">
        <v>0</v>
      </c>
      <c r="G677">
        <v>20260306</v>
      </c>
      <c r="H677">
        <v>20260402</v>
      </c>
      <c r="I677">
        <v>79992.5965</v>
      </c>
      <c r="J677">
        <f t="shared" si="101"/>
        <v>28</v>
      </c>
      <c r="K677">
        <f t="shared" si="102"/>
        <v>2856.8784464285714</v>
      </c>
      <c r="L677">
        <f t="shared" si="103"/>
        <v>119685.385953319</v>
      </c>
      <c r="M677">
        <f t="shared" si="104"/>
        <v>5713.7568928571427</v>
      </c>
      <c r="N677">
        <f t="shared" si="105"/>
        <v>0</v>
      </c>
      <c r="O677">
        <f t="shared" si="106"/>
        <v>125399.14284617614</v>
      </c>
      <c r="P677">
        <f t="shared" si="107"/>
        <v>76347.768957677181</v>
      </c>
      <c r="Q677">
        <f t="shared" si="108"/>
        <v>3644.8275423228101</v>
      </c>
      <c r="R677">
        <f t="shared" si="109"/>
        <v>0</v>
      </c>
      <c r="S677">
        <f t="shared" si="110"/>
        <v>79992.596499999985</v>
      </c>
    </row>
    <row r="678" spans="1:19" x14ac:dyDescent="0.3">
      <c r="A678" t="s">
        <v>13</v>
      </c>
      <c r="B678" t="s">
        <v>33</v>
      </c>
      <c r="C678" t="s">
        <v>15</v>
      </c>
      <c r="D678">
        <v>0</v>
      </c>
      <c r="E678">
        <v>27</v>
      </c>
      <c r="F678">
        <v>5</v>
      </c>
      <c r="G678">
        <v>20260404</v>
      </c>
      <c r="H678">
        <v>20260505</v>
      </c>
      <c r="I678">
        <v>1827820.7224000001</v>
      </c>
      <c r="J678">
        <f t="shared" si="101"/>
        <v>32</v>
      </c>
      <c r="K678">
        <f t="shared" si="102"/>
        <v>57119.397575000003</v>
      </c>
      <c r="L678">
        <f t="shared" si="103"/>
        <v>0</v>
      </c>
      <c r="M678">
        <f t="shared" si="104"/>
        <v>1542223.734525</v>
      </c>
      <c r="N678">
        <f t="shared" si="105"/>
        <v>214624.82956218696</v>
      </c>
      <c r="O678">
        <f t="shared" si="106"/>
        <v>1756848.5640871869</v>
      </c>
      <c r="P678">
        <f t="shared" si="107"/>
        <v>0</v>
      </c>
      <c r="Q678">
        <f t="shared" si="108"/>
        <v>1604525.6023569359</v>
      </c>
      <c r="R678">
        <f t="shared" si="109"/>
        <v>223295.12004306426</v>
      </c>
      <c r="S678">
        <f t="shared" si="110"/>
        <v>1827820.7224000001</v>
      </c>
    </row>
    <row r="679" spans="1:19" x14ac:dyDescent="0.3">
      <c r="A679" t="s">
        <v>13</v>
      </c>
      <c r="B679" t="s">
        <v>33</v>
      </c>
      <c r="C679" t="s">
        <v>15</v>
      </c>
      <c r="D679">
        <v>30</v>
      </c>
      <c r="E679">
        <v>7</v>
      </c>
      <c r="F679">
        <v>0</v>
      </c>
      <c r="G679">
        <v>20260302</v>
      </c>
      <c r="H679">
        <v>20260407</v>
      </c>
      <c r="I679">
        <v>142414.21840000001</v>
      </c>
      <c r="J679">
        <f t="shared" si="101"/>
        <v>37</v>
      </c>
      <c r="K679">
        <f t="shared" si="102"/>
        <v>3849.0329297297299</v>
      </c>
      <c r="L679">
        <f t="shared" si="103"/>
        <v>186058.23442243328</v>
      </c>
      <c r="M679">
        <f t="shared" si="104"/>
        <v>26943.23050810811</v>
      </c>
      <c r="N679">
        <f t="shared" si="105"/>
        <v>0</v>
      </c>
      <c r="O679">
        <f t="shared" si="106"/>
        <v>213001.46493054138</v>
      </c>
      <c r="P679">
        <f t="shared" si="107"/>
        <v>124399.79246525583</v>
      </c>
      <c r="Q679">
        <f t="shared" si="108"/>
        <v>18014.425934744198</v>
      </c>
      <c r="R679">
        <f t="shared" si="109"/>
        <v>0</v>
      </c>
      <c r="S679">
        <f t="shared" si="110"/>
        <v>142414.21840000001</v>
      </c>
    </row>
    <row r="680" spans="1:19" x14ac:dyDescent="0.3">
      <c r="A680" t="s">
        <v>13</v>
      </c>
      <c r="B680" t="s">
        <v>33</v>
      </c>
      <c r="C680" t="s">
        <v>14</v>
      </c>
      <c r="D680">
        <v>28</v>
      </c>
      <c r="E680">
        <v>6</v>
      </c>
      <c r="F680">
        <v>0</v>
      </c>
      <c r="G680">
        <v>20260304</v>
      </c>
      <c r="H680">
        <v>20260406</v>
      </c>
      <c r="I680">
        <v>68050.880900000004</v>
      </c>
      <c r="J680">
        <f t="shared" si="101"/>
        <v>34</v>
      </c>
      <c r="K680">
        <f t="shared" si="102"/>
        <v>2001.4964970588237</v>
      </c>
      <c r="L680">
        <f t="shared" si="103"/>
        <v>90300.234845438201</v>
      </c>
      <c r="M680">
        <f t="shared" si="104"/>
        <v>12008.978982352943</v>
      </c>
      <c r="N680">
        <f t="shared" si="105"/>
        <v>0</v>
      </c>
      <c r="O680">
        <f t="shared" si="106"/>
        <v>102309.21382779114</v>
      </c>
      <c r="P680">
        <f t="shared" si="107"/>
        <v>60063.119408310056</v>
      </c>
      <c r="Q680">
        <f t="shared" si="108"/>
        <v>7987.7614916899529</v>
      </c>
      <c r="R680">
        <f t="shared" si="109"/>
        <v>0</v>
      </c>
      <c r="S680">
        <f t="shared" si="110"/>
        <v>68050.880900000004</v>
      </c>
    </row>
    <row r="681" spans="1:19" x14ac:dyDescent="0.3">
      <c r="A681" t="s">
        <v>13</v>
      </c>
      <c r="B681" t="s">
        <v>33</v>
      </c>
      <c r="C681" t="s">
        <v>14</v>
      </c>
      <c r="D681">
        <v>0</v>
      </c>
      <c r="E681">
        <v>27</v>
      </c>
      <c r="F681">
        <v>7</v>
      </c>
      <c r="G681">
        <v>20260404</v>
      </c>
      <c r="H681">
        <v>20260507</v>
      </c>
      <c r="I681">
        <v>394976.59889999998</v>
      </c>
      <c r="J681">
        <f t="shared" si="101"/>
        <v>34</v>
      </c>
      <c r="K681">
        <f t="shared" si="102"/>
        <v>11616.95879117647</v>
      </c>
      <c r="L681">
        <f t="shared" si="103"/>
        <v>0</v>
      </c>
      <c r="M681">
        <f t="shared" si="104"/>
        <v>313657.88736176468</v>
      </c>
      <c r="N681">
        <f t="shared" si="105"/>
        <v>61110.63962533536</v>
      </c>
      <c r="O681">
        <f t="shared" si="106"/>
        <v>374768.52698710002</v>
      </c>
      <c r="P681">
        <f t="shared" si="107"/>
        <v>0</v>
      </c>
      <c r="Q681">
        <f t="shared" si="108"/>
        <v>330570.78342273243</v>
      </c>
      <c r="R681">
        <f t="shared" si="109"/>
        <v>64405.815477267555</v>
      </c>
      <c r="S681">
        <f t="shared" si="110"/>
        <v>394976.59889999998</v>
      </c>
    </row>
    <row r="682" spans="1:19" x14ac:dyDescent="0.3">
      <c r="A682" t="s">
        <v>13</v>
      </c>
      <c r="B682" t="s">
        <v>24</v>
      </c>
      <c r="C682" t="s">
        <v>14</v>
      </c>
      <c r="D682">
        <v>25</v>
      </c>
      <c r="E682">
        <v>3</v>
      </c>
      <c r="F682">
        <v>0</v>
      </c>
      <c r="G682">
        <v>20260307</v>
      </c>
      <c r="H682">
        <v>20260403</v>
      </c>
      <c r="I682">
        <v>317177.33960000001</v>
      </c>
      <c r="J682">
        <f t="shared" si="101"/>
        <v>28</v>
      </c>
      <c r="K682">
        <f t="shared" si="102"/>
        <v>11327.762128571429</v>
      </c>
      <c r="L682">
        <f t="shared" si="103"/>
        <v>456310.16502009524</v>
      </c>
      <c r="M682">
        <f t="shared" si="104"/>
        <v>33983.286385714287</v>
      </c>
      <c r="N682">
        <f t="shared" si="105"/>
        <v>0</v>
      </c>
      <c r="O682">
        <f t="shared" si="106"/>
        <v>490293.45140580955</v>
      </c>
      <c r="P682">
        <f t="shared" si="107"/>
        <v>295193.10070025513</v>
      </c>
      <c r="Q682">
        <f t="shared" si="108"/>
        <v>21984.238899744843</v>
      </c>
      <c r="R682">
        <f t="shared" si="109"/>
        <v>0</v>
      </c>
      <c r="S682">
        <f t="shared" si="110"/>
        <v>317177.33959999995</v>
      </c>
    </row>
    <row r="683" spans="1:19" x14ac:dyDescent="0.3">
      <c r="A683" t="s">
        <v>13</v>
      </c>
      <c r="B683" t="s">
        <v>33</v>
      </c>
      <c r="C683" t="s">
        <v>14</v>
      </c>
      <c r="D683">
        <v>0</v>
      </c>
      <c r="E683">
        <v>29</v>
      </c>
      <c r="F683">
        <v>9</v>
      </c>
      <c r="G683">
        <v>20260402</v>
      </c>
      <c r="H683">
        <v>20260509</v>
      </c>
      <c r="I683">
        <v>10459.4962</v>
      </c>
      <c r="J683">
        <f t="shared" si="101"/>
        <v>38</v>
      </c>
      <c r="K683">
        <f t="shared" si="102"/>
        <v>275.24989999999997</v>
      </c>
      <c r="L683">
        <f t="shared" si="103"/>
        <v>0</v>
      </c>
      <c r="M683">
        <f t="shared" si="104"/>
        <v>7982.2470999999987</v>
      </c>
      <c r="N683">
        <f t="shared" si="105"/>
        <v>1861.6413633300856</v>
      </c>
      <c r="O683">
        <f t="shared" si="106"/>
        <v>9843.8884633300841</v>
      </c>
      <c r="P683">
        <f t="shared" si="107"/>
        <v>0</v>
      </c>
      <c r="Q683">
        <f t="shared" si="108"/>
        <v>8481.4332792294881</v>
      </c>
      <c r="R683">
        <f t="shared" si="109"/>
        <v>1978.0629207705117</v>
      </c>
      <c r="S683">
        <f t="shared" si="110"/>
        <v>10459.4962</v>
      </c>
    </row>
    <row r="684" spans="1:19" x14ac:dyDescent="0.3">
      <c r="A684" t="s">
        <v>13</v>
      </c>
      <c r="B684" t="s">
        <v>24</v>
      </c>
      <c r="C684" t="s">
        <v>15</v>
      </c>
      <c r="D684">
        <v>27</v>
      </c>
      <c r="E684">
        <v>7</v>
      </c>
      <c r="F684">
        <v>0</v>
      </c>
      <c r="G684">
        <v>20260305</v>
      </c>
      <c r="H684">
        <v>20260407</v>
      </c>
      <c r="I684">
        <v>837127.83059999999</v>
      </c>
      <c r="J684">
        <f t="shared" si="101"/>
        <v>34</v>
      </c>
      <c r="K684">
        <f t="shared" si="102"/>
        <v>24621.40678235294</v>
      </c>
      <c r="L684">
        <f t="shared" si="103"/>
        <v>1071155.7948969021</v>
      </c>
      <c r="M684">
        <f t="shared" si="104"/>
        <v>172349.84747647058</v>
      </c>
      <c r="N684">
        <f t="shared" si="105"/>
        <v>0</v>
      </c>
      <c r="O684">
        <f t="shared" si="106"/>
        <v>1243505.6423733726</v>
      </c>
      <c r="P684">
        <f t="shared" si="107"/>
        <v>721101.93654225697</v>
      </c>
      <c r="Q684">
        <f t="shared" si="108"/>
        <v>116025.89405774311</v>
      </c>
      <c r="R684">
        <f t="shared" si="109"/>
        <v>0</v>
      </c>
      <c r="S684">
        <f t="shared" si="110"/>
        <v>837127.8306000001</v>
      </c>
    </row>
    <row r="685" spans="1:19" x14ac:dyDescent="0.3">
      <c r="A685" t="s">
        <v>13</v>
      </c>
      <c r="B685" t="s">
        <v>33</v>
      </c>
      <c r="C685" t="s">
        <v>14</v>
      </c>
      <c r="D685">
        <v>0</v>
      </c>
      <c r="E685">
        <v>23</v>
      </c>
      <c r="F685">
        <v>8</v>
      </c>
      <c r="G685">
        <v>20260408</v>
      </c>
      <c r="H685">
        <v>20260508</v>
      </c>
      <c r="I685">
        <v>65551.538</v>
      </c>
      <c r="J685">
        <f t="shared" si="101"/>
        <v>31</v>
      </c>
      <c r="K685">
        <f t="shared" si="102"/>
        <v>2114.5657419354839</v>
      </c>
      <c r="L685">
        <f t="shared" si="103"/>
        <v>0</v>
      </c>
      <c r="M685">
        <f t="shared" si="104"/>
        <v>48635.01206451613</v>
      </c>
      <c r="N685">
        <f t="shared" si="105"/>
        <v>12712.691834399275</v>
      </c>
      <c r="O685">
        <f t="shared" si="106"/>
        <v>61347.703898915403</v>
      </c>
      <c r="P685">
        <f t="shared" si="107"/>
        <v>0</v>
      </c>
      <c r="Q685">
        <f t="shared" si="108"/>
        <v>51967.712544396498</v>
      </c>
      <c r="R685">
        <f t="shared" si="109"/>
        <v>13583.825455603512</v>
      </c>
      <c r="S685">
        <f t="shared" si="110"/>
        <v>65551.538000000015</v>
      </c>
    </row>
    <row r="686" spans="1:19" x14ac:dyDescent="0.3">
      <c r="A686" t="s">
        <v>13</v>
      </c>
      <c r="B686" t="s">
        <v>24</v>
      </c>
      <c r="C686" t="s">
        <v>14</v>
      </c>
      <c r="D686">
        <v>29</v>
      </c>
      <c r="E686">
        <v>4</v>
      </c>
      <c r="F686">
        <v>0</v>
      </c>
      <c r="G686">
        <v>20260303</v>
      </c>
      <c r="H686">
        <v>20260404</v>
      </c>
      <c r="I686">
        <v>102096.02280000001</v>
      </c>
      <c r="J686">
        <f t="shared" si="101"/>
        <v>33</v>
      </c>
      <c r="K686">
        <f t="shared" si="102"/>
        <v>3093.8188727272727</v>
      </c>
      <c r="L686">
        <f t="shared" si="103"/>
        <v>144566.90931768582</v>
      </c>
      <c r="M686">
        <f t="shared" si="104"/>
        <v>12375.275490909091</v>
      </c>
      <c r="N686">
        <f t="shared" si="105"/>
        <v>0</v>
      </c>
      <c r="O686">
        <f t="shared" si="106"/>
        <v>156942.1848085949</v>
      </c>
      <c r="P686">
        <f t="shared" si="107"/>
        <v>94045.501455359321</v>
      </c>
      <c r="Q686">
        <f t="shared" si="108"/>
        <v>8050.5213446406815</v>
      </c>
      <c r="R686">
        <f t="shared" si="109"/>
        <v>0</v>
      </c>
      <c r="S686">
        <f t="shared" si="110"/>
        <v>102096.02280000001</v>
      </c>
    </row>
    <row r="687" spans="1:19" x14ac:dyDescent="0.3">
      <c r="A687" t="s">
        <v>13</v>
      </c>
      <c r="B687" t="s">
        <v>33</v>
      </c>
      <c r="C687" t="s">
        <v>14</v>
      </c>
      <c r="D687">
        <v>0</v>
      </c>
      <c r="E687">
        <v>29</v>
      </c>
      <c r="F687">
        <v>7</v>
      </c>
      <c r="G687">
        <v>20260402</v>
      </c>
      <c r="H687">
        <v>20260507</v>
      </c>
      <c r="I687">
        <v>257237.6575</v>
      </c>
      <c r="J687">
        <f t="shared" si="101"/>
        <v>36</v>
      </c>
      <c r="K687">
        <f t="shared" si="102"/>
        <v>7145.4904861111108</v>
      </c>
      <c r="L687">
        <f t="shared" si="103"/>
        <v>0</v>
      </c>
      <c r="M687">
        <f t="shared" si="104"/>
        <v>207219.22409722221</v>
      </c>
      <c r="N687">
        <f t="shared" si="105"/>
        <v>37588.623829384909</v>
      </c>
      <c r="O687">
        <f t="shared" si="106"/>
        <v>244807.84792660712</v>
      </c>
      <c r="P687">
        <f t="shared" si="107"/>
        <v>0</v>
      </c>
      <c r="Q687">
        <f t="shared" si="108"/>
        <v>217740.51872600749</v>
      </c>
      <c r="R687">
        <f t="shared" si="109"/>
        <v>39497.138773992498</v>
      </c>
      <c r="S687">
        <f t="shared" si="110"/>
        <v>257237.65749999997</v>
      </c>
    </row>
    <row r="688" spans="1:19" x14ac:dyDescent="0.3">
      <c r="A688" t="s">
        <v>13</v>
      </c>
      <c r="B688" t="s">
        <v>24</v>
      </c>
      <c r="C688" t="s">
        <v>15</v>
      </c>
      <c r="D688">
        <v>29</v>
      </c>
      <c r="E688">
        <v>7</v>
      </c>
      <c r="F688">
        <v>0</v>
      </c>
      <c r="G688">
        <v>20260303</v>
      </c>
      <c r="H688">
        <v>20260407</v>
      </c>
      <c r="I688">
        <v>243286.53880000001</v>
      </c>
      <c r="J688">
        <f t="shared" si="101"/>
        <v>36</v>
      </c>
      <c r="K688">
        <f t="shared" si="102"/>
        <v>6757.959411111111</v>
      </c>
      <c r="L688">
        <f t="shared" si="103"/>
        <v>315783.61421574547</v>
      </c>
      <c r="M688">
        <f t="shared" si="104"/>
        <v>47305.71587777778</v>
      </c>
      <c r="N688">
        <f t="shared" si="105"/>
        <v>0</v>
      </c>
      <c r="O688">
        <f t="shared" si="106"/>
        <v>363089.33009352325</v>
      </c>
      <c r="P688">
        <f t="shared" si="107"/>
        <v>211589.53498444761</v>
      </c>
      <c r="Q688">
        <f t="shared" si="108"/>
        <v>31697.003815552369</v>
      </c>
      <c r="R688">
        <f t="shared" si="109"/>
        <v>0</v>
      </c>
      <c r="S688">
        <f t="shared" si="110"/>
        <v>243286.53879999998</v>
      </c>
    </row>
    <row r="689" spans="1:19" x14ac:dyDescent="0.3">
      <c r="A689" t="s">
        <v>13</v>
      </c>
      <c r="B689" t="s">
        <v>33</v>
      </c>
      <c r="C689" t="s">
        <v>15</v>
      </c>
      <c r="D689">
        <v>27</v>
      </c>
      <c r="E689">
        <v>13</v>
      </c>
      <c r="F689">
        <v>0</v>
      </c>
      <c r="G689">
        <v>20260305</v>
      </c>
      <c r="H689">
        <v>20260413</v>
      </c>
      <c r="I689">
        <v>6768.2439999999997</v>
      </c>
      <c r="J689">
        <f t="shared" si="101"/>
        <v>40</v>
      </c>
      <c r="K689">
        <f t="shared" si="102"/>
        <v>169.20609999999999</v>
      </c>
      <c r="L689">
        <f t="shared" si="103"/>
        <v>7361.3216397046153</v>
      </c>
      <c r="M689">
        <f t="shared" si="104"/>
        <v>2199.6792999999998</v>
      </c>
      <c r="N689">
        <f t="shared" si="105"/>
        <v>0</v>
      </c>
      <c r="O689">
        <f t="shared" si="106"/>
        <v>9561.000939704616</v>
      </c>
      <c r="P689">
        <f t="shared" si="107"/>
        <v>5211.0883927535933</v>
      </c>
      <c r="Q689">
        <f t="shared" si="108"/>
        <v>1557.1556072464059</v>
      </c>
      <c r="R689">
        <f t="shared" si="109"/>
        <v>0</v>
      </c>
      <c r="S689">
        <f t="shared" si="110"/>
        <v>6768.2439999999988</v>
      </c>
    </row>
    <row r="690" spans="1:19" x14ac:dyDescent="0.3">
      <c r="A690" t="s">
        <v>13</v>
      </c>
      <c r="B690" t="s">
        <v>33</v>
      </c>
      <c r="C690" t="s">
        <v>14</v>
      </c>
      <c r="D690">
        <v>27</v>
      </c>
      <c r="E690">
        <v>6</v>
      </c>
      <c r="F690">
        <v>0</v>
      </c>
      <c r="G690">
        <v>20260305</v>
      </c>
      <c r="H690">
        <v>20260406</v>
      </c>
      <c r="I690">
        <v>108610.97749999999</v>
      </c>
      <c r="J690">
        <f t="shared" si="101"/>
        <v>33</v>
      </c>
      <c r="K690">
        <f t="shared" si="102"/>
        <v>3291.2417424242421</v>
      </c>
      <c r="L690">
        <f t="shared" si="103"/>
        <v>143185.6715567979</v>
      </c>
      <c r="M690">
        <f t="shared" si="104"/>
        <v>19747.450454545455</v>
      </c>
      <c r="N690">
        <f t="shared" si="105"/>
        <v>0</v>
      </c>
      <c r="O690">
        <f t="shared" si="106"/>
        <v>162933.12201134337</v>
      </c>
      <c r="P690">
        <f t="shared" si="107"/>
        <v>95447.356312825534</v>
      </c>
      <c r="Q690">
        <f t="shared" si="108"/>
        <v>13163.621187174462</v>
      </c>
      <c r="R690">
        <f t="shared" si="109"/>
        <v>0</v>
      </c>
      <c r="S690">
        <f t="shared" si="110"/>
        <v>108610.97749999999</v>
      </c>
    </row>
    <row r="691" spans="1:19" x14ac:dyDescent="0.3">
      <c r="A691" t="s">
        <v>13</v>
      </c>
      <c r="B691" t="s">
        <v>33</v>
      </c>
      <c r="C691" t="s">
        <v>14</v>
      </c>
      <c r="D691">
        <v>0</v>
      </c>
      <c r="E691">
        <v>23</v>
      </c>
      <c r="F691">
        <v>1</v>
      </c>
      <c r="G691">
        <v>20260408</v>
      </c>
      <c r="H691">
        <v>20260501</v>
      </c>
      <c r="I691">
        <v>206682.24290000001</v>
      </c>
      <c r="J691">
        <f t="shared" si="101"/>
        <v>24</v>
      </c>
      <c r="K691">
        <f t="shared" si="102"/>
        <v>8611.7601208333344</v>
      </c>
      <c r="L691">
        <f t="shared" si="103"/>
        <v>0</v>
      </c>
      <c r="M691">
        <f t="shared" si="104"/>
        <v>198070.48277916669</v>
      </c>
      <c r="N691">
        <f t="shared" si="105"/>
        <v>6471.6983253802919</v>
      </c>
      <c r="O691">
        <f t="shared" si="106"/>
        <v>204542.18110454699</v>
      </c>
      <c r="P691">
        <f t="shared" si="107"/>
        <v>0</v>
      </c>
      <c r="Q691">
        <f t="shared" si="108"/>
        <v>200142.8331897941</v>
      </c>
      <c r="R691">
        <f t="shared" si="109"/>
        <v>6539.4097102059222</v>
      </c>
      <c r="S691">
        <f t="shared" si="110"/>
        <v>206682.24290000001</v>
      </c>
    </row>
    <row r="692" spans="1:19" x14ac:dyDescent="0.3">
      <c r="A692" t="s">
        <v>13</v>
      </c>
      <c r="B692" t="s">
        <v>33</v>
      </c>
      <c r="C692" t="s">
        <v>14</v>
      </c>
      <c r="D692">
        <v>15</v>
      </c>
      <c r="E692">
        <v>17</v>
      </c>
      <c r="F692">
        <v>0</v>
      </c>
      <c r="G692">
        <v>20260317</v>
      </c>
      <c r="H692">
        <v>20260417</v>
      </c>
      <c r="I692">
        <v>574144.39930000005</v>
      </c>
      <c r="J692">
        <f t="shared" si="101"/>
        <v>32</v>
      </c>
      <c r="K692">
        <f t="shared" si="102"/>
        <v>17942.012478125002</v>
      </c>
      <c r="L692">
        <f t="shared" si="103"/>
        <v>433649.07817242411</v>
      </c>
      <c r="M692">
        <f t="shared" si="104"/>
        <v>305014.21212812501</v>
      </c>
      <c r="N692">
        <f t="shared" si="105"/>
        <v>0</v>
      </c>
      <c r="O692">
        <f t="shared" si="106"/>
        <v>738663.29030054912</v>
      </c>
      <c r="P692">
        <f t="shared" si="107"/>
        <v>337064.52285316732</v>
      </c>
      <c r="Q692">
        <f t="shared" si="108"/>
        <v>237079.87644683273</v>
      </c>
      <c r="R692">
        <f t="shared" si="109"/>
        <v>0</v>
      </c>
      <c r="S692">
        <f t="shared" si="110"/>
        <v>574144.39930000005</v>
      </c>
    </row>
    <row r="693" spans="1:19" x14ac:dyDescent="0.3">
      <c r="A693" t="s">
        <v>13</v>
      </c>
      <c r="B693" t="s">
        <v>33</v>
      </c>
      <c r="C693" t="s">
        <v>14</v>
      </c>
      <c r="D693">
        <v>31</v>
      </c>
      <c r="E693">
        <v>3</v>
      </c>
      <c r="F693">
        <v>0</v>
      </c>
      <c r="G693">
        <v>20260216</v>
      </c>
      <c r="H693">
        <v>20260403</v>
      </c>
      <c r="I693">
        <v>1611.3145999999999</v>
      </c>
      <c r="J693">
        <f t="shared" si="101"/>
        <v>34</v>
      </c>
      <c r="K693">
        <f t="shared" si="102"/>
        <v>47.391605882352941</v>
      </c>
      <c r="L693">
        <f t="shared" si="103"/>
        <v>2367.2227891586249</v>
      </c>
      <c r="M693">
        <f t="shared" si="104"/>
        <v>142.17481764705883</v>
      </c>
      <c r="N693">
        <f t="shared" si="105"/>
        <v>0</v>
      </c>
      <c r="O693">
        <f t="shared" si="106"/>
        <v>2509.3976068056836</v>
      </c>
      <c r="P693">
        <f t="shared" si="107"/>
        <v>1520.0224274061718</v>
      </c>
      <c r="Q693">
        <f t="shared" si="108"/>
        <v>91.292172593828056</v>
      </c>
      <c r="R693">
        <f t="shared" si="109"/>
        <v>0</v>
      </c>
      <c r="S693">
        <f t="shared" si="110"/>
        <v>1611.3145999999999</v>
      </c>
    </row>
    <row r="694" spans="1:19" x14ac:dyDescent="0.3">
      <c r="A694" t="s">
        <v>13</v>
      </c>
      <c r="B694" t="s">
        <v>33</v>
      </c>
      <c r="C694" t="s">
        <v>14</v>
      </c>
      <c r="D694">
        <v>0</v>
      </c>
      <c r="E694">
        <v>14</v>
      </c>
      <c r="F694">
        <v>17</v>
      </c>
      <c r="G694">
        <v>20260417</v>
      </c>
      <c r="H694">
        <v>20260517</v>
      </c>
      <c r="I694">
        <v>235235.81849999999</v>
      </c>
      <c r="J694">
        <f t="shared" si="101"/>
        <v>31</v>
      </c>
      <c r="K694">
        <f t="shared" si="102"/>
        <v>7588.2522096774192</v>
      </c>
      <c r="L694">
        <f t="shared" si="103"/>
        <v>0</v>
      </c>
      <c r="M694">
        <f t="shared" si="104"/>
        <v>106235.53093548387</v>
      </c>
      <c r="N694">
        <f t="shared" si="105"/>
        <v>96943.125829202618</v>
      </c>
      <c r="O694">
        <f t="shared" si="106"/>
        <v>203178.65676468649</v>
      </c>
      <c r="P694">
        <f t="shared" si="107"/>
        <v>0</v>
      </c>
      <c r="Q694">
        <f t="shared" si="108"/>
        <v>122997.18125577294</v>
      </c>
      <c r="R694">
        <f t="shared" si="109"/>
        <v>112238.63724422707</v>
      </c>
      <c r="S694">
        <f t="shared" si="110"/>
        <v>235235.81849999999</v>
      </c>
    </row>
    <row r="695" spans="1:19" x14ac:dyDescent="0.3">
      <c r="A695" t="s">
        <v>13</v>
      </c>
      <c r="B695" t="s">
        <v>24</v>
      </c>
      <c r="C695" t="s">
        <v>14</v>
      </c>
      <c r="D695">
        <v>29</v>
      </c>
      <c r="E695">
        <v>2</v>
      </c>
      <c r="F695">
        <v>0</v>
      </c>
      <c r="G695">
        <v>20260303</v>
      </c>
      <c r="H695">
        <v>20260402</v>
      </c>
      <c r="I695">
        <v>430363.01490000001</v>
      </c>
      <c r="J695">
        <f t="shared" si="101"/>
        <v>31</v>
      </c>
      <c r="K695">
        <f t="shared" si="102"/>
        <v>13882.677900000001</v>
      </c>
      <c r="L695">
        <f t="shared" si="103"/>
        <v>648705.02108184039</v>
      </c>
      <c r="M695">
        <f t="shared" si="104"/>
        <v>27765.355800000001</v>
      </c>
      <c r="N695">
        <f t="shared" si="105"/>
        <v>0</v>
      </c>
      <c r="O695">
        <f t="shared" si="106"/>
        <v>676470.37688184041</v>
      </c>
      <c r="P695">
        <f t="shared" si="107"/>
        <v>412699.00086447276</v>
      </c>
      <c r="Q695">
        <f t="shared" si="108"/>
        <v>17664.014035527198</v>
      </c>
      <c r="R695">
        <f t="shared" si="109"/>
        <v>0</v>
      </c>
      <c r="S695">
        <f t="shared" si="110"/>
        <v>430363.01489999995</v>
      </c>
    </row>
    <row r="696" spans="1:19" x14ac:dyDescent="0.3">
      <c r="A696" t="s">
        <v>13</v>
      </c>
      <c r="B696" t="s">
        <v>33</v>
      </c>
      <c r="C696" t="s">
        <v>15</v>
      </c>
      <c r="D696">
        <v>0</v>
      </c>
      <c r="E696">
        <v>24</v>
      </c>
      <c r="F696">
        <v>1</v>
      </c>
      <c r="G696">
        <v>20260407</v>
      </c>
      <c r="H696">
        <v>20260501</v>
      </c>
      <c r="I696">
        <v>580010.19839999999</v>
      </c>
      <c r="J696">
        <f t="shared" si="101"/>
        <v>25</v>
      </c>
      <c r="K696">
        <f t="shared" si="102"/>
        <v>23200.407936</v>
      </c>
      <c r="L696">
        <f t="shared" si="103"/>
        <v>0</v>
      </c>
      <c r="M696">
        <f t="shared" si="104"/>
        <v>556809.79046399996</v>
      </c>
      <c r="N696">
        <f t="shared" si="105"/>
        <v>17435.000404193986</v>
      </c>
      <c r="O696">
        <f t="shared" si="106"/>
        <v>574244.79086819396</v>
      </c>
      <c r="P696">
        <f t="shared" si="107"/>
        <v>0</v>
      </c>
      <c r="Q696">
        <f t="shared" si="108"/>
        <v>562400.15090048034</v>
      </c>
      <c r="R696">
        <f t="shared" si="109"/>
        <v>17610.047499519667</v>
      </c>
      <c r="S696">
        <f t="shared" si="110"/>
        <v>580010.19839999999</v>
      </c>
    </row>
    <row r="697" spans="1:19" x14ac:dyDescent="0.3">
      <c r="A697" t="s">
        <v>13</v>
      </c>
      <c r="B697" t="s">
        <v>33</v>
      </c>
      <c r="C697" t="s">
        <v>15</v>
      </c>
      <c r="D697">
        <v>29</v>
      </c>
      <c r="E697">
        <v>6</v>
      </c>
      <c r="F697">
        <v>0</v>
      </c>
      <c r="G697">
        <v>20260303</v>
      </c>
      <c r="H697">
        <v>20260406</v>
      </c>
      <c r="I697">
        <v>50777.9467</v>
      </c>
      <c r="J697">
        <f t="shared" si="101"/>
        <v>35</v>
      </c>
      <c r="K697">
        <f t="shared" si="102"/>
        <v>1450.7984771428571</v>
      </c>
      <c r="L697">
        <f t="shared" si="103"/>
        <v>67792.414653692933</v>
      </c>
      <c r="M697">
        <f t="shared" si="104"/>
        <v>8704.7908628571422</v>
      </c>
      <c r="N697">
        <f t="shared" si="105"/>
        <v>0</v>
      </c>
      <c r="O697">
        <f t="shared" si="106"/>
        <v>76497.205516550079</v>
      </c>
      <c r="P697">
        <f t="shared" si="107"/>
        <v>44999.80874732435</v>
      </c>
      <c r="Q697">
        <f t="shared" si="108"/>
        <v>5778.1379526756482</v>
      </c>
      <c r="R697">
        <f t="shared" si="109"/>
        <v>0</v>
      </c>
      <c r="S697">
        <f t="shared" si="110"/>
        <v>50777.9467</v>
      </c>
    </row>
    <row r="698" spans="1:19" x14ac:dyDescent="0.3">
      <c r="A698" t="s">
        <v>13</v>
      </c>
      <c r="B698" t="s">
        <v>24</v>
      </c>
      <c r="C698" t="s">
        <v>15</v>
      </c>
      <c r="D698">
        <v>28</v>
      </c>
      <c r="E698">
        <v>7</v>
      </c>
      <c r="F698">
        <v>0</v>
      </c>
      <c r="G698">
        <v>20260304</v>
      </c>
      <c r="H698">
        <v>20260407</v>
      </c>
      <c r="I698">
        <v>442862.36129999999</v>
      </c>
      <c r="J698">
        <f t="shared" si="101"/>
        <v>35</v>
      </c>
      <c r="K698">
        <f t="shared" si="102"/>
        <v>12653.210322857143</v>
      </c>
      <c r="L698">
        <f t="shared" si="103"/>
        <v>570866.7816215232</v>
      </c>
      <c r="M698">
        <f t="shared" si="104"/>
        <v>88572.47226000001</v>
      </c>
      <c r="N698">
        <f t="shared" si="105"/>
        <v>0</v>
      </c>
      <c r="O698">
        <f t="shared" si="106"/>
        <v>659439.25388152315</v>
      </c>
      <c r="P698">
        <f t="shared" si="107"/>
        <v>383379.37787073379</v>
      </c>
      <c r="Q698">
        <f t="shared" si="108"/>
        <v>59482.983429266264</v>
      </c>
      <c r="R698">
        <f t="shared" si="109"/>
        <v>0</v>
      </c>
      <c r="S698">
        <f t="shared" si="110"/>
        <v>442862.36130000005</v>
      </c>
    </row>
    <row r="699" spans="1:19" x14ac:dyDescent="0.3">
      <c r="A699" t="s">
        <v>13</v>
      </c>
      <c r="B699" t="s">
        <v>24</v>
      </c>
      <c r="C699" t="s">
        <v>15</v>
      </c>
      <c r="D699">
        <v>24</v>
      </c>
      <c r="E699">
        <v>6</v>
      </c>
      <c r="F699">
        <v>0</v>
      </c>
      <c r="G699">
        <v>20260308</v>
      </c>
      <c r="H699">
        <v>20260406</v>
      </c>
      <c r="I699">
        <v>234822.18520000001</v>
      </c>
      <c r="J699">
        <f t="shared" si="101"/>
        <v>30</v>
      </c>
      <c r="K699">
        <f t="shared" si="102"/>
        <v>7827.4061733333338</v>
      </c>
      <c r="L699">
        <f t="shared" si="103"/>
        <v>302694.9156955987</v>
      </c>
      <c r="M699">
        <f t="shared" si="104"/>
        <v>46964.437040000004</v>
      </c>
      <c r="N699">
        <f t="shared" si="105"/>
        <v>0</v>
      </c>
      <c r="O699">
        <f t="shared" si="106"/>
        <v>349659.35273559869</v>
      </c>
      <c r="P699">
        <f t="shared" si="107"/>
        <v>203282.0829658125</v>
      </c>
      <c r="Q699">
        <f t="shared" si="108"/>
        <v>31540.102234187529</v>
      </c>
      <c r="R699">
        <f t="shared" si="109"/>
        <v>0</v>
      </c>
      <c r="S699">
        <f t="shared" si="110"/>
        <v>234822.18520000004</v>
      </c>
    </row>
    <row r="700" spans="1:19" x14ac:dyDescent="0.3">
      <c r="A700" t="s">
        <v>13</v>
      </c>
      <c r="B700" t="s">
        <v>33</v>
      </c>
      <c r="C700" t="s">
        <v>15</v>
      </c>
      <c r="D700">
        <v>0</v>
      </c>
      <c r="E700">
        <v>22</v>
      </c>
      <c r="F700">
        <v>11</v>
      </c>
      <c r="G700">
        <v>20260409</v>
      </c>
      <c r="H700">
        <v>20260511</v>
      </c>
      <c r="I700">
        <v>7218.4125999999997</v>
      </c>
      <c r="J700">
        <f t="shared" si="101"/>
        <v>33</v>
      </c>
      <c r="K700">
        <f t="shared" si="102"/>
        <v>218.73977575757576</v>
      </c>
      <c r="L700">
        <f t="shared" si="103"/>
        <v>0</v>
      </c>
      <c r="M700">
        <f t="shared" si="104"/>
        <v>4812.275066666667</v>
      </c>
      <c r="N700">
        <f t="shared" si="105"/>
        <v>1808.2013463701965</v>
      </c>
      <c r="O700">
        <f t="shared" si="106"/>
        <v>6620.476413036864</v>
      </c>
      <c r="P700">
        <f t="shared" si="107"/>
        <v>0</v>
      </c>
      <c r="Q700">
        <f t="shared" si="108"/>
        <v>5246.9014023657519</v>
      </c>
      <c r="R700">
        <f t="shared" si="109"/>
        <v>1971.5111976342466</v>
      </c>
      <c r="S700">
        <f t="shared" si="110"/>
        <v>7218.4125999999987</v>
      </c>
    </row>
    <row r="701" spans="1:19" x14ac:dyDescent="0.3">
      <c r="A701" t="s">
        <v>13</v>
      </c>
      <c r="B701" t="s">
        <v>24</v>
      </c>
      <c r="C701" t="s">
        <v>15</v>
      </c>
      <c r="D701">
        <v>24</v>
      </c>
      <c r="E701">
        <v>4</v>
      </c>
      <c r="F701">
        <v>0</v>
      </c>
      <c r="G701">
        <v>20260308</v>
      </c>
      <c r="H701">
        <v>20260404</v>
      </c>
      <c r="I701">
        <v>92835.796799999996</v>
      </c>
      <c r="J701">
        <f t="shared" si="101"/>
        <v>28</v>
      </c>
      <c r="K701">
        <f t="shared" si="102"/>
        <v>3315.5641714285712</v>
      </c>
      <c r="L701">
        <f t="shared" si="103"/>
        <v>128216.72916029727</v>
      </c>
      <c r="M701">
        <f t="shared" si="104"/>
        <v>13262.256685714285</v>
      </c>
      <c r="N701">
        <f t="shared" si="105"/>
        <v>0</v>
      </c>
      <c r="O701">
        <f t="shared" si="106"/>
        <v>141478.98584601155</v>
      </c>
      <c r="P701">
        <f t="shared" si="107"/>
        <v>84133.358346528985</v>
      </c>
      <c r="Q701">
        <f t="shared" si="108"/>
        <v>8702.4384534710171</v>
      </c>
      <c r="R701">
        <f t="shared" si="109"/>
        <v>0</v>
      </c>
      <c r="S701">
        <f t="shared" si="110"/>
        <v>92835.796799999996</v>
      </c>
    </row>
    <row r="702" spans="1:19" x14ac:dyDescent="0.3">
      <c r="A702" t="s">
        <v>13</v>
      </c>
      <c r="B702" t="s">
        <v>33</v>
      </c>
      <c r="C702" t="s">
        <v>15</v>
      </c>
      <c r="D702">
        <v>15</v>
      </c>
      <c r="E702">
        <v>17</v>
      </c>
      <c r="F702">
        <v>0</v>
      </c>
      <c r="G702">
        <v>20260317</v>
      </c>
      <c r="H702">
        <v>20260417</v>
      </c>
      <c r="I702">
        <v>499679.16800000001</v>
      </c>
      <c r="J702">
        <f t="shared" si="101"/>
        <v>32</v>
      </c>
      <c r="K702">
        <f t="shared" si="102"/>
        <v>15614.974</v>
      </c>
      <c r="L702">
        <f t="shared" si="103"/>
        <v>377405.77257106028</v>
      </c>
      <c r="M702">
        <f t="shared" si="104"/>
        <v>265454.55800000002</v>
      </c>
      <c r="N702">
        <f t="shared" si="105"/>
        <v>0</v>
      </c>
      <c r="O702">
        <f t="shared" si="106"/>
        <v>642860.3305710603</v>
      </c>
      <c r="P702">
        <f t="shared" si="107"/>
        <v>293348.01584223623</v>
      </c>
      <c r="Q702">
        <f t="shared" si="108"/>
        <v>206331.15215776378</v>
      </c>
      <c r="R702">
        <f t="shared" si="109"/>
        <v>0</v>
      </c>
      <c r="S702">
        <f t="shared" si="110"/>
        <v>499679.16800000001</v>
      </c>
    </row>
    <row r="703" spans="1:19" x14ac:dyDescent="0.3">
      <c r="A703" t="s">
        <v>13</v>
      </c>
      <c r="B703" t="s">
        <v>33</v>
      </c>
      <c r="C703" t="s">
        <v>15</v>
      </c>
      <c r="D703">
        <v>0</v>
      </c>
      <c r="E703">
        <v>10</v>
      </c>
      <c r="F703">
        <v>0</v>
      </c>
      <c r="G703">
        <v>20260401</v>
      </c>
      <c r="H703">
        <v>20260410</v>
      </c>
      <c r="I703">
        <v>42.070599999999999</v>
      </c>
      <c r="J703">
        <f t="shared" si="101"/>
        <v>10</v>
      </c>
      <c r="K703">
        <f t="shared" si="102"/>
        <v>4.2070600000000002</v>
      </c>
      <c r="L703">
        <f t="shared" si="103"/>
        <v>0</v>
      </c>
      <c r="M703">
        <f t="shared" si="104"/>
        <v>42.070599999999999</v>
      </c>
      <c r="N703">
        <f t="shared" si="105"/>
        <v>0</v>
      </c>
      <c r="O703">
        <f t="shared" si="106"/>
        <v>42.070599999999999</v>
      </c>
      <c r="P703">
        <f t="shared" si="107"/>
        <v>0</v>
      </c>
      <c r="Q703">
        <f t="shared" si="108"/>
        <v>42.070599999999999</v>
      </c>
      <c r="R703">
        <f t="shared" si="109"/>
        <v>0</v>
      </c>
      <c r="S703">
        <f t="shared" si="110"/>
        <v>42.070599999999999</v>
      </c>
    </row>
    <row r="704" spans="1:19" x14ac:dyDescent="0.3">
      <c r="A704" t="s">
        <v>13</v>
      </c>
      <c r="B704" t="s">
        <v>33</v>
      </c>
      <c r="C704" t="s">
        <v>14</v>
      </c>
      <c r="D704">
        <v>29</v>
      </c>
      <c r="E704">
        <v>7</v>
      </c>
      <c r="F704">
        <v>0</v>
      </c>
      <c r="G704">
        <v>20260303</v>
      </c>
      <c r="H704">
        <v>20260407</v>
      </c>
      <c r="I704">
        <v>1221.8860999999999</v>
      </c>
      <c r="J704">
        <f t="shared" si="101"/>
        <v>36</v>
      </c>
      <c r="K704">
        <f t="shared" si="102"/>
        <v>33.941280555555551</v>
      </c>
      <c r="L704">
        <f t="shared" si="103"/>
        <v>1585.9965402162304</v>
      </c>
      <c r="M704">
        <f t="shared" si="104"/>
        <v>237.58896388888886</v>
      </c>
      <c r="N704">
        <f t="shared" si="105"/>
        <v>0</v>
      </c>
      <c r="O704">
        <f t="shared" si="106"/>
        <v>1823.5855041051193</v>
      </c>
      <c r="P704">
        <f t="shared" si="107"/>
        <v>1062.6905745718154</v>
      </c>
      <c r="Q704">
        <f t="shared" si="108"/>
        <v>159.19552542818451</v>
      </c>
      <c r="R704">
        <f t="shared" si="109"/>
        <v>0</v>
      </c>
      <c r="S704">
        <f t="shared" si="110"/>
        <v>1221.8860999999999</v>
      </c>
    </row>
    <row r="705" spans="1:19" x14ac:dyDescent="0.3">
      <c r="A705" t="s">
        <v>13</v>
      </c>
      <c r="B705" t="s">
        <v>24</v>
      </c>
      <c r="C705" t="s">
        <v>14</v>
      </c>
      <c r="D705">
        <v>27</v>
      </c>
      <c r="E705">
        <v>8</v>
      </c>
      <c r="F705">
        <v>0</v>
      </c>
      <c r="G705">
        <v>20260305</v>
      </c>
      <c r="H705">
        <v>20260408</v>
      </c>
      <c r="I705">
        <v>40909.2673</v>
      </c>
      <c r="J705">
        <f t="shared" si="101"/>
        <v>35</v>
      </c>
      <c r="K705">
        <f t="shared" si="102"/>
        <v>1168.8362085714286</v>
      </c>
      <c r="L705">
        <f t="shared" si="103"/>
        <v>50850.290122088714</v>
      </c>
      <c r="M705">
        <f t="shared" si="104"/>
        <v>9350.6896685714291</v>
      </c>
      <c r="N705">
        <f t="shared" si="105"/>
        <v>0</v>
      </c>
      <c r="O705">
        <f t="shared" si="106"/>
        <v>60200.979790660145</v>
      </c>
      <c r="P705">
        <f t="shared" si="107"/>
        <v>34555.054055944383</v>
      </c>
      <c r="Q705">
        <f t="shared" si="108"/>
        <v>6354.2132440556134</v>
      </c>
      <c r="R705">
        <f t="shared" si="109"/>
        <v>0</v>
      </c>
      <c r="S705">
        <f t="shared" si="110"/>
        <v>40909.2673</v>
      </c>
    </row>
    <row r="706" spans="1:19" x14ac:dyDescent="0.3">
      <c r="A706" t="s">
        <v>13</v>
      </c>
      <c r="B706" t="s">
        <v>33</v>
      </c>
      <c r="C706" t="s">
        <v>15</v>
      </c>
      <c r="D706">
        <v>0</v>
      </c>
      <c r="E706">
        <v>15</v>
      </c>
      <c r="F706">
        <v>16</v>
      </c>
      <c r="G706">
        <v>20260416</v>
      </c>
      <c r="H706">
        <v>20260516</v>
      </c>
      <c r="I706">
        <v>57687.5268</v>
      </c>
      <c r="J706">
        <f t="shared" si="101"/>
        <v>31</v>
      </c>
      <c r="K706">
        <f t="shared" si="102"/>
        <v>1860.8879612903227</v>
      </c>
      <c r="L706">
        <f t="shared" si="103"/>
        <v>0</v>
      </c>
      <c r="M706">
        <f t="shared" si="104"/>
        <v>27913.319419354841</v>
      </c>
      <c r="N706">
        <f t="shared" si="105"/>
        <v>22375.18060665638</v>
      </c>
      <c r="O706">
        <f t="shared" si="106"/>
        <v>50288.500026011221</v>
      </c>
      <c r="P706">
        <f t="shared" si="107"/>
        <v>0</v>
      </c>
      <c r="Q706">
        <f t="shared" si="108"/>
        <v>32020.250380267993</v>
      </c>
      <c r="R706">
        <f t="shared" si="109"/>
        <v>25667.276419732007</v>
      </c>
      <c r="S706">
        <f t="shared" si="110"/>
        <v>57687.5268</v>
      </c>
    </row>
    <row r="707" spans="1:19" x14ac:dyDescent="0.3">
      <c r="A707" t="s">
        <v>13</v>
      </c>
      <c r="B707" t="s">
        <v>33</v>
      </c>
      <c r="C707" t="s">
        <v>15</v>
      </c>
      <c r="D707">
        <v>22</v>
      </c>
      <c r="E707">
        <v>8</v>
      </c>
      <c r="F707">
        <v>0</v>
      </c>
      <c r="G707">
        <v>20260310</v>
      </c>
      <c r="H707">
        <v>20260408</v>
      </c>
      <c r="I707">
        <v>10709.809600000001</v>
      </c>
      <c r="J707">
        <f t="shared" si="101"/>
        <v>30</v>
      </c>
      <c r="K707">
        <f t="shared" si="102"/>
        <v>356.99365333333333</v>
      </c>
      <c r="L707">
        <f t="shared" si="103"/>
        <v>12654.913767870517</v>
      </c>
      <c r="M707">
        <f t="shared" si="104"/>
        <v>2855.9492266666666</v>
      </c>
      <c r="N707">
        <f t="shared" si="105"/>
        <v>0</v>
      </c>
      <c r="O707">
        <f t="shared" si="106"/>
        <v>15510.862994537183</v>
      </c>
      <c r="P707">
        <f t="shared" si="107"/>
        <v>8737.8579132602208</v>
      </c>
      <c r="Q707">
        <f t="shared" si="108"/>
        <v>1971.9516867397806</v>
      </c>
      <c r="R707">
        <f t="shared" si="109"/>
        <v>0</v>
      </c>
      <c r="S707">
        <f t="shared" si="110"/>
        <v>10709.809600000001</v>
      </c>
    </row>
    <row r="708" spans="1:19" x14ac:dyDescent="0.3">
      <c r="A708" t="s">
        <v>13</v>
      </c>
      <c r="B708" t="s">
        <v>33</v>
      </c>
      <c r="C708" t="s">
        <v>14</v>
      </c>
      <c r="D708">
        <v>0</v>
      </c>
      <c r="E708">
        <v>22</v>
      </c>
      <c r="F708">
        <v>9</v>
      </c>
      <c r="G708">
        <v>20260409</v>
      </c>
      <c r="H708">
        <v>20260509</v>
      </c>
      <c r="I708">
        <v>17097.841400000001</v>
      </c>
      <c r="J708">
        <f t="shared" si="101"/>
        <v>31</v>
      </c>
      <c r="K708">
        <f t="shared" si="102"/>
        <v>551.54327096774193</v>
      </c>
      <c r="L708">
        <f t="shared" si="103"/>
        <v>0</v>
      </c>
      <c r="M708">
        <f t="shared" si="104"/>
        <v>12133.951961290322</v>
      </c>
      <c r="N708">
        <f t="shared" si="105"/>
        <v>3730.3401995783543</v>
      </c>
      <c r="O708">
        <f t="shared" si="106"/>
        <v>15864.292160868677</v>
      </c>
      <c r="P708">
        <f t="shared" si="107"/>
        <v>0</v>
      </c>
      <c r="Q708">
        <f t="shared" si="108"/>
        <v>13077.443612712739</v>
      </c>
      <c r="R708">
        <f t="shared" si="109"/>
        <v>4020.3977872872597</v>
      </c>
      <c r="S708">
        <f t="shared" si="110"/>
        <v>17097.841399999998</v>
      </c>
    </row>
    <row r="709" spans="1:19" x14ac:dyDescent="0.3">
      <c r="A709" t="s">
        <v>13</v>
      </c>
      <c r="B709" t="s">
        <v>24</v>
      </c>
      <c r="C709" t="s">
        <v>15</v>
      </c>
      <c r="D709">
        <v>22</v>
      </c>
      <c r="E709">
        <v>2</v>
      </c>
      <c r="F709">
        <v>0</v>
      </c>
      <c r="G709">
        <v>20260310</v>
      </c>
      <c r="H709">
        <v>20260402</v>
      </c>
      <c r="I709">
        <v>18838.165400000002</v>
      </c>
      <c r="J709">
        <f t="shared" si="101"/>
        <v>24</v>
      </c>
      <c r="K709">
        <f t="shared" si="102"/>
        <v>784.9235583333334</v>
      </c>
      <c r="L709">
        <f t="shared" si="103"/>
        <v>27824.416071071191</v>
      </c>
      <c r="M709">
        <f t="shared" si="104"/>
        <v>1569.8471166666668</v>
      </c>
      <c r="N709">
        <f t="shared" si="105"/>
        <v>0</v>
      </c>
      <c r="O709">
        <f t="shared" si="106"/>
        <v>29394.263187737859</v>
      </c>
      <c r="P709">
        <f t="shared" si="107"/>
        <v>17832.083381627908</v>
      </c>
      <c r="Q709">
        <f t="shared" si="108"/>
        <v>1006.0820183720913</v>
      </c>
      <c r="R709">
        <f t="shared" si="109"/>
        <v>0</v>
      </c>
      <c r="S709">
        <f t="shared" si="110"/>
        <v>18838.165399999998</v>
      </c>
    </row>
    <row r="710" spans="1:19" x14ac:dyDescent="0.3">
      <c r="A710" t="s">
        <v>13</v>
      </c>
      <c r="B710" t="s">
        <v>24</v>
      </c>
      <c r="C710" t="s">
        <v>15</v>
      </c>
      <c r="D710">
        <v>24</v>
      </c>
      <c r="E710">
        <v>8</v>
      </c>
      <c r="F710">
        <v>0</v>
      </c>
      <c r="G710">
        <v>20260308</v>
      </c>
      <c r="H710">
        <v>20260408</v>
      </c>
      <c r="I710">
        <v>148216.9736</v>
      </c>
      <c r="J710">
        <f t="shared" si="101"/>
        <v>32</v>
      </c>
      <c r="K710">
        <f t="shared" si="102"/>
        <v>4631.7804249999999</v>
      </c>
      <c r="L710">
        <f t="shared" si="103"/>
        <v>179116.34508534064</v>
      </c>
      <c r="M710">
        <f t="shared" si="104"/>
        <v>37054.243399999999</v>
      </c>
      <c r="N710">
        <f t="shared" si="105"/>
        <v>0</v>
      </c>
      <c r="O710">
        <f t="shared" si="106"/>
        <v>216170.58848534065</v>
      </c>
      <c r="P710">
        <f t="shared" si="107"/>
        <v>122810.79853119219</v>
      </c>
      <c r="Q710">
        <f t="shared" si="108"/>
        <v>25406.17506880781</v>
      </c>
      <c r="R710">
        <f t="shared" si="109"/>
        <v>0</v>
      </c>
      <c r="S710">
        <f t="shared" si="110"/>
        <v>148216.9736</v>
      </c>
    </row>
    <row r="711" spans="1:19" x14ac:dyDescent="0.3">
      <c r="A711" t="s">
        <v>13</v>
      </c>
      <c r="B711" t="s">
        <v>24</v>
      </c>
      <c r="C711" t="s">
        <v>15</v>
      </c>
      <c r="D711">
        <v>22</v>
      </c>
      <c r="E711">
        <v>7</v>
      </c>
      <c r="F711">
        <v>0</v>
      </c>
      <c r="G711">
        <v>20260310</v>
      </c>
      <c r="H711">
        <v>20260407</v>
      </c>
      <c r="I711">
        <v>171716.45540000001</v>
      </c>
      <c r="J711">
        <f t="shared" si="101"/>
        <v>29</v>
      </c>
      <c r="K711">
        <f t="shared" si="102"/>
        <v>5921.2570827586205</v>
      </c>
      <c r="L711">
        <f t="shared" si="103"/>
        <v>209900.0838811445</v>
      </c>
      <c r="M711">
        <f t="shared" si="104"/>
        <v>41448.799579310347</v>
      </c>
      <c r="N711">
        <f t="shared" si="105"/>
        <v>0</v>
      </c>
      <c r="O711">
        <f t="shared" si="106"/>
        <v>251348.88346045485</v>
      </c>
      <c r="P711">
        <f t="shared" si="107"/>
        <v>143399.47683874858</v>
      </c>
      <c r="Q711">
        <f t="shared" si="108"/>
        <v>28316.978561251432</v>
      </c>
      <c r="R711">
        <f t="shared" si="109"/>
        <v>0</v>
      </c>
      <c r="S711">
        <f t="shared" si="110"/>
        <v>171716.45540000001</v>
      </c>
    </row>
    <row r="712" spans="1:19" x14ac:dyDescent="0.3">
      <c r="A712" t="s">
        <v>13</v>
      </c>
      <c r="B712" t="s">
        <v>33</v>
      </c>
      <c r="C712" t="s">
        <v>15</v>
      </c>
      <c r="D712">
        <v>0</v>
      </c>
      <c r="E712">
        <v>20</v>
      </c>
      <c r="F712">
        <v>0</v>
      </c>
      <c r="G712">
        <v>20260403</v>
      </c>
      <c r="H712">
        <v>20260422</v>
      </c>
      <c r="I712">
        <v>5903.1707999999999</v>
      </c>
      <c r="J712">
        <f t="shared" si="101"/>
        <v>20</v>
      </c>
      <c r="K712">
        <f t="shared" si="102"/>
        <v>295.15854000000002</v>
      </c>
      <c r="L712">
        <f t="shared" si="103"/>
        <v>0</v>
      </c>
      <c r="M712">
        <f t="shared" si="104"/>
        <v>5903.1707999999999</v>
      </c>
      <c r="N712">
        <f t="shared" si="105"/>
        <v>0</v>
      </c>
      <c r="O712">
        <f t="shared" si="106"/>
        <v>5903.1707999999999</v>
      </c>
      <c r="P712">
        <f t="shared" si="107"/>
        <v>0</v>
      </c>
      <c r="Q712">
        <f t="shared" si="108"/>
        <v>5903.1707999999999</v>
      </c>
      <c r="R712">
        <f t="shared" si="109"/>
        <v>0</v>
      </c>
      <c r="S712">
        <f t="shared" si="110"/>
        <v>5903.1707999999999</v>
      </c>
    </row>
    <row r="713" spans="1:19" x14ac:dyDescent="0.3">
      <c r="A713" t="s">
        <v>13</v>
      </c>
      <c r="B713" t="s">
        <v>33</v>
      </c>
      <c r="C713" t="s">
        <v>15</v>
      </c>
      <c r="D713">
        <v>0</v>
      </c>
      <c r="E713">
        <v>25</v>
      </c>
      <c r="F713">
        <v>0</v>
      </c>
      <c r="G713">
        <v>20260403</v>
      </c>
      <c r="H713">
        <v>20260427</v>
      </c>
      <c r="I713">
        <v>28377.385300000002</v>
      </c>
      <c r="J713">
        <f t="shared" si="101"/>
        <v>25</v>
      </c>
      <c r="K713">
        <f t="shared" si="102"/>
        <v>1135.0954120000001</v>
      </c>
      <c r="L713">
        <f t="shared" si="103"/>
        <v>0</v>
      </c>
      <c r="M713">
        <f t="shared" si="104"/>
        <v>28377.385300000002</v>
      </c>
      <c r="N713">
        <f t="shared" si="105"/>
        <v>0</v>
      </c>
      <c r="O713">
        <f t="shared" si="106"/>
        <v>28377.385300000002</v>
      </c>
      <c r="P713">
        <f t="shared" si="107"/>
        <v>0</v>
      </c>
      <c r="Q713">
        <f t="shared" si="108"/>
        <v>28377.385300000002</v>
      </c>
      <c r="R713">
        <f t="shared" si="109"/>
        <v>0</v>
      </c>
      <c r="S713">
        <f t="shared" si="110"/>
        <v>28377.385300000002</v>
      </c>
    </row>
    <row r="714" spans="1:19" x14ac:dyDescent="0.3">
      <c r="A714" t="s">
        <v>13</v>
      </c>
      <c r="B714" t="s">
        <v>33</v>
      </c>
      <c r="C714" t="s">
        <v>15</v>
      </c>
      <c r="D714">
        <v>0</v>
      </c>
      <c r="E714">
        <v>28</v>
      </c>
      <c r="F714">
        <v>0</v>
      </c>
      <c r="G714">
        <v>20260403</v>
      </c>
      <c r="H714">
        <v>20260430</v>
      </c>
      <c r="I714">
        <v>8644.5364000000009</v>
      </c>
      <c r="J714">
        <f t="shared" si="101"/>
        <v>28</v>
      </c>
      <c r="K714">
        <f t="shared" si="102"/>
        <v>308.7334428571429</v>
      </c>
      <c r="L714">
        <f t="shared" si="103"/>
        <v>0</v>
      </c>
      <c r="M714">
        <f t="shared" si="104"/>
        <v>8644.5364000000009</v>
      </c>
      <c r="N714">
        <f t="shared" si="105"/>
        <v>0</v>
      </c>
      <c r="O714">
        <f t="shared" si="106"/>
        <v>8644.5364000000009</v>
      </c>
      <c r="P714">
        <f t="shared" si="107"/>
        <v>0</v>
      </c>
      <c r="Q714">
        <f t="shared" si="108"/>
        <v>8644.5364000000009</v>
      </c>
      <c r="R714">
        <f t="shared" si="109"/>
        <v>0</v>
      </c>
      <c r="S714">
        <f t="shared" si="110"/>
        <v>8644.5364000000009</v>
      </c>
    </row>
    <row r="715" spans="1:19" x14ac:dyDescent="0.3">
      <c r="A715" t="s">
        <v>13</v>
      </c>
      <c r="B715" t="s">
        <v>33</v>
      </c>
      <c r="C715" t="s">
        <v>14</v>
      </c>
      <c r="D715">
        <v>0</v>
      </c>
      <c r="E715">
        <v>27</v>
      </c>
      <c r="F715">
        <v>8</v>
      </c>
      <c r="G715">
        <v>20260404</v>
      </c>
      <c r="H715">
        <v>20260508</v>
      </c>
      <c r="I715">
        <v>232261.21350000001</v>
      </c>
      <c r="J715">
        <f t="shared" ref="J715:J778" si="111">IF(D715&lt;0,0,D715)+E715+F715</f>
        <v>35</v>
      </c>
      <c r="K715">
        <f t="shared" ref="K715:K778" si="112">I715/J715</f>
        <v>6636.0346714285715</v>
      </c>
      <c r="L715">
        <f t="shared" ref="L715:L778" si="113">IF(D715&lt;0,0,D715)*$K715*$B$6</f>
        <v>0</v>
      </c>
      <c r="M715">
        <f t="shared" ref="M715:M778" si="114">IF(E715&lt;0,0,E715)*$K715*$C$6</f>
        <v>179172.93612857143</v>
      </c>
      <c r="N715">
        <f t="shared" ref="N715:N778" si="115">IF(F715&lt;0,0,F715)*$K715*$D$6</f>
        <v>39895.59752492878</v>
      </c>
      <c r="O715">
        <f t="shared" ref="O715:O778" si="116">L715+M715+N715</f>
        <v>219068.5336535002</v>
      </c>
      <c r="P715">
        <f t="shared" ref="P715:P778" si="117">L715/$O715*$I715</f>
        <v>0</v>
      </c>
      <c r="Q715">
        <f t="shared" ref="Q715:Q778" si="118">M715/$O715*$I715</f>
        <v>189963.03520889106</v>
      </c>
      <c r="R715">
        <f t="shared" ref="R715:R778" si="119">N715/$O715*$I715</f>
        <v>42298.178291108961</v>
      </c>
      <c r="S715">
        <f t="shared" ref="S715:S778" si="120">P715+Q715+R715</f>
        <v>232261.21350000001</v>
      </c>
    </row>
    <row r="716" spans="1:19" x14ac:dyDescent="0.3">
      <c r="A716" t="s">
        <v>13</v>
      </c>
      <c r="B716" t="s">
        <v>33</v>
      </c>
      <c r="C716" t="s">
        <v>14</v>
      </c>
      <c r="D716">
        <v>0</v>
      </c>
      <c r="E716">
        <v>15</v>
      </c>
      <c r="F716">
        <v>17</v>
      </c>
      <c r="G716">
        <v>20260416</v>
      </c>
      <c r="H716">
        <v>20260517</v>
      </c>
      <c r="I716">
        <v>84300.636100000003</v>
      </c>
      <c r="J716">
        <f t="shared" si="111"/>
        <v>32</v>
      </c>
      <c r="K716">
        <f t="shared" si="112"/>
        <v>2634.3948781250001</v>
      </c>
      <c r="L716">
        <f t="shared" si="113"/>
        <v>0</v>
      </c>
      <c r="M716">
        <f t="shared" si="114"/>
        <v>39515.923171875002</v>
      </c>
      <c r="N716">
        <f t="shared" si="115"/>
        <v>33655.50684097984</v>
      </c>
      <c r="O716">
        <f t="shared" si="116"/>
        <v>73171.430012854835</v>
      </c>
      <c r="P716">
        <f t="shared" si="117"/>
        <v>0</v>
      </c>
      <c r="Q716">
        <f t="shared" si="118"/>
        <v>45526.204132986881</v>
      </c>
      <c r="R716">
        <f t="shared" si="119"/>
        <v>38774.43196701313</v>
      </c>
      <c r="S716">
        <f t="shared" si="120"/>
        <v>84300.636100000003</v>
      </c>
    </row>
    <row r="717" spans="1:19" x14ac:dyDescent="0.3">
      <c r="A717" t="s">
        <v>13</v>
      </c>
      <c r="B717" t="s">
        <v>33</v>
      </c>
      <c r="C717" t="s">
        <v>15</v>
      </c>
      <c r="D717">
        <v>30</v>
      </c>
      <c r="E717">
        <v>10</v>
      </c>
      <c r="F717">
        <v>0</v>
      </c>
      <c r="G717">
        <v>20260302</v>
      </c>
      <c r="H717">
        <v>20260410</v>
      </c>
      <c r="I717">
        <v>3458.8679999999999</v>
      </c>
      <c r="J717">
        <f t="shared" si="111"/>
        <v>40</v>
      </c>
      <c r="K717">
        <f t="shared" si="112"/>
        <v>86.471699999999998</v>
      </c>
      <c r="L717">
        <f t="shared" si="113"/>
        <v>4179.9517237791042</v>
      </c>
      <c r="M717">
        <f t="shared" si="114"/>
        <v>864.71699999999998</v>
      </c>
      <c r="N717">
        <f t="shared" si="115"/>
        <v>0</v>
      </c>
      <c r="O717">
        <f t="shared" si="116"/>
        <v>5044.6687237791039</v>
      </c>
      <c r="P717">
        <f t="shared" si="117"/>
        <v>2865.9763505924648</v>
      </c>
      <c r="Q717">
        <f t="shared" si="118"/>
        <v>592.89164940753551</v>
      </c>
      <c r="R717">
        <f t="shared" si="119"/>
        <v>0</v>
      </c>
      <c r="S717">
        <f t="shared" si="120"/>
        <v>3458.8680000000004</v>
      </c>
    </row>
    <row r="718" spans="1:19" x14ac:dyDescent="0.3">
      <c r="A718" t="s">
        <v>13</v>
      </c>
      <c r="B718" t="s">
        <v>24</v>
      </c>
      <c r="C718" t="s">
        <v>15</v>
      </c>
      <c r="D718">
        <v>22</v>
      </c>
      <c r="E718">
        <v>1</v>
      </c>
      <c r="F718">
        <v>0</v>
      </c>
      <c r="G718">
        <v>20260310</v>
      </c>
      <c r="H718">
        <v>20260401</v>
      </c>
      <c r="I718">
        <v>49949.835500000001</v>
      </c>
      <c r="J718">
        <f t="shared" si="111"/>
        <v>23</v>
      </c>
      <c r="K718">
        <f t="shared" si="112"/>
        <v>2171.7319782608697</v>
      </c>
      <c r="L718">
        <f t="shared" si="113"/>
        <v>76984.788539522182</v>
      </c>
      <c r="M718">
        <f t="shared" si="114"/>
        <v>2171.7319782608697</v>
      </c>
      <c r="N718">
        <f t="shared" si="115"/>
        <v>0</v>
      </c>
      <c r="O718">
        <f t="shared" si="116"/>
        <v>79156.52051778305</v>
      </c>
      <c r="P718">
        <f t="shared" si="117"/>
        <v>48579.415800464951</v>
      </c>
      <c r="Q718">
        <f t="shared" si="118"/>
        <v>1370.4196995350469</v>
      </c>
      <c r="R718">
        <f t="shared" si="119"/>
        <v>0</v>
      </c>
      <c r="S718">
        <f t="shared" si="120"/>
        <v>49949.835500000001</v>
      </c>
    </row>
    <row r="719" spans="1:19" x14ac:dyDescent="0.3">
      <c r="A719" t="s">
        <v>13</v>
      </c>
      <c r="B719" t="s">
        <v>33</v>
      </c>
      <c r="C719" t="s">
        <v>15</v>
      </c>
      <c r="D719">
        <v>0</v>
      </c>
      <c r="E719">
        <v>19</v>
      </c>
      <c r="F719">
        <v>0</v>
      </c>
      <c r="G719">
        <v>20260404</v>
      </c>
      <c r="H719">
        <v>20260422</v>
      </c>
      <c r="I719">
        <v>1602.7399</v>
      </c>
      <c r="J719">
        <f t="shared" si="111"/>
        <v>19</v>
      </c>
      <c r="K719">
        <f t="shared" si="112"/>
        <v>84.354731578947366</v>
      </c>
      <c r="L719">
        <f t="shared" si="113"/>
        <v>0</v>
      </c>
      <c r="M719">
        <f t="shared" si="114"/>
        <v>1602.7399</v>
      </c>
      <c r="N719">
        <f t="shared" si="115"/>
        <v>0</v>
      </c>
      <c r="O719">
        <f t="shared" si="116"/>
        <v>1602.7399</v>
      </c>
      <c r="P719">
        <f t="shared" si="117"/>
        <v>0</v>
      </c>
      <c r="Q719">
        <f t="shared" si="118"/>
        <v>1602.7399</v>
      </c>
      <c r="R719">
        <f t="shared" si="119"/>
        <v>0</v>
      </c>
      <c r="S719">
        <f t="shared" si="120"/>
        <v>1602.7399</v>
      </c>
    </row>
    <row r="720" spans="1:19" x14ac:dyDescent="0.3">
      <c r="A720" t="s">
        <v>13</v>
      </c>
      <c r="B720" t="s">
        <v>33</v>
      </c>
      <c r="C720" t="s">
        <v>14</v>
      </c>
      <c r="D720">
        <v>0</v>
      </c>
      <c r="E720">
        <v>23</v>
      </c>
      <c r="F720">
        <v>2</v>
      </c>
      <c r="G720">
        <v>20260408</v>
      </c>
      <c r="H720">
        <v>20260502</v>
      </c>
      <c r="I720">
        <v>759.77940000000001</v>
      </c>
      <c r="J720">
        <f t="shared" si="111"/>
        <v>25</v>
      </c>
      <c r="K720">
        <f t="shared" si="112"/>
        <v>30.391176000000002</v>
      </c>
      <c r="L720">
        <f t="shared" si="113"/>
        <v>0</v>
      </c>
      <c r="M720">
        <f t="shared" si="114"/>
        <v>698.99704800000006</v>
      </c>
      <c r="N720">
        <f t="shared" si="115"/>
        <v>45.677659401991178</v>
      </c>
      <c r="O720">
        <f t="shared" si="116"/>
        <v>744.67470740199121</v>
      </c>
      <c r="P720">
        <f t="shared" si="117"/>
        <v>0</v>
      </c>
      <c r="Q720">
        <f t="shared" si="118"/>
        <v>713.17523269193168</v>
      </c>
      <c r="R720">
        <f t="shared" si="119"/>
        <v>46.604167308068313</v>
      </c>
      <c r="S720">
        <f t="shared" si="120"/>
        <v>759.77940000000001</v>
      </c>
    </row>
    <row r="721" spans="1:19" x14ac:dyDescent="0.3">
      <c r="A721" t="s">
        <v>13</v>
      </c>
      <c r="B721" t="s">
        <v>33</v>
      </c>
      <c r="C721" t="s">
        <v>15</v>
      </c>
      <c r="D721">
        <v>0</v>
      </c>
      <c r="E721">
        <v>26</v>
      </c>
      <c r="F721">
        <v>12</v>
      </c>
      <c r="G721">
        <v>20260405</v>
      </c>
      <c r="H721">
        <v>20260512</v>
      </c>
      <c r="I721">
        <v>11222.333199999999</v>
      </c>
      <c r="J721">
        <f t="shared" si="111"/>
        <v>38</v>
      </c>
      <c r="K721">
        <f t="shared" si="112"/>
        <v>295.32455789473681</v>
      </c>
      <c r="L721">
        <f t="shared" si="113"/>
        <v>0</v>
      </c>
      <c r="M721">
        <f t="shared" si="114"/>
        <v>7678.4385052631569</v>
      </c>
      <c r="N721">
        <f t="shared" si="115"/>
        <v>2663.2206470508572</v>
      </c>
      <c r="O721">
        <f t="shared" si="116"/>
        <v>10341.659152314014</v>
      </c>
      <c r="P721">
        <f t="shared" si="117"/>
        <v>0</v>
      </c>
      <c r="Q721">
        <f t="shared" si="118"/>
        <v>8332.3182569299825</v>
      </c>
      <c r="R721">
        <f t="shared" si="119"/>
        <v>2890.014943070018</v>
      </c>
      <c r="S721">
        <f t="shared" si="120"/>
        <v>11222.333200000001</v>
      </c>
    </row>
    <row r="722" spans="1:19" x14ac:dyDescent="0.3">
      <c r="A722" t="s">
        <v>13</v>
      </c>
      <c r="B722" t="s">
        <v>33</v>
      </c>
      <c r="C722" t="s">
        <v>15</v>
      </c>
      <c r="D722">
        <v>0</v>
      </c>
      <c r="E722">
        <v>24</v>
      </c>
      <c r="F722">
        <v>0</v>
      </c>
      <c r="G722">
        <v>20260404</v>
      </c>
      <c r="H722">
        <v>20260427</v>
      </c>
      <c r="I722">
        <v>7802.2638999999999</v>
      </c>
      <c r="J722">
        <f t="shared" si="111"/>
        <v>24</v>
      </c>
      <c r="K722">
        <f t="shared" si="112"/>
        <v>325.09432916666668</v>
      </c>
      <c r="L722">
        <f t="shared" si="113"/>
        <v>0</v>
      </c>
      <c r="M722">
        <f t="shared" si="114"/>
        <v>7802.2638999999999</v>
      </c>
      <c r="N722">
        <f t="shared" si="115"/>
        <v>0</v>
      </c>
      <c r="O722">
        <f t="shared" si="116"/>
        <v>7802.2638999999999</v>
      </c>
      <c r="P722">
        <f t="shared" si="117"/>
        <v>0</v>
      </c>
      <c r="Q722">
        <f t="shared" si="118"/>
        <v>7802.2638999999999</v>
      </c>
      <c r="R722">
        <f t="shared" si="119"/>
        <v>0</v>
      </c>
      <c r="S722">
        <f t="shared" si="120"/>
        <v>7802.2638999999999</v>
      </c>
    </row>
    <row r="723" spans="1:19" x14ac:dyDescent="0.3">
      <c r="A723" t="s">
        <v>13</v>
      </c>
      <c r="B723" t="s">
        <v>33</v>
      </c>
      <c r="C723" t="s">
        <v>15</v>
      </c>
      <c r="D723">
        <v>22</v>
      </c>
      <c r="E723">
        <v>4</v>
      </c>
      <c r="F723">
        <v>0</v>
      </c>
      <c r="G723">
        <v>20260310</v>
      </c>
      <c r="H723">
        <v>20260404</v>
      </c>
      <c r="I723">
        <v>7345.57</v>
      </c>
      <c r="J723">
        <f t="shared" si="111"/>
        <v>26</v>
      </c>
      <c r="K723">
        <f t="shared" si="112"/>
        <v>282.52192307692309</v>
      </c>
      <c r="L723">
        <f t="shared" si="113"/>
        <v>10014.997579615447</v>
      </c>
      <c r="M723">
        <f t="shared" si="114"/>
        <v>1130.0876923076924</v>
      </c>
      <c r="N723">
        <f t="shared" si="115"/>
        <v>0</v>
      </c>
      <c r="O723">
        <f t="shared" si="116"/>
        <v>11145.085271923139</v>
      </c>
      <c r="P723">
        <f t="shared" si="117"/>
        <v>6600.7449899216144</v>
      </c>
      <c r="Q723">
        <f t="shared" si="118"/>
        <v>744.82501007838528</v>
      </c>
      <c r="R723">
        <f t="shared" si="119"/>
        <v>0</v>
      </c>
      <c r="S723">
        <f t="shared" si="120"/>
        <v>7345.57</v>
      </c>
    </row>
    <row r="724" spans="1:19" x14ac:dyDescent="0.3">
      <c r="A724" t="s">
        <v>13</v>
      </c>
      <c r="B724" t="s">
        <v>33</v>
      </c>
      <c r="C724" t="s">
        <v>15</v>
      </c>
      <c r="D724">
        <v>0</v>
      </c>
      <c r="E724">
        <v>22</v>
      </c>
      <c r="F724">
        <v>10</v>
      </c>
      <c r="G724">
        <v>20260409</v>
      </c>
      <c r="H724">
        <v>20260510</v>
      </c>
      <c r="I724">
        <v>87804.969400000002</v>
      </c>
      <c r="J724">
        <f t="shared" si="111"/>
        <v>32</v>
      </c>
      <c r="K724">
        <f t="shared" si="112"/>
        <v>2743.9052937500001</v>
      </c>
      <c r="L724">
        <f t="shared" si="113"/>
        <v>0</v>
      </c>
      <c r="M724">
        <f t="shared" si="114"/>
        <v>60365.916462499998</v>
      </c>
      <c r="N724">
        <f t="shared" si="115"/>
        <v>20620.322727760362</v>
      </c>
      <c r="O724">
        <f t="shared" si="116"/>
        <v>80986.239190260356</v>
      </c>
      <c r="P724">
        <f t="shared" si="117"/>
        <v>0</v>
      </c>
      <c r="Q724">
        <f t="shared" si="118"/>
        <v>65448.494716991547</v>
      </c>
      <c r="R724">
        <f t="shared" si="119"/>
        <v>22356.474683008462</v>
      </c>
      <c r="S724">
        <f t="shared" si="120"/>
        <v>87804.969400000002</v>
      </c>
    </row>
    <row r="725" spans="1:19" x14ac:dyDescent="0.3">
      <c r="A725" t="s">
        <v>13</v>
      </c>
      <c r="B725" t="s">
        <v>24</v>
      </c>
      <c r="C725" t="s">
        <v>15</v>
      </c>
      <c r="D725">
        <v>31</v>
      </c>
      <c r="E725">
        <v>1</v>
      </c>
      <c r="F725">
        <v>0</v>
      </c>
      <c r="G725">
        <v>20260228</v>
      </c>
      <c r="H725">
        <v>20260401</v>
      </c>
      <c r="I725">
        <v>14781.238300000001</v>
      </c>
      <c r="J725">
        <f t="shared" si="111"/>
        <v>32</v>
      </c>
      <c r="K725">
        <f t="shared" si="112"/>
        <v>461.91369687500003</v>
      </c>
      <c r="L725">
        <f t="shared" si="113"/>
        <v>23072.706854067048</v>
      </c>
      <c r="M725">
        <f t="shared" si="114"/>
        <v>461.91369687500003</v>
      </c>
      <c r="N725">
        <f t="shared" si="115"/>
        <v>0</v>
      </c>
      <c r="O725">
        <f t="shared" si="116"/>
        <v>23534.620550942047</v>
      </c>
      <c r="P725">
        <f t="shared" si="117"/>
        <v>14491.12712473102</v>
      </c>
      <c r="Q725">
        <f t="shared" si="118"/>
        <v>290.11117526898227</v>
      </c>
      <c r="R725">
        <f t="shared" si="119"/>
        <v>0</v>
      </c>
      <c r="S725">
        <f t="shared" si="120"/>
        <v>14781.238300000003</v>
      </c>
    </row>
    <row r="726" spans="1:19" x14ac:dyDescent="0.3">
      <c r="A726" t="s">
        <v>13</v>
      </c>
      <c r="B726" t="s">
        <v>24</v>
      </c>
      <c r="C726" t="s">
        <v>15</v>
      </c>
      <c r="D726">
        <v>19</v>
      </c>
      <c r="E726">
        <v>5</v>
      </c>
      <c r="F726">
        <v>0</v>
      </c>
      <c r="G726">
        <v>20260313</v>
      </c>
      <c r="H726">
        <v>20260405</v>
      </c>
      <c r="I726">
        <v>15667.3881</v>
      </c>
      <c r="J726">
        <f t="shared" si="111"/>
        <v>24</v>
      </c>
      <c r="K726">
        <f t="shared" si="112"/>
        <v>652.80783750000001</v>
      </c>
      <c r="L726">
        <f t="shared" si="113"/>
        <v>19985.498017439255</v>
      </c>
      <c r="M726">
        <f t="shared" si="114"/>
        <v>3264.0391875</v>
      </c>
      <c r="N726">
        <f t="shared" si="115"/>
        <v>0</v>
      </c>
      <c r="O726">
        <f t="shared" si="116"/>
        <v>23249.537204939254</v>
      </c>
      <c r="P726">
        <f t="shared" si="117"/>
        <v>13467.818780688693</v>
      </c>
      <c r="Q726">
        <f t="shared" si="118"/>
        <v>2199.5693193113079</v>
      </c>
      <c r="R726">
        <f t="shared" si="119"/>
        <v>0</v>
      </c>
      <c r="S726">
        <f t="shared" si="120"/>
        <v>15667.3881</v>
      </c>
    </row>
    <row r="727" spans="1:19" x14ac:dyDescent="0.3">
      <c r="A727" t="s">
        <v>13</v>
      </c>
      <c r="B727" t="s">
        <v>33</v>
      </c>
      <c r="C727" t="s">
        <v>15</v>
      </c>
      <c r="D727">
        <v>0</v>
      </c>
      <c r="E727">
        <v>28</v>
      </c>
      <c r="F727">
        <v>0</v>
      </c>
      <c r="G727">
        <v>20260402</v>
      </c>
      <c r="H727">
        <v>20260429</v>
      </c>
      <c r="I727">
        <v>8643.5236000000004</v>
      </c>
      <c r="J727">
        <f t="shared" si="111"/>
        <v>28</v>
      </c>
      <c r="K727">
        <f t="shared" si="112"/>
        <v>308.69727142857147</v>
      </c>
      <c r="L727">
        <f t="shared" si="113"/>
        <v>0</v>
      </c>
      <c r="M727">
        <f t="shared" si="114"/>
        <v>8643.5236000000004</v>
      </c>
      <c r="N727">
        <f t="shared" si="115"/>
        <v>0</v>
      </c>
      <c r="O727">
        <f t="shared" si="116"/>
        <v>8643.5236000000004</v>
      </c>
      <c r="P727">
        <f t="shared" si="117"/>
        <v>0</v>
      </c>
      <c r="Q727">
        <f t="shared" si="118"/>
        <v>8643.5236000000004</v>
      </c>
      <c r="R727">
        <f t="shared" si="119"/>
        <v>0</v>
      </c>
      <c r="S727">
        <f t="shared" si="120"/>
        <v>8643.5236000000004</v>
      </c>
    </row>
    <row r="728" spans="1:19" x14ac:dyDescent="0.3">
      <c r="A728" t="s">
        <v>13</v>
      </c>
      <c r="B728" t="s">
        <v>24</v>
      </c>
      <c r="C728" t="s">
        <v>14</v>
      </c>
      <c r="D728">
        <v>22</v>
      </c>
      <c r="E728">
        <v>7</v>
      </c>
      <c r="F728">
        <v>0</v>
      </c>
      <c r="G728">
        <v>20260310</v>
      </c>
      <c r="H728">
        <v>20260407</v>
      </c>
      <c r="I728">
        <v>4375.1153999999997</v>
      </c>
      <c r="J728">
        <f t="shared" si="111"/>
        <v>29</v>
      </c>
      <c r="K728">
        <f t="shared" si="112"/>
        <v>150.86604827586206</v>
      </c>
      <c r="L728">
        <f t="shared" si="113"/>
        <v>5347.985359414115</v>
      </c>
      <c r="M728">
        <f t="shared" si="114"/>
        <v>1056.0623379310343</v>
      </c>
      <c r="N728">
        <f t="shared" si="115"/>
        <v>0</v>
      </c>
      <c r="O728">
        <f t="shared" si="116"/>
        <v>6404.0476973451496</v>
      </c>
      <c r="P728">
        <f t="shared" si="117"/>
        <v>3653.6350462609894</v>
      </c>
      <c r="Q728">
        <f t="shared" si="118"/>
        <v>721.48035373901018</v>
      </c>
      <c r="R728">
        <f t="shared" si="119"/>
        <v>0</v>
      </c>
      <c r="S728">
        <f t="shared" si="120"/>
        <v>4375.1153999999997</v>
      </c>
    </row>
    <row r="729" spans="1:19" x14ac:dyDescent="0.3">
      <c r="A729" t="s">
        <v>13</v>
      </c>
      <c r="B729" t="s">
        <v>24</v>
      </c>
      <c r="C729" t="s">
        <v>15</v>
      </c>
      <c r="D729">
        <v>27</v>
      </c>
      <c r="E729">
        <v>9</v>
      </c>
      <c r="F729">
        <v>0</v>
      </c>
      <c r="G729">
        <v>20260305</v>
      </c>
      <c r="H729">
        <v>20260409</v>
      </c>
      <c r="I729">
        <v>22067.951700000001</v>
      </c>
      <c r="J729">
        <f t="shared" si="111"/>
        <v>36</v>
      </c>
      <c r="K729">
        <f t="shared" si="112"/>
        <v>612.99865833333342</v>
      </c>
      <c r="L729">
        <f t="shared" si="113"/>
        <v>26668.543797765353</v>
      </c>
      <c r="M729">
        <f t="shared" si="114"/>
        <v>5516.9879250000013</v>
      </c>
      <c r="N729">
        <f t="shared" si="115"/>
        <v>0</v>
      </c>
      <c r="O729">
        <f t="shared" si="116"/>
        <v>32185.531722765354</v>
      </c>
      <c r="P729">
        <f t="shared" si="117"/>
        <v>18285.23889267147</v>
      </c>
      <c r="Q729">
        <f t="shared" si="118"/>
        <v>3782.7128073285321</v>
      </c>
      <c r="R729">
        <f t="shared" si="119"/>
        <v>0</v>
      </c>
      <c r="S729">
        <f t="shared" si="120"/>
        <v>22067.951700000001</v>
      </c>
    </row>
    <row r="730" spans="1:19" x14ac:dyDescent="0.3">
      <c r="A730" t="s">
        <v>13</v>
      </c>
      <c r="B730" t="s">
        <v>33</v>
      </c>
      <c r="C730" t="s">
        <v>15</v>
      </c>
      <c r="D730">
        <v>0</v>
      </c>
      <c r="E730">
        <v>26</v>
      </c>
      <c r="F730">
        <v>0</v>
      </c>
      <c r="G730">
        <v>20260403</v>
      </c>
      <c r="H730">
        <v>20260428</v>
      </c>
      <c r="I730">
        <v>15348.6037</v>
      </c>
      <c r="J730">
        <f t="shared" si="111"/>
        <v>26</v>
      </c>
      <c r="K730">
        <f t="shared" si="112"/>
        <v>590.33091153846158</v>
      </c>
      <c r="L730">
        <f t="shared" si="113"/>
        <v>0</v>
      </c>
      <c r="M730">
        <f t="shared" si="114"/>
        <v>15348.603700000001</v>
      </c>
      <c r="N730">
        <f t="shared" si="115"/>
        <v>0</v>
      </c>
      <c r="O730">
        <f t="shared" si="116"/>
        <v>15348.603700000001</v>
      </c>
      <c r="P730">
        <f t="shared" si="117"/>
        <v>0</v>
      </c>
      <c r="Q730">
        <f t="shared" si="118"/>
        <v>15348.6037</v>
      </c>
      <c r="R730">
        <f t="shared" si="119"/>
        <v>0</v>
      </c>
      <c r="S730">
        <f t="shared" si="120"/>
        <v>15348.6037</v>
      </c>
    </row>
    <row r="731" spans="1:19" x14ac:dyDescent="0.3">
      <c r="A731" t="s">
        <v>13</v>
      </c>
      <c r="B731" t="s">
        <v>33</v>
      </c>
      <c r="C731" t="s">
        <v>15</v>
      </c>
      <c r="D731">
        <v>0</v>
      </c>
      <c r="E731">
        <v>28</v>
      </c>
      <c r="F731">
        <v>14</v>
      </c>
      <c r="G731">
        <v>20260403</v>
      </c>
      <c r="H731">
        <v>20260514</v>
      </c>
      <c r="I731">
        <v>53597.3819</v>
      </c>
      <c r="J731">
        <f t="shared" si="111"/>
        <v>42</v>
      </c>
      <c r="K731">
        <f t="shared" si="112"/>
        <v>1276.1281404761905</v>
      </c>
      <c r="L731">
        <f t="shared" si="113"/>
        <v>0</v>
      </c>
      <c r="M731">
        <f t="shared" si="114"/>
        <v>35731.587933333336</v>
      </c>
      <c r="N731">
        <f t="shared" si="115"/>
        <v>13426.06241620181</v>
      </c>
      <c r="O731">
        <f t="shared" si="116"/>
        <v>49157.65034953515</v>
      </c>
      <c r="P731">
        <f t="shared" si="117"/>
        <v>0</v>
      </c>
      <c r="Q731">
        <f t="shared" si="118"/>
        <v>38958.728717480459</v>
      </c>
      <c r="R731">
        <f t="shared" si="119"/>
        <v>14638.653182519532</v>
      </c>
      <c r="S731">
        <f t="shared" si="120"/>
        <v>53597.381899999993</v>
      </c>
    </row>
    <row r="732" spans="1:19" x14ac:dyDescent="0.3">
      <c r="A732" t="s">
        <v>13</v>
      </c>
      <c r="B732" t="s">
        <v>33</v>
      </c>
      <c r="C732" t="s">
        <v>14</v>
      </c>
      <c r="D732">
        <v>0</v>
      </c>
      <c r="E732">
        <v>16</v>
      </c>
      <c r="F732">
        <v>1</v>
      </c>
      <c r="G732">
        <v>20260415</v>
      </c>
      <c r="H732">
        <v>20260501</v>
      </c>
      <c r="I732">
        <v>84.455500000000001</v>
      </c>
      <c r="J732">
        <f t="shared" si="111"/>
        <v>17</v>
      </c>
      <c r="K732">
        <f t="shared" si="112"/>
        <v>4.9679705882352945</v>
      </c>
      <c r="L732">
        <f t="shared" si="113"/>
        <v>0</v>
      </c>
      <c r="M732">
        <f t="shared" si="114"/>
        <v>79.487529411764712</v>
      </c>
      <c r="N732">
        <f t="shared" si="115"/>
        <v>3.733407164772458</v>
      </c>
      <c r="O732">
        <f t="shared" si="116"/>
        <v>83.22093657653717</v>
      </c>
      <c r="P732">
        <f t="shared" si="117"/>
        <v>0</v>
      </c>
      <c r="Q732">
        <f t="shared" si="118"/>
        <v>80.666708599960216</v>
      </c>
      <c r="R732">
        <f t="shared" si="119"/>
        <v>3.7887914000397842</v>
      </c>
      <c r="S732">
        <f t="shared" si="120"/>
        <v>84.455500000000001</v>
      </c>
    </row>
    <row r="733" spans="1:19" x14ac:dyDescent="0.3">
      <c r="A733" t="s">
        <v>13</v>
      </c>
      <c r="B733" t="s">
        <v>33</v>
      </c>
      <c r="C733" t="s">
        <v>15</v>
      </c>
      <c r="D733">
        <v>0</v>
      </c>
      <c r="E733">
        <v>21</v>
      </c>
      <c r="F733">
        <v>0</v>
      </c>
      <c r="G733">
        <v>20260402</v>
      </c>
      <c r="H733">
        <v>20260422</v>
      </c>
      <c r="I733">
        <v>4005.2537000000002</v>
      </c>
      <c r="J733">
        <f t="shared" si="111"/>
        <v>21</v>
      </c>
      <c r="K733">
        <f t="shared" si="112"/>
        <v>190.72636666666668</v>
      </c>
      <c r="L733">
        <f t="shared" si="113"/>
        <v>0</v>
      </c>
      <c r="M733">
        <f t="shared" si="114"/>
        <v>4005.2537000000002</v>
      </c>
      <c r="N733">
        <f t="shared" si="115"/>
        <v>0</v>
      </c>
      <c r="O733">
        <f t="shared" si="116"/>
        <v>4005.2537000000002</v>
      </c>
      <c r="P733">
        <f t="shared" si="117"/>
        <v>0</v>
      </c>
      <c r="Q733">
        <f t="shared" si="118"/>
        <v>4005.2537000000002</v>
      </c>
      <c r="R733">
        <f t="shared" si="119"/>
        <v>0</v>
      </c>
      <c r="S733">
        <f t="shared" si="120"/>
        <v>4005.2537000000002</v>
      </c>
    </row>
    <row r="734" spans="1:19" x14ac:dyDescent="0.3">
      <c r="A734" t="s">
        <v>13</v>
      </c>
      <c r="B734" t="s">
        <v>33</v>
      </c>
      <c r="C734" t="s">
        <v>15</v>
      </c>
      <c r="D734">
        <v>0</v>
      </c>
      <c r="E734">
        <v>16</v>
      </c>
      <c r="F734">
        <v>0</v>
      </c>
      <c r="G734">
        <v>20260401</v>
      </c>
      <c r="H734">
        <v>20260416</v>
      </c>
      <c r="I734">
        <v>926.55409999999995</v>
      </c>
      <c r="J734">
        <f t="shared" si="111"/>
        <v>16</v>
      </c>
      <c r="K734">
        <f t="shared" si="112"/>
        <v>57.909631249999997</v>
      </c>
      <c r="L734">
        <f t="shared" si="113"/>
        <v>0</v>
      </c>
      <c r="M734">
        <f t="shared" si="114"/>
        <v>926.55409999999995</v>
      </c>
      <c r="N734">
        <f t="shared" si="115"/>
        <v>0</v>
      </c>
      <c r="O734">
        <f t="shared" si="116"/>
        <v>926.55409999999995</v>
      </c>
      <c r="P734">
        <f t="shared" si="117"/>
        <v>0</v>
      </c>
      <c r="Q734">
        <f t="shared" si="118"/>
        <v>926.55409999999995</v>
      </c>
      <c r="R734">
        <f t="shared" si="119"/>
        <v>0</v>
      </c>
      <c r="S734">
        <f t="shared" si="120"/>
        <v>926.55409999999995</v>
      </c>
    </row>
    <row r="735" spans="1:19" x14ac:dyDescent="0.3">
      <c r="A735" t="s">
        <v>13</v>
      </c>
      <c r="B735" t="s">
        <v>33</v>
      </c>
      <c r="C735" t="s">
        <v>15</v>
      </c>
      <c r="D735">
        <v>0</v>
      </c>
      <c r="E735">
        <v>22</v>
      </c>
      <c r="F735">
        <v>5</v>
      </c>
      <c r="G735">
        <v>20260409</v>
      </c>
      <c r="H735">
        <v>20260505</v>
      </c>
      <c r="I735">
        <v>11776.3073</v>
      </c>
      <c r="J735">
        <f t="shared" si="111"/>
        <v>27</v>
      </c>
      <c r="K735">
        <f t="shared" si="112"/>
        <v>436.15952962962962</v>
      </c>
      <c r="L735">
        <f t="shared" si="113"/>
        <v>0</v>
      </c>
      <c r="M735">
        <f t="shared" si="114"/>
        <v>9595.5096518518512</v>
      </c>
      <c r="N735">
        <f t="shared" si="115"/>
        <v>1638.859453756816</v>
      </c>
      <c r="O735">
        <f t="shared" si="116"/>
        <v>11234.369105608668</v>
      </c>
      <c r="P735">
        <f t="shared" si="117"/>
        <v>0</v>
      </c>
      <c r="Q735">
        <f t="shared" si="118"/>
        <v>10058.390399858703</v>
      </c>
      <c r="R735">
        <f t="shared" si="119"/>
        <v>1717.9169001412977</v>
      </c>
      <c r="S735">
        <f t="shared" si="120"/>
        <v>11776.3073</v>
      </c>
    </row>
    <row r="736" spans="1:19" x14ac:dyDescent="0.3">
      <c r="A736" t="s">
        <v>13</v>
      </c>
      <c r="B736" t="s">
        <v>33</v>
      </c>
      <c r="C736" t="s">
        <v>15</v>
      </c>
      <c r="D736">
        <v>0</v>
      </c>
      <c r="E736">
        <v>27</v>
      </c>
      <c r="F736">
        <v>12</v>
      </c>
      <c r="G736">
        <v>20260404</v>
      </c>
      <c r="H736">
        <v>20260512</v>
      </c>
      <c r="I736">
        <v>37205.664799999999</v>
      </c>
      <c r="J736">
        <f t="shared" si="111"/>
        <v>39</v>
      </c>
      <c r="K736">
        <f t="shared" si="112"/>
        <v>953.99140512820509</v>
      </c>
      <c r="L736">
        <f t="shared" si="113"/>
        <v>0</v>
      </c>
      <c r="M736">
        <f t="shared" si="114"/>
        <v>25757.767938461537</v>
      </c>
      <c r="N736">
        <f t="shared" si="115"/>
        <v>8603.0421085133003</v>
      </c>
      <c r="O736">
        <f t="shared" si="116"/>
        <v>34360.810046974839</v>
      </c>
      <c r="P736">
        <f t="shared" si="117"/>
        <v>0</v>
      </c>
      <c r="Q736">
        <f t="shared" si="118"/>
        <v>27890.345966944387</v>
      </c>
      <c r="R736">
        <f t="shared" si="119"/>
        <v>9315.3188330556095</v>
      </c>
      <c r="S736">
        <f t="shared" si="120"/>
        <v>37205.664799999999</v>
      </c>
    </row>
    <row r="737" spans="1:19" x14ac:dyDescent="0.3">
      <c r="A737" t="s">
        <v>13</v>
      </c>
      <c r="B737" t="s">
        <v>24</v>
      </c>
      <c r="C737" t="s">
        <v>15</v>
      </c>
      <c r="D737">
        <v>21</v>
      </c>
      <c r="E737">
        <v>2</v>
      </c>
      <c r="F737">
        <v>0</v>
      </c>
      <c r="G737">
        <v>20260311</v>
      </c>
      <c r="H737">
        <v>20260402</v>
      </c>
      <c r="I737">
        <v>9996.3528000000006</v>
      </c>
      <c r="J737">
        <f t="shared" si="111"/>
        <v>23</v>
      </c>
      <c r="K737">
        <f t="shared" si="112"/>
        <v>434.6240347826087</v>
      </c>
      <c r="L737">
        <f t="shared" si="113"/>
        <v>14706.490543955728</v>
      </c>
      <c r="M737">
        <f t="shared" si="114"/>
        <v>869.24806956521741</v>
      </c>
      <c r="N737">
        <f t="shared" si="115"/>
        <v>0</v>
      </c>
      <c r="O737">
        <f t="shared" si="116"/>
        <v>15575.738613520945</v>
      </c>
      <c r="P737">
        <f t="shared" si="117"/>
        <v>9438.4781084877868</v>
      </c>
      <c r="Q737">
        <f t="shared" si="118"/>
        <v>557.87469151221262</v>
      </c>
      <c r="R737">
        <f t="shared" si="119"/>
        <v>0</v>
      </c>
      <c r="S737">
        <f t="shared" si="120"/>
        <v>9996.3527999999988</v>
      </c>
    </row>
    <row r="738" spans="1:19" x14ac:dyDescent="0.3">
      <c r="A738" t="s">
        <v>13</v>
      </c>
      <c r="B738" t="s">
        <v>24</v>
      </c>
      <c r="C738" t="s">
        <v>15</v>
      </c>
      <c r="D738">
        <v>27</v>
      </c>
      <c r="E738">
        <v>10</v>
      </c>
      <c r="F738">
        <v>0</v>
      </c>
      <c r="G738">
        <v>20260305</v>
      </c>
      <c r="H738">
        <v>20260410</v>
      </c>
      <c r="I738">
        <v>2522.3831</v>
      </c>
      <c r="J738">
        <f t="shared" si="111"/>
        <v>37</v>
      </c>
      <c r="K738">
        <f t="shared" si="112"/>
        <v>68.172516216216223</v>
      </c>
      <c r="L738">
        <f t="shared" si="113"/>
        <v>2965.8494513823457</v>
      </c>
      <c r="M738">
        <f t="shared" si="114"/>
        <v>681.72516216216218</v>
      </c>
      <c r="N738">
        <f t="shared" si="115"/>
        <v>0</v>
      </c>
      <c r="O738">
        <f t="shared" si="116"/>
        <v>3647.5746135445079</v>
      </c>
      <c r="P738">
        <f t="shared" si="117"/>
        <v>2050.9542164077834</v>
      </c>
      <c r="Q738">
        <f t="shared" si="118"/>
        <v>471.42888359221638</v>
      </c>
      <c r="R738">
        <f t="shared" si="119"/>
        <v>0</v>
      </c>
      <c r="S738">
        <f t="shared" si="120"/>
        <v>2522.3831</v>
      </c>
    </row>
    <row r="739" spans="1:19" x14ac:dyDescent="0.3">
      <c r="A739" t="s">
        <v>13</v>
      </c>
      <c r="B739" t="s">
        <v>33</v>
      </c>
      <c r="C739" t="s">
        <v>15</v>
      </c>
      <c r="D739">
        <v>0</v>
      </c>
      <c r="E739">
        <v>24</v>
      </c>
      <c r="F739">
        <v>0</v>
      </c>
      <c r="G739">
        <v>20260407</v>
      </c>
      <c r="H739">
        <v>20260430</v>
      </c>
      <c r="I739">
        <v>3038.6913</v>
      </c>
      <c r="J739">
        <f t="shared" si="111"/>
        <v>24</v>
      </c>
      <c r="K739">
        <f t="shared" si="112"/>
        <v>126.6121375</v>
      </c>
      <c r="L739">
        <f t="shared" si="113"/>
        <v>0</v>
      </c>
      <c r="M739">
        <f t="shared" si="114"/>
        <v>3038.6913</v>
      </c>
      <c r="N739">
        <f t="shared" si="115"/>
        <v>0</v>
      </c>
      <c r="O739">
        <f t="shared" si="116"/>
        <v>3038.6913</v>
      </c>
      <c r="P739">
        <f t="shared" si="117"/>
        <v>0</v>
      </c>
      <c r="Q739">
        <f t="shared" si="118"/>
        <v>3038.6913</v>
      </c>
      <c r="R739">
        <f t="shared" si="119"/>
        <v>0</v>
      </c>
      <c r="S739">
        <f t="shared" si="120"/>
        <v>3038.6913</v>
      </c>
    </row>
    <row r="740" spans="1:19" x14ac:dyDescent="0.3">
      <c r="A740" t="s">
        <v>13</v>
      </c>
      <c r="B740" t="s">
        <v>33</v>
      </c>
      <c r="C740" t="s">
        <v>15</v>
      </c>
      <c r="D740">
        <v>28</v>
      </c>
      <c r="E740">
        <v>11</v>
      </c>
      <c r="F740">
        <v>0</v>
      </c>
      <c r="G740">
        <v>20260304</v>
      </c>
      <c r="H740">
        <v>20260411</v>
      </c>
      <c r="I740">
        <v>2033.5794000000001</v>
      </c>
      <c r="J740">
        <f t="shared" si="111"/>
        <v>39</v>
      </c>
      <c r="K740">
        <f t="shared" si="112"/>
        <v>52.143061538461538</v>
      </c>
      <c r="L740">
        <f t="shared" si="113"/>
        <v>2352.5050927655107</v>
      </c>
      <c r="M740">
        <f t="shared" si="114"/>
        <v>573.57367692307696</v>
      </c>
      <c r="N740">
        <f t="shared" si="115"/>
        <v>0</v>
      </c>
      <c r="O740">
        <f t="shared" si="116"/>
        <v>2926.0787696885877</v>
      </c>
      <c r="P740">
        <f t="shared" si="117"/>
        <v>1634.9545831099333</v>
      </c>
      <c r="Q740">
        <f t="shared" si="118"/>
        <v>398.6248168900666</v>
      </c>
      <c r="R740">
        <f t="shared" si="119"/>
        <v>0</v>
      </c>
      <c r="S740">
        <f t="shared" si="120"/>
        <v>2033.5793999999999</v>
      </c>
    </row>
    <row r="741" spans="1:19" x14ac:dyDescent="0.3">
      <c r="A741" t="s">
        <v>13</v>
      </c>
      <c r="B741" t="s">
        <v>33</v>
      </c>
      <c r="C741" t="s">
        <v>15</v>
      </c>
      <c r="D741">
        <v>0</v>
      </c>
      <c r="E741">
        <v>13</v>
      </c>
      <c r="F741">
        <v>0</v>
      </c>
      <c r="G741">
        <v>20260403</v>
      </c>
      <c r="H741">
        <v>20260415</v>
      </c>
      <c r="I741">
        <v>7411.0414000000001</v>
      </c>
      <c r="J741">
        <f t="shared" si="111"/>
        <v>13</v>
      </c>
      <c r="K741">
        <f t="shared" si="112"/>
        <v>570.08010769230771</v>
      </c>
      <c r="L741">
        <f t="shared" si="113"/>
        <v>0</v>
      </c>
      <c r="M741">
        <f t="shared" si="114"/>
        <v>7411.0414000000001</v>
      </c>
      <c r="N741">
        <f t="shared" si="115"/>
        <v>0</v>
      </c>
      <c r="O741">
        <f t="shared" si="116"/>
        <v>7411.0414000000001</v>
      </c>
      <c r="P741">
        <f t="shared" si="117"/>
        <v>0</v>
      </c>
      <c r="Q741">
        <f t="shared" si="118"/>
        <v>7411.0414000000001</v>
      </c>
      <c r="R741">
        <f t="shared" si="119"/>
        <v>0</v>
      </c>
      <c r="S741">
        <f t="shared" si="120"/>
        <v>7411.0414000000001</v>
      </c>
    </row>
    <row r="742" spans="1:19" x14ac:dyDescent="0.3">
      <c r="A742" t="s">
        <v>13</v>
      </c>
      <c r="B742" t="s">
        <v>33</v>
      </c>
      <c r="C742" t="s">
        <v>15</v>
      </c>
      <c r="D742">
        <v>20</v>
      </c>
      <c r="E742">
        <v>3</v>
      </c>
      <c r="F742">
        <v>0</v>
      </c>
      <c r="G742">
        <v>20260312</v>
      </c>
      <c r="H742">
        <v>20260403</v>
      </c>
      <c r="I742">
        <v>1406.1134999999999</v>
      </c>
      <c r="J742">
        <f t="shared" si="111"/>
        <v>23</v>
      </c>
      <c r="K742">
        <f t="shared" si="112"/>
        <v>61.135369565217388</v>
      </c>
      <c r="L742">
        <f t="shared" si="113"/>
        <v>1970.1466367840812</v>
      </c>
      <c r="M742">
        <f t="shared" si="114"/>
        <v>183.40610869565216</v>
      </c>
      <c r="N742">
        <f t="shared" si="115"/>
        <v>0</v>
      </c>
      <c r="O742">
        <f t="shared" si="116"/>
        <v>2153.5527454797334</v>
      </c>
      <c r="P742">
        <f t="shared" si="117"/>
        <v>1286.3626343846906</v>
      </c>
      <c r="Q742">
        <f t="shared" si="118"/>
        <v>119.75086561530928</v>
      </c>
      <c r="R742">
        <f t="shared" si="119"/>
        <v>0</v>
      </c>
      <c r="S742">
        <f t="shared" si="120"/>
        <v>1406.1134999999999</v>
      </c>
    </row>
    <row r="743" spans="1:19" x14ac:dyDescent="0.3">
      <c r="A743" t="s">
        <v>13</v>
      </c>
      <c r="B743" t="s">
        <v>33</v>
      </c>
      <c r="C743" t="s">
        <v>15</v>
      </c>
      <c r="D743">
        <v>31</v>
      </c>
      <c r="E743">
        <v>3</v>
      </c>
      <c r="F743">
        <v>0</v>
      </c>
      <c r="G743">
        <v>20260228</v>
      </c>
      <c r="H743">
        <v>20260403</v>
      </c>
      <c r="I743">
        <v>3973.2127</v>
      </c>
      <c r="J743">
        <f t="shared" si="111"/>
        <v>34</v>
      </c>
      <c r="K743">
        <f t="shared" si="112"/>
        <v>116.85919705882353</v>
      </c>
      <c r="L743">
        <f t="shared" si="113"/>
        <v>5837.146668698012</v>
      </c>
      <c r="M743">
        <f t="shared" si="114"/>
        <v>350.57759117647061</v>
      </c>
      <c r="N743">
        <f t="shared" si="115"/>
        <v>0</v>
      </c>
      <c r="O743">
        <f t="shared" si="116"/>
        <v>6187.7242598744824</v>
      </c>
      <c r="P743">
        <f t="shared" si="117"/>
        <v>3748.1025821121652</v>
      </c>
      <c r="Q743">
        <f t="shared" si="118"/>
        <v>225.11011788783495</v>
      </c>
      <c r="R743">
        <f t="shared" si="119"/>
        <v>0</v>
      </c>
      <c r="S743">
        <f t="shared" si="120"/>
        <v>3973.2127</v>
      </c>
    </row>
    <row r="744" spans="1:19" x14ac:dyDescent="0.3">
      <c r="A744" t="s">
        <v>13</v>
      </c>
      <c r="B744" t="s">
        <v>24</v>
      </c>
      <c r="C744" t="s">
        <v>15</v>
      </c>
      <c r="D744">
        <v>31</v>
      </c>
      <c r="E744">
        <v>6</v>
      </c>
      <c r="F744">
        <v>0</v>
      </c>
      <c r="G744">
        <v>20260227</v>
      </c>
      <c r="H744">
        <v>20260406</v>
      </c>
      <c r="I744">
        <v>13606.8907</v>
      </c>
      <c r="J744">
        <f t="shared" si="111"/>
        <v>37</v>
      </c>
      <c r="K744">
        <f t="shared" si="112"/>
        <v>367.75380270270273</v>
      </c>
      <c r="L744">
        <f t="shared" si="113"/>
        <v>18369.396148311327</v>
      </c>
      <c r="M744">
        <f t="shared" si="114"/>
        <v>2206.5228162162166</v>
      </c>
      <c r="N744">
        <f t="shared" si="115"/>
        <v>0</v>
      </c>
      <c r="O744">
        <f t="shared" si="116"/>
        <v>20575.918964527544</v>
      </c>
      <c r="P744">
        <f t="shared" si="117"/>
        <v>12147.713355888622</v>
      </c>
      <c r="Q744">
        <f t="shared" si="118"/>
        <v>1459.1773441113785</v>
      </c>
      <c r="R744">
        <f t="shared" si="119"/>
        <v>0</v>
      </c>
      <c r="S744">
        <f t="shared" si="120"/>
        <v>13606.8907</v>
      </c>
    </row>
    <row r="745" spans="1:19" x14ac:dyDescent="0.3">
      <c r="A745" t="s">
        <v>13</v>
      </c>
      <c r="B745" t="s">
        <v>33</v>
      </c>
      <c r="C745" t="s">
        <v>15</v>
      </c>
      <c r="D745">
        <v>31</v>
      </c>
      <c r="E745">
        <v>5</v>
      </c>
      <c r="F745">
        <v>0</v>
      </c>
      <c r="G745">
        <v>20260226</v>
      </c>
      <c r="H745">
        <v>20260405</v>
      </c>
      <c r="I745">
        <v>4199.8428999999996</v>
      </c>
      <c r="J745">
        <f t="shared" si="111"/>
        <v>36</v>
      </c>
      <c r="K745">
        <f t="shared" si="112"/>
        <v>116.66230277777777</v>
      </c>
      <c r="L745">
        <f t="shared" si="113"/>
        <v>5827.3117491913054</v>
      </c>
      <c r="M745">
        <f t="shared" si="114"/>
        <v>583.31151388888884</v>
      </c>
      <c r="N745">
        <f t="shared" si="115"/>
        <v>0</v>
      </c>
      <c r="O745">
        <f t="shared" si="116"/>
        <v>6410.6232630801942</v>
      </c>
      <c r="P745">
        <f t="shared" si="117"/>
        <v>3817.6933617166651</v>
      </c>
      <c r="Q745">
        <f t="shared" si="118"/>
        <v>382.14953828333472</v>
      </c>
      <c r="R745">
        <f t="shared" si="119"/>
        <v>0</v>
      </c>
      <c r="S745">
        <f t="shared" si="120"/>
        <v>4199.8428999999996</v>
      </c>
    </row>
    <row r="746" spans="1:19" x14ac:dyDescent="0.3">
      <c r="A746" t="s">
        <v>13</v>
      </c>
      <c r="B746" t="s">
        <v>33</v>
      </c>
      <c r="C746" t="s">
        <v>15</v>
      </c>
      <c r="D746">
        <v>19</v>
      </c>
      <c r="E746">
        <v>2</v>
      </c>
      <c r="F746">
        <v>0</v>
      </c>
      <c r="G746">
        <v>20260313</v>
      </c>
      <c r="H746">
        <v>20260402</v>
      </c>
      <c r="I746">
        <v>1315.7501</v>
      </c>
      <c r="J746">
        <f t="shared" si="111"/>
        <v>21</v>
      </c>
      <c r="K746">
        <f t="shared" si="112"/>
        <v>62.654766666666667</v>
      </c>
      <c r="L746">
        <f t="shared" si="113"/>
        <v>1918.1551492935098</v>
      </c>
      <c r="M746">
        <f t="shared" si="114"/>
        <v>125.30953333333333</v>
      </c>
      <c r="N746">
        <f t="shared" si="115"/>
        <v>0</v>
      </c>
      <c r="O746">
        <f t="shared" si="116"/>
        <v>2043.4646826268431</v>
      </c>
      <c r="P746">
        <f t="shared" si="117"/>
        <v>1235.0655487004194</v>
      </c>
      <c r="Q746">
        <f t="shared" si="118"/>
        <v>80.684551299580576</v>
      </c>
      <c r="R746">
        <f t="shared" si="119"/>
        <v>0</v>
      </c>
      <c r="S746">
        <f t="shared" si="120"/>
        <v>1315.7501</v>
      </c>
    </row>
    <row r="747" spans="1:19" x14ac:dyDescent="0.3">
      <c r="A747" t="s">
        <v>13</v>
      </c>
      <c r="B747" t="s">
        <v>33</v>
      </c>
      <c r="C747" t="s">
        <v>15</v>
      </c>
      <c r="D747">
        <v>0</v>
      </c>
      <c r="E747">
        <v>10</v>
      </c>
      <c r="F747">
        <v>4</v>
      </c>
      <c r="G747">
        <v>20260421</v>
      </c>
      <c r="H747">
        <v>20260504</v>
      </c>
      <c r="I747">
        <v>2532.1833999999999</v>
      </c>
      <c r="J747">
        <f t="shared" si="111"/>
        <v>14</v>
      </c>
      <c r="K747">
        <f t="shared" si="112"/>
        <v>180.87024285714284</v>
      </c>
      <c r="L747">
        <f t="shared" si="113"/>
        <v>0</v>
      </c>
      <c r="M747">
        <f t="shared" si="114"/>
        <v>1808.7024285714283</v>
      </c>
      <c r="N747">
        <f t="shared" si="115"/>
        <v>543.69263954668941</v>
      </c>
      <c r="O747">
        <f t="shared" si="116"/>
        <v>2352.3950681181177</v>
      </c>
      <c r="P747">
        <f t="shared" si="117"/>
        <v>0</v>
      </c>
      <c r="Q747">
        <f t="shared" si="118"/>
        <v>1946.9375392085665</v>
      </c>
      <c r="R747">
        <f t="shared" si="119"/>
        <v>585.24586079143342</v>
      </c>
      <c r="S747">
        <f t="shared" si="120"/>
        <v>2532.1833999999999</v>
      </c>
    </row>
    <row r="748" spans="1:19" x14ac:dyDescent="0.3">
      <c r="A748" t="s">
        <v>13</v>
      </c>
      <c r="B748" t="s">
        <v>24</v>
      </c>
      <c r="C748" t="s">
        <v>15</v>
      </c>
      <c r="D748">
        <v>1</v>
      </c>
      <c r="E748">
        <v>30</v>
      </c>
      <c r="F748">
        <v>5</v>
      </c>
      <c r="G748">
        <v>20260331</v>
      </c>
      <c r="H748">
        <v>20260505</v>
      </c>
      <c r="I748">
        <v>14.056800000000001</v>
      </c>
      <c r="J748">
        <f t="shared" si="111"/>
        <v>36</v>
      </c>
      <c r="K748">
        <f t="shared" si="112"/>
        <v>0.39046666666666668</v>
      </c>
      <c r="L748">
        <f t="shared" si="113"/>
        <v>0.62915837066216063</v>
      </c>
      <c r="M748">
        <f t="shared" si="114"/>
        <v>11.714</v>
      </c>
      <c r="N748">
        <f t="shared" si="115"/>
        <v>1.4671695665734374</v>
      </c>
      <c r="O748">
        <f t="shared" si="116"/>
        <v>13.810327937235598</v>
      </c>
      <c r="P748">
        <f t="shared" si="117"/>
        <v>0.64038692092739302</v>
      </c>
      <c r="Q748">
        <f t="shared" si="118"/>
        <v>11.923059028601179</v>
      </c>
      <c r="R748">
        <f t="shared" si="119"/>
        <v>1.4933540504714276</v>
      </c>
      <c r="S748">
        <f t="shared" si="120"/>
        <v>14.056799999999999</v>
      </c>
    </row>
    <row r="749" spans="1:19" x14ac:dyDescent="0.3">
      <c r="A749" t="s">
        <v>13</v>
      </c>
      <c r="B749" t="s">
        <v>24</v>
      </c>
      <c r="C749" t="s">
        <v>15</v>
      </c>
      <c r="D749">
        <v>13</v>
      </c>
      <c r="E749">
        <v>7</v>
      </c>
      <c r="F749">
        <v>0</v>
      </c>
      <c r="G749">
        <v>20260319</v>
      </c>
      <c r="H749">
        <v>20260407</v>
      </c>
      <c r="I749">
        <v>410.82459999999998</v>
      </c>
      <c r="J749">
        <f t="shared" si="111"/>
        <v>20</v>
      </c>
      <c r="K749">
        <f t="shared" si="112"/>
        <v>20.541229999999999</v>
      </c>
      <c r="L749">
        <f t="shared" si="113"/>
        <v>430.27470132292211</v>
      </c>
      <c r="M749">
        <f t="shared" si="114"/>
        <v>143.78861000000001</v>
      </c>
      <c r="N749">
        <f t="shared" si="115"/>
        <v>0</v>
      </c>
      <c r="O749">
        <f t="shared" si="116"/>
        <v>574.06331132292212</v>
      </c>
      <c r="P749">
        <f t="shared" si="117"/>
        <v>307.92323525039507</v>
      </c>
      <c r="Q749">
        <f t="shared" si="118"/>
        <v>102.90136474960491</v>
      </c>
      <c r="R749">
        <f t="shared" si="119"/>
        <v>0</v>
      </c>
      <c r="S749">
        <f t="shared" si="120"/>
        <v>410.82459999999998</v>
      </c>
    </row>
    <row r="750" spans="1:19" x14ac:dyDescent="0.3">
      <c r="A750" t="s">
        <v>13</v>
      </c>
      <c r="B750" t="s">
        <v>33</v>
      </c>
      <c r="C750" t="s">
        <v>15</v>
      </c>
      <c r="D750">
        <v>12</v>
      </c>
      <c r="E750">
        <v>1</v>
      </c>
      <c r="F750">
        <v>0</v>
      </c>
      <c r="G750">
        <v>20260320</v>
      </c>
      <c r="H750">
        <v>20260401</v>
      </c>
      <c r="I750">
        <v>175.34200000000001</v>
      </c>
      <c r="J750">
        <f t="shared" si="111"/>
        <v>13</v>
      </c>
      <c r="K750">
        <f t="shared" si="112"/>
        <v>13.487846153846155</v>
      </c>
      <c r="L750">
        <f t="shared" si="113"/>
        <v>260.79536209343217</v>
      </c>
      <c r="M750">
        <f t="shared" si="114"/>
        <v>13.487846153846155</v>
      </c>
      <c r="N750">
        <f t="shared" si="115"/>
        <v>0</v>
      </c>
      <c r="O750">
        <f t="shared" si="116"/>
        <v>274.28320824727831</v>
      </c>
      <c r="P750">
        <f t="shared" si="117"/>
        <v>166.71957671925892</v>
      </c>
      <c r="Q750">
        <f t="shared" si="118"/>
        <v>8.6224232807411028</v>
      </c>
      <c r="R750">
        <f t="shared" si="119"/>
        <v>0</v>
      </c>
      <c r="S750">
        <f t="shared" si="120"/>
        <v>175.34200000000004</v>
      </c>
    </row>
    <row r="751" spans="1:19" x14ac:dyDescent="0.3">
      <c r="A751" t="s">
        <v>13</v>
      </c>
      <c r="B751" t="s">
        <v>33</v>
      </c>
      <c r="C751" t="s">
        <v>15</v>
      </c>
      <c r="D751">
        <v>12</v>
      </c>
      <c r="E751">
        <v>2</v>
      </c>
      <c r="F751">
        <v>0</v>
      </c>
      <c r="G751">
        <v>20260320</v>
      </c>
      <c r="H751">
        <v>20260402</v>
      </c>
      <c r="I751">
        <v>850.09019999999998</v>
      </c>
      <c r="J751">
        <f t="shared" si="111"/>
        <v>14</v>
      </c>
      <c r="K751">
        <f t="shared" si="112"/>
        <v>60.720728571428573</v>
      </c>
      <c r="L751">
        <f t="shared" si="113"/>
        <v>1174.0706569259817</v>
      </c>
      <c r="M751">
        <f t="shared" si="114"/>
        <v>121.44145714285715</v>
      </c>
      <c r="N751">
        <f t="shared" si="115"/>
        <v>0</v>
      </c>
      <c r="O751">
        <f t="shared" si="116"/>
        <v>1295.5121140688389</v>
      </c>
      <c r="P751">
        <f t="shared" si="117"/>
        <v>770.40264519464415</v>
      </c>
      <c r="Q751">
        <f t="shared" si="118"/>
        <v>79.687554805355731</v>
      </c>
      <c r="R751">
        <f t="shared" si="119"/>
        <v>0</v>
      </c>
      <c r="S751">
        <f t="shared" si="120"/>
        <v>850.09019999999987</v>
      </c>
    </row>
    <row r="752" spans="1:19" x14ac:dyDescent="0.3">
      <c r="A752" t="s">
        <v>13</v>
      </c>
      <c r="B752" t="s">
        <v>24</v>
      </c>
      <c r="C752" t="s">
        <v>15</v>
      </c>
      <c r="D752">
        <v>1</v>
      </c>
      <c r="E752">
        <v>15</v>
      </c>
      <c r="F752">
        <v>0</v>
      </c>
      <c r="G752">
        <v>20260331</v>
      </c>
      <c r="H752">
        <v>20260415</v>
      </c>
      <c r="I752">
        <v>52.653799999999997</v>
      </c>
      <c r="J752">
        <f t="shared" si="111"/>
        <v>16</v>
      </c>
      <c r="K752">
        <f t="shared" si="112"/>
        <v>3.2908624999999998</v>
      </c>
      <c r="L752">
        <f t="shared" si="113"/>
        <v>5.3025619478569341</v>
      </c>
      <c r="M752">
        <f t="shared" si="114"/>
        <v>49.362937499999994</v>
      </c>
      <c r="N752">
        <f t="shared" si="115"/>
        <v>0</v>
      </c>
      <c r="O752">
        <f t="shared" si="116"/>
        <v>54.665499447856931</v>
      </c>
      <c r="P752">
        <f t="shared" si="117"/>
        <v>5.1074267885613356</v>
      </c>
      <c r="Q752">
        <f t="shared" si="118"/>
        <v>47.546373211438656</v>
      </c>
      <c r="R752">
        <f t="shared" si="119"/>
        <v>0</v>
      </c>
      <c r="S752">
        <f t="shared" si="120"/>
        <v>52.65379999999999</v>
      </c>
    </row>
    <row r="753" spans="1:19" x14ac:dyDescent="0.3">
      <c r="A753" t="s">
        <v>13</v>
      </c>
      <c r="B753" t="s">
        <v>33</v>
      </c>
      <c r="C753" t="s">
        <v>15</v>
      </c>
      <c r="D753">
        <v>0</v>
      </c>
      <c r="E753">
        <v>15</v>
      </c>
      <c r="F753">
        <v>4</v>
      </c>
      <c r="G753">
        <v>20260416</v>
      </c>
      <c r="H753">
        <v>20260504</v>
      </c>
      <c r="I753">
        <v>6291.2003999999997</v>
      </c>
      <c r="J753">
        <f t="shared" si="111"/>
        <v>19</v>
      </c>
      <c r="K753">
        <f t="shared" si="112"/>
        <v>331.11581052631578</v>
      </c>
      <c r="L753">
        <f t="shared" si="113"/>
        <v>0</v>
      </c>
      <c r="M753">
        <f t="shared" si="114"/>
        <v>4966.7371578947368</v>
      </c>
      <c r="N753">
        <f t="shared" si="115"/>
        <v>995.32806600411232</v>
      </c>
      <c r="O753">
        <f t="shared" si="116"/>
        <v>5962.0652238988496</v>
      </c>
      <c r="P753">
        <f t="shared" si="117"/>
        <v>0</v>
      </c>
      <c r="Q753">
        <f t="shared" si="118"/>
        <v>5240.9253540518375</v>
      </c>
      <c r="R753">
        <f t="shared" si="119"/>
        <v>1050.2750459481611</v>
      </c>
      <c r="S753">
        <f t="shared" si="120"/>
        <v>6291.2003999999988</v>
      </c>
    </row>
    <row r="754" spans="1:19" x14ac:dyDescent="0.3">
      <c r="A754" t="s">
        <v>13</v>
      </c>
      <c r="B754" t="s">
        <v>24</v>
      </c>
      <c r="C754" t="s">
        <v>15</v>
      </c>
      <c r="D754">
        <v>15</v>
      </c>
      <c r="E754">
        <v>2</v>
      </c>
      <c r="F754">
        <v>0</v>
      </c>
      <c r="G754">
        <v>20260317</v>
      </c>
      <c r="H754">
        <v>20260402</v>
      </c>
      <c r="I754">
        <v>67946.194099999993</v>
      </c>
      <c r="J754">
        <f t="shared" si="111"/>
        <v>17</v>
      </c>
      <c r="K754">
        <f t="shared" si="112"/>
        <v>3996.8349470588232</v>
      </c>
      <c r="L754">
        <f t="shared" si="113"/>
        <v>96601.414836409458</v>
      </c>
      <c r="M754">
        <f t="shared" si="114"/>
        <v>7993.6698941176464</v>
      </c>
      <c r="N754">
        <f t="shared" si="115"/>
        <v>0</v>
      </c>
      <c r="O754">
        <f t="shared" si="116"/>
        <v>104595.0847305271</v>
      </c>
      <c r="P754">
        <f t="shared" si="117"/>
        <v>62753.412358904243</v>
      </c>
      <c r="Q754">
        <f t="shared" si="118"/>
        <v>5192.7817410957496</v>
      </c>
      <c r="R754">
        <f t="shared" si="119"/>
        <v>0</v>
      </c>
      <c r="S754">
        <f t="shared" si="120"/>
        <v>67946.194099999993</v>
      </c>
    </row>
    <row r="755" spans="1:19" x14ac:dyDescent="0.3">
      <c r="A755" t="s">
        <v>13</v>
      </c>
      <c r="B755" t="s">
        <v>33</v>
      </c>
      <c r="C755" t="s">
        <v>15</v>
      </c>
      <c r="D755">
        <v>7</v>
      </c>
      <c r="E755">
        <v>2</v>
      </c>
      <c r="F755">
        <v>0</v>
      </c>
      <c r="G755">
        <v>20260325</v>
      </c>
      <c r="H755">
        <v>20260402</v>
      </c>
      <c r="I755">
        <v>225.39920000000001</v>
      </c>
      <c r="J755">
        <f t="shared" si="111"/>
        <v>9</v>
      </c>
      <c r="K755">
        <f t="shared" si="112"/>
        <v>25.044355555555555</v>
      </c>
      <c r="L755">
        <f t="shared" si="113"/>
        <v>282.4775351271644</v>
      </c>
      <c r="M755">
        <f t="shared" si="114"/>
        <v>50.08871111111111</v>
      </c>
      <c r="N755">
        <f t="shared" si="115"/>
        <v>0</v>
      </c>
      <c r="O755">
        <f t="shared" si="116"/>
        <v>332.56624623827554</v>
      </c>
      <c r="P755">
        <f t="shared" si="117"/>
        <v>191.45121056577887</v>
      </c>
      <c r="Q755">
        <f t="shared" si="118"/>
        <v>33.947989434221121</v>
      </c>
      <c r="R755">
        <f t="shared" si="119"/>
        <v>0</v>
      </c>
      <c r="S755">
        <f t="shared" si="120"/>
        <v>225.39919999999998</v>
      </c>
    </row>
    <row r="756" spans="1:19" x14ac:dyDescent="0.3">
      <c r="A756" t="s">
        <v>13</v>
      </c>
      <c r="B756" t="s">
        <v>24</v>
      </c>
      <c r="C756" t="s">
        <v>15</v>
      </c>
      <c r="D756">
        <v>6</v>
      </c>
      <c r="E756">
        <v>30</v>
      </c>
      <c r="F756">
        <v>1</v>
      </c>
      <c r="G756">
        <v>20260326</v>
      </c>
      <c r="H756">
        <v>20260501</v>
      </c>
      <c r="I756">
        <v>362.59070000000003</v>
      </c>
      <c r="J756">
        <f t="shared" si="111"/>
        <v>37</v>
      </c>
      <c r="K756">
        <f t="shared" si="112"/>
        <v>9.7997486486486487</v>
      </c>
      <c r="L756">
        <f t="shared" si="113"/>
        <v>94.741924251566402</v>
      </c>
      <c r="M756">
        <f t="shared" si="114"/>
        <v>293.99245945945944</v>
      </c>
      <c r="N756">
        <f t="shared" si="115"/>
        <v>7.3644662680722899</v>
      </c>
      <c r="O756">
        <f t="shared" si="116"/>
        <v>396.09884997909813</v>
      </c>
      <c r="P756">
        <f t="shared" si="117"/>
        <v>86.727191042173445</v>
      </c>
      <c r="Q756">
        <f t="shared" si="118"/>
        <v>269.12204283287411</v>
      </c>
      <c r="R756">
        <f t="shared" si="119"/>
        <v>6.7414661249524679</v>
      </c>
      <c r="S756">
        <f t="shared" si="120"/>
        <v>362.59070000000003</v>
      </c>
    </row>
    <row r="757" spans="1:19" x14ac:dyDescent="0.3">
      <c r="A757" t="s">
        <v>13</v>
      </c>
      <c r="B757" t="s">
        <v>24</v>
      </c>
      <c r="C757" t="s">
        <v>15</v>
      </c>
      <c r="D757">
        <v>6</v>
      </c>
      <c r="E757">
        <v>30</v>
      </c>
      <c r="F757">
        <v>2</v>
      </c>
      <c r="G757">
        <v>20260326</v>
      </c>
      <c r="H757">
        <v>20260502</v>
      </c>
      <c r="I757">
        <v>386.35539999999997</v>
      </c>
      <c r="J757">
        <f t="shared" si="111"/>
        <v>38</v>
      </c>
      <c r="K757">
        <f t="shared" si="112"/>
        <v>10.167247368421052</v>
      </c>
      <c r="L757">
        <f t="shared" si="113"/>
        <v>98.294825159491808</v>
      </c>
      <c r="M757">
        <f t="shared" si="114"/>
        <v>305.01742105263156</v>
      </c>
      <c r="N757">
        <f t="shared" si="115"/>
        <v>15.28127974878392</v>
      </c>
      <c r="O757">
        <f t="shared" si="116"/>
        <v>418.59352596090724</v>
      </c>
      <c r="P757">
        <f t="shared" si="117"/>
        <v>90.724615019421478</v>
      </c>
      <c r="Q757">
        <f t="shared" si="118"/>
        <v>281.52639830546144</v>
      </c>
      <c r="R757">
        <f t="shared" si="119"/>
        <v>14.104386675117116</v>
      </c>
      <c r="S757">
        <f t="shared" si="120"/>
        <v>386.35540000000003</v>
      </c>
    </row>
    <row r="758" spans="1:19" x14ac:dyDescent="0.3">
      <c r="A758" t="s">
        <v>13</v>
      </c>
      <c r="B758" t="s">
        <v>33</v>
      </c>
      <c r="C758" t="s">
        <v>15</v>
      </c>
      <c r="D758">
        <v>2</v>
      </c>
      <c r="E758">
        <v>30</v>
      </c>
      <c r="F758">
        <v>1</v>
      </c>
      <c r="G758">
        <v>20260330</v>
      </c>
      <c r="H758">
        <v>20260501</v>
      </c>
      <c r="I758">
        <v>69726.7068</v>
      </c>
      <c r="J758">
        <f t="shared" si="111"/>
        <v>33</v>
      </c>
      <c r="K758">
        <f t="shared" si="112"/>
        <v>2112.9305090909093</v>
      </c>
      <c r="L758">
        <f t="shared" si="113"/>
        <v>6809.1236968858075</v>
      </c>
      <c r="M758">
        <f t="shared" si="114"/>
        <v>63387.915272727274</v>
      </c>
      <c r="N758">
        <f t="shared" si="115"/>
        <v>1587.8576092996595</v>
      </c>
      <c r="O758">
        <f t="shared" si="116"/>
        <v>71784.896578912754</v>
      </c>
      <c r="P758">
        <f t="shared" si="117"/>
        <v>6613.8950420548163</v>
      </c>
      <c r="Q758">
        <f t="shared" si="118"/>
        <v>61570.480609747763</v>
      </c>
      <c r="R758">
        <f t="shared" si="119"/>
        <v>1542.3311481974029</v>
      </c>
      <c r="S758">
        <f t="shared" si="120"/>
        <v>69726.706799999985</v>
      </c>
    </row>
    <row r="759" spans="1:19" x14ac:dyDescent="0.3">
      <c r="A759" t="s">
        <v>13</v>
      </c>
      <c r="B759" t="s">
        <v>24</v>
      </c>
      <c r="C759" t="s">
        <v>15</v>
      </c>
      <c r="D759">
        <v>5</v>
      </c>
      <c r="E759">
        <v>30</v>
      </c>
      <c r="F759">
        <v>6</v>
      </c>
      <c r="G759">
        <v>20260327</v>
      </c>
      <c r="H759">
        <v>20260506</v>
      </c>
      <c r="I759">
        <v>92.597499999999997</v>
      </c>
      <c r="J759">
        <f t="shared" si="111"/>
        <v>41</v>
      </c>
      <c r="K759">
        <f t="shared" si="112"/>
        <v>2.2584756097560974</v>
      </c>
      <c r="L759">
        <f t="shared" si="113"/>
        <v>18.195392284630046</v>
      </c>
      <c r="M759">
        <f t="shared" si="114"/>
        <v>67.754268292682923</v>
      </c>
      <c r="N759">
        <f t="shared" si="115"/>
        <v>10.183404518812635</v>
      </c>
      <c r="O759">
        <f t="shared" si="116"/>
        <v>96.133065096125605</v>
      </c>
      <c r="P759">
        <f t="shared" si="117"/>
        <v>17.526205321668602</v>
      </c>
      <c r="Q759">
        <f t="shared" si="118"/>
        <v>65.262413634250791</v>
      </c>
      <c r="R759">
        <f t="shared" si="119"/>
        <v>9.8088810440806018</v>
      </c>
      <c r="S759">
        <f t="shared" si="120"/>
        <v>92.597499999999997</v>
      </c>
    </row>
    <row r="760" spans="1:19" x14ac:dyDescent="0.3">
      <c r="A760" t="s">
        <v>13</v>
      </c>
      <c r="B760" t="s">
        <v>33</v>
      </c>
      <c r="C760" t="s">
        <v>14</v>
      </c>
      <c r="D760">
        <v>2</v>
      </c>
      <c r="E760">
        <v>30</v>
      </c>
      <c r="F760">
        <v>3</v>
      </c>
      <c r="G760">
        <v>20260330</v>
      </c>
      <c r="H760">
        <v>20260503</v>
      </c>
      <c r="I760">
        <v>159.05770000000001</v>
      </c>
      <c r="J760">
        <f t="shared" si="111"/>
        <v>35</v>
      </c>
      <c r="K760">
        <f t="shared" si="112"/>
        <v>4.544505714285715</v>
      </c>
      <c r="L760">
        <f t="shared" si="113"/>
        <v>14.645110862206993</v>
      </c>
      <c r="M760">
        <f t="shared" si="114"/>
        <v>136.33517142857144</v>
      </c>
      <c r="N760">
        <f t="shared" si="115"/>
        <v>10.245525749030516</v>
      </c>
      <c r="O760">
        <f t="shared" si="116"/>
        <v>161.22580803980895</v>
      </c>
      <c r="P760">
        <f t="shared" si="117"/>
        <v>14.44816855507708</v>
      </c>
      <c r="Q760">
        <f t="shared" si="118"/>
        <v>134.50178392766941</v>
      </c>
      <c r="R760">
        <f t="shared" si="119"/>
        <v>10.10774751725352</v>
      </c>
      <c r="S760">
        <f t="shared" si="120"/>
        <v>159.05770000000001</v>
      </c>
    </row>
    <row r="761" spans="1:19" x14ac:dyDescent="0.3">
      <c r="A761" t="s">
        <v>13</v>
      </c>
      <c r="B761" t="s">
        <v>24</v>
      </c>
      <c r="C761" t="s">
        <v>15</v>
      </c>
      <c r="D761">
        <v>2</v>
      </c>
      <c r="E761">
        <v>30</v>
      </c>
      <c r="F761">
        <v>4</v>
      </c>
      <c r="G761">
        <v>20260330</v>
      </c>
      <c r="H761">
        <v>20260504</v>
      </c>
      <c r="I761">
        <v>489.69159999999999</v>
      </c>
      <c r="J761">
        <f t="shared" si="111"/>
        <v>36</v>
      </c>
      <c r="K761">
        <f t="shared" si="112"/>
        <v>13.602544444444444</v>
      </c>
      <c r="L761">
        <f t="shared" si="113"/>
        <v>43.835520059038537</v>
      </c>
      <c r="M761">
        <f t="shared" si="114"/>
        <v>408.07633333333331</v>
      </c>
      <c r="N761">
        <f t="shared" si="115"/>
        <v>40.888999631589158</v>
      </c>
      <c r="O761">
        <f t="shared" si="116"/>
        <v>492.800853023961</v>
      </c>
      <c r="P761">
        <f t="shared" si="117"/>
        <v>43.558946423940057</v>
      </c>
      <c r="Q761">
        <f t="shared" si="118"/>
        <v>405.50163695113798</v>
      </c>
      <c r="R761">
        <f t="shared" si="119"/>
        <v>40.631016624922005</v>
      </c>
      <c r="S761">
        <f t="shared" si="120"/>
        <v>489.69160000000005</v>
      </c>
    </row>
    <row r="762" spans="1:19" x14ac:dyDescent="0.3">
      <c r="A762" t="s">
        <v>13</v>
      </c>
      <c r="B762" t="s">
        <v>33</v>
      </c>
      <c r="C762" t="s">
        <v>15</v>
      </c>
      <c r="D762">
        <v>14</v>
      </c>
      <c r="E762">
        <v>2</v>
      </c>
      <c r="F762">
        <v>0</v>
      </c>
      <c r="G762">
        <v>20260318</v>
      </c>
      <c r="H762">
        <v>20260402</v>
      </c>
      <c r="I762">
        <v>168.65809999999999</v>
      </c>
      <c r="J762">
        <f t="shared" si="111"/>
        <v>16</v>
      </c>
      <c r="K762">
        <f t="shared" si="112"/>
        <v>10.541131249999999</v>
      </c>
      <c r="L762">
        <f t="shared" si="113"/>
        <v>237.78873178402876</v>
      </c>
      <c r="M762">
        <f t="shared" si="114"/>
        <v>21.082262499999999</v>
      </c>
      <c r="N762">
        <f t="shared" si="115"/>
        <v>0</v>
      </c>
      <c r="O762">
        <f t="shared" si="116"/>
        <v>258.87099428402877</v>
      </c>
      <c r="P762">
        <f t="shared" si="117"/>
        <v>154.92270895402592</v>
      </c>
      <c r="Q762">
        <f t="shared" si="118"/>
        <v>13.735391045974056</v>
      </c>
      <c r="R762">
        <f t="shared" si="119"/>
        <v>0</v>
      </c>
      <c r="S762">
        <f t="shared" si="120"/>
        <v>168.65809999999999</v>
      </c>
    </row>
    <row r="763" spans="1:19" x14ac:dyDescent="0.3">
      <c r="A763" t="s">
        <v>13</v>
      </c>
      <c r="B763" t="s">
        <v>24</v>
      </c>
      <c r="C763" t="s">
        <v>15</v>
      </c>
      <c r="D763">
        <v>11</v>
      </c>
      <c r="E763">
        <v>4</v>
      </c>
      <c r="F763">
        <v>0</v>
      </c>
      <c r="G763">
        <v>20260321</v>
      </c>
      <c r="H763">
        <v>20260404</v>
      </c>
      <c r="I763">
        <v>2135.0246999999999</v>
      </c>
      <c r="J763">
        <f t="shared" si="111"/>
        <v>15</v>
      </c>
      <c r="K763">
        <f t="shared" si="112"/>
        <v>142.33498</v>
      </c>
      <c r="L763">
        <f t="shared" si="113"/>
        <v>2522.7856030954667</v>
      </c>
      <c r="M763">
        <f t="shared" si="114"/>
        <v>569.33992000000001</v>
      </c>
      <c r="N763">
        <f t="shared" si="115"/>
        <v>0</v>
      </c>
      <c r="O763">
        <f t="shared" si="116"/>
        <v>3092.1255230954666</v>
      </c>
      <c r="P763">
        <f t="shared" si="117"/>
        <v>1741.9116834627039</v>
      </c>
      <c r="Q763">
        <f t="shared" si="118"/>
        <v>393.11301653729629</v>
      </c>
      <c r="R763">
        <f t="shared" si="119"/>
        <v>0</v>
      </c>
      <c r="S763">
        <f t="shared" si="120"/>
        <v>2135.0246999999999</v>
      </c>
    </row>
    <row r="764" spans="1:19" x14ac:dyDescent="0.3">
      <c r="A764" t="s">
        <v>13</v>
      </c>
      <c r="B764" t="s">
        <v>33</v>
      </c>
      <c r="C764" t="s">
        <v>15</v>
      </c>
      <c r="D764">
        <v>0</v>
      </c>
      <c r="E764">
        <v>10</v>
      </c>
      <c r="F764">
        <v>5</v>
      </c>
      <c r="G764">
        <v>20260421</v>
      </c>
      <c r="H764">
        <v>20260505</v>
      </c>
      <c r="I764">
        <v>2827.34</v>
      </c>
      <c r="J764">
        <f t="shared" si="111"/>
        <v>15</v>
      </c>
      <c r="K764">
        <f t="shared" si="112"/>
        <v>188.48933333333335</v>
      </c>
      <c r="L764">
        <f t="shared" si="113"/>
        <v>0</v>
      </c>
      <c r="M764">
        <f t="shared" si="114"/>
        <v>1884.8933333333334</v>
      </c>
      <c r="N764">
        <f t="shared" si="115"/>
        <v>708.24435758165316</v>
      </c>
      <c r="O764">
        <f t="shared" si="116"/>
        <v>2593.1376909149867</v>
      </c>
      <c r="P764">
        <f t="shared" si="117"/>
        <v>0</v>
      </c>
      <c r="Q764">
        <f t="shared" si="118"/>
        <v>2055.1297124474136</v>
      </c>
      <c r="R764">
        <f t="shared" si="119"/>
        <v>772.21028755258624</v>
      </c>
      <c r="S764">
        <f t="shared" si="120"/>
        <v>2827.3399999999997</v>
      </c>
    </row>
    <row r="765" spans="1:19" x14ac:dyDescent="0.3">
      <c r="A765" t="s">
        <v>13</v>
      </c>
      <c r="B765" t="s">
        <v>24</v>
      </c>
      <c r="C765" t="s">
        <v>15</v>
      </c>
      <c r="D765">
        <v>20</v>
      </c>
      <c r="E765">
        <v>7</v>
      </c>
      <c r="F765">
        <v>0</v>
      </c>
      <c r="G765">
        <v>20260312</v>
      </c>
      <c r="H765">
        <v>20260407</v>
      </c>
      <c r="I765">
        <v>10009.807199999999</v>
      </c>
      <c r="J765">
        <f t="shared" si="111"/>
        <v>27</v>
      </c>
      <c r="K765">
        <f t="shared" si="112"/>
        <v>370.73359999999997</v>
      </c>
      <c r="L765">
        <f t="shared" si="113"/>
        <v>11947.250182297275</v>
      </c>
      <c r="M765">
        <f t="shared" si="114"/>
        <v>2595.1351999999997</v>
      </c>
      <c r="N765">
        <f t="shared" si="115"/>
        <v>0</v>
      </c>
      <c r="O765">
        <f t="shared" si="116"/>
        <v>14542.385382297274</v>
      </c>
      <c r="P765">
        <f t="shared" si="117"/>
        <v>8223.5250786669003</v>
      </c>
      <c r="Q765">
        <f t="shared" si="118"/>
        <v>1786.2821213330997</v>
      </c>
      <c r="R765">
        <f t="shared" si="119"/>
        <v>0</v>
      </c>
      <c r="S765">
        <f t="shared" si="120"/>
        <v>10009.807199999999</v>
      </c>
    </row>
    <row r="766" spans="1:19" x14ac:dyDescent="0.3">
      <c r="A766" t="s">
        <v>13</v>
      </c>
      <c r="B766" t="s">
        <v>33</v>
      </c>
      <c r="C766" t="s">
        <v>15</v>
      </c>
      <c r="D766">
        <v>0</v>
      </c>
      <c r="E766">
        <v>15</v>
      </c>
      <c r="F766">
        <v>2</v>
      </c>
      <c r="G766">
        <v>20260416</v>
      </c>
      <c r="H766">
        <v>20260502</v>
      </c>
      <c r="I766">
        <v>1013.4189</v>
      </c>
      <c r="J766">
        <f t="shared" si="111"/>
        <v>17</v>
      </c>
      <c r="K766">
        <f t="shared" si="112"/>
        <v>59.612876470588233</v>
      </c>
      <c r="L766">
        <f t="shared" si="113"/>
        <v>0</v>
      </c>
      <c r="M766">
        <f t="shared" si="114"/>
        <v>894.19314705882346</v>
      </c>
      <c r="N766">
        <f t="shared" si="115"/>
        <v>89.597607785776475</v>
      </c>
      <c r="O766">
        <f t="shared" si="116"/>
        <v>983.79075484459997</v>
      </c>
      <c r="P766">
        <f t="shared" si="117"/>
        <v>0</v>
      </c>
      <c r="Q766">
        <f t="shared" si="118"/>
        <v>921.12294308258026</v>
      </c>
      <c r="R766">
        <f t="shared" si="119"/>
        <v>92.29595691741973</v>
      </c>
      <c r="S766">
        <f t="shared" si="120"/>
        <v>1013.4189</v>
      </c>
    </row>
    <row r="767" spans="1:19" x14ac:dyDescent="0.3">
      <c r="A767" t="s">
        <v>13</v>
      </c>
      <c r="B767" t="s">
        <v>24</v>
      </c>
      <c r="C767" t="s">
        <v>15</v>
      </c>
      <c r="D767">
        <v>20</v>
      </c>
      <c r="E767">
        <v>1</v>
      </c>
      <c r="F767">
        <v>0</v>
      </c>
      <c r="G767">
        <v>20260312</v>
      </c>
      <c r="H767">
        <v>20260401</v>
      </c>
      <c r="I767">
        <v>4733.1579000000002</v>
      </c>
      <c r="J767">
        <f t="shared" si="111"/>
        <v>21</v>
      </c>
      <c r="K767">
        <f t="shared" si="112"/>
        <v>225.38847142857145</v>
      </c>
      <c r="L767">
        <f t="shared" si="113"/>
        <v>7263.3623074970938</v>
      </c>
      <c r="M767">
        <f t="shared" si="114"/>
        <v>225.38847142857145</v>
      </c>
      <c r="N767">
        <f t="shared" si="115"/>
        <v>0</v>
      </c>
      <c r="O767">
        <f t="shared" si="116"/>
        <v>7488.7507789256651</v>
      </c>
      <c r="P767">
        <f t="shared" si="117"/>
        <v>4590.7043379034776</v>
      </c>
      <c r="Q767">
        <f t="shared" si="118"/>
        <v>142.45356209652232</v>
      </c>
      <c r="R767">
        <f t="shared" si="119"/>
        <v>0</v>
      </c>
      <c r="S767">
        <f t="shared" si="120"/>
        <v>4733.1579000000002</v>
      </c>
    </row>
    <row r="768" spans="1:19" x14ac:dyDescent="0.3">
      <c r="A768" t="s">
        <v>13</v>
      </c>
      <c r="B768" t="s">
        <v>33</v>
      </c>
      <c r="C768" t="s">
        <v>15</v>
      </c>
      <c r="D768">
        <v>4</v>
      </c>
      <c r="E768">
        <v>30</v>
      </c>
      <c r="F768">
        <v>4</v>
      </c>
      <c r="G768">
        <v>20260328</v>
      </c>
      <c r="H768">
        <v>20260504</v>
      </c>
      <c r="I768">
        <v>8868.9691999999995</v>
      </c>
      <c r="J768">
        <f t="shared" si="111"/>
        <v>38</v>
      </c>
      <c r="K768">
        <f t="shared" si="112"/>
        <v>233.39392631578946</v>
      </c>
      <c r="L768">
        <f t="shared" si="113"/>
        <v>1504.269172647633</v>
      </c>
      <c r="M768">
        <f t="shared" si="114"/>
        <v>7001.8177894736837</v>
      </c>
      <c r="N768">
        <f t="shared" si="115"/>
        <v>701.57787067838751</v>
      </c>
      <c r="O768">
        <f t="shared" si="116"/>
        <v>9207.6648327997045</v>
      </c>
      <c r="P768">
        <f t="shared" si="117"/>
        <v>1448.935990067391</v>
      </c>
      <c r="Q768">
        <f t="shared" si="118"/>
        <v>6744.2622474315494</v>
      </c>
      <c r="R768">
        <f t="shared" si="119"/>
        <v>675.77096250105819</v>
      </c>
      <c r="S768">
        <f t="shared" si="120"/>
        <v>8868.9691999999977</v>
      </c>
    </row>
    <row r="769" spans="1:19" x14ac:dyDescent="0.3">
      <c r="A769" t="s">
        <v>13</v>
      </c>
      <c r="B769" t="s">
        <v>24</v>
      </c>
      <c r="C769" t="s">
        <v>15</v>
      </c>
      <c r="D769">
        <v>5</v>
      </c>
      <c r="E769">
        <v>30</v>
      </c>
      <c r="F769">
        <v>5</v>
      </c>
      <c r="G769">
        <v>20260327</v>
      </c>
      <c r="H769">
        <v>20260505</v>
      </c>
      <c r="I769">
        <v>17637.889599999999</v>
      </c>
      <c r="J769">
        <f t="shared" si="111"/>
        <v>40</v>
      </c>
      <c r="K769">
        <f t="shared" si="112"/>
        <v>440.94723999999997</v>
      </c>
      <c r="L769">
        <f t="shared" si="113"/>
        <v>3552.4882243432216</v>
      </c>
      <c r="M769">
        <f t="shared" si="114"/>
        <v>13228.4172</v>
      </c>
      <c r="N769">
        <f t="shared" si="115"/>
        <v>1656.8491659361962</v>
      </c>
      <c r="O769">
        <f t="shared" si="116"/>
        <v>18437.754590279419</v>
      </c>
      <c r="P769">
        <f t="shared" si="117"/>
        <v>3398.3745037641374</v>
      </c>
      <c r="Q769">
        <f t="shared" si="118"/>
        <v>12654.543209906407</v>
      </c>
      <c r="R769">
        <f t="shared" si="119"/>
        <v>1584.9718863294534</v>
      </c>
      <c r="S769">
        <f t="shared" si="120"/>
        <v>17637.889599999999</v>
      </c>
    </row>
    <row r="770" spans="1:19" x14ac:dyDescent="0.3">
      <c r="A770" t="s">
        <v>13</v>
      </c>
      <c r="B770" t="s">
        <v>33</v>
      </c>
      <c r="C770" t="s">
        <v>15</v>
      </c>
      <c r="D770">
        <v>0</v>
      </c>
      <c r="E770">
        <v>2</v>
      </c>
      <c r="F770">
        <v>0</v>
      </c>
      <c r="G770">
        <v>20260427</v>
      </c>
      <c r="H770">
        <v>20260428</v>
      </c>
      <c r="I770">
        <v>126.5262</v>
      </c>
      <c r="J770">
        <f t="shared" si="111"/>
        <v>2</v>
      </c>
      <c r="K770">
        <f t="shared" si="112"/>
        <v>63.263100000000001</v>
      </c>
      <c r="L770">
        <f t="shared" si="113"/>
        <v>0</v>
      </c>
      <c r="M770">
        <f t="shared" si="114"/>
        <v>126.5262</v>
      </c>
      <c r="N770">
        <f t="shared" si="115"/>
        <v>0</v>
      </c>
      <c r="O770">
        <f t="shared" si="116"/>
        <v>126.5262</v>
      </c>
      <c r="P770">
        <f t="shared" si="117"/>
        <v>0</v>
      </c>
      <c r="Q770">
        <f t="shared" si="118"/>
        <v>126.5262</v>
      </c>
      <c r="R770">
        <f t="shared" si="119"/>
        <v>0</v>
      </c>
      <c r="S770">
        <f t="shared" si="120"/>
        <v>126.5262</v>
      </c>
    </row>
    <row r="771" spans="1:19" x14ac:dyDescent="0.3">
      <c r="A771" t="s">
        <v>13</v>
      </c>
      <c r="B771" t="s">
        <v>33</v>
      </c>
      <c r="C771" t="s">
        <v>15</v>
      </c>
      <c r="D771">
        <v>0</v>
      </c>
      <c r="E771">
        <v>3</v>
      </c>
      <c r="F771">
        <v>13</v>
      </c>
      <c r="G771">
        <v>20260428</v>
      </c>
      <c r="H771">
        <v>20260513</v>
      </c>
      <c r="I771">
        <v>42.1892</v>
      </c>
      <c r="J771">
        <f t="shared" si="111"/>
        <v>16</v>
      </c>
      <c r="K771">
        <f t="shared" si="112"/>
        <v>2.636825</v>
      </c>
      <c r="L771">
        <f t="shared" si="113"/>
        <v>0</v>
      </c>
      <c r="M771">
        <f t="shared" si="114"/>
        <v>7.9104749999999999</v>
      </c>
      <c r="N771">
        <f t="shared" si="115"/>
        <v>25.760304985968954</v>
      </c>
      <c r="O771">
        <f t="shared" si="116"/>
        <v>33.670779985968956</v>
      </c>
      <c r="P771">
        <f t="shared" si="117"/>
        <v>0</v>
      </c>
      <c r="Q771">
        <f t="shared" si="118"/>
        <v>9.911757672648875</v>
      </c>
      <c r="R771">
        <f t="shared" si="119"/>
        <v>32.277442327351125</v>
      </c>
      <c r="S771">
        <f t="shared" si="120"/>
        <v>42.1892</v>
      </c>
    </row>
    <row r="772" spans="1:19" x14ac:dyDescent="0.3">
      <c r="A772" t="s">
        <v>13</v>
      </c>
      <c r="B772" t="s">
        <v>33</v>
      </c>
      <c r="C772" t="s">
        <v>15</v>
      </c>
      <c r="D772">
        <v>0</v>
      </c>
      <c r="E772">
        <v>14</v>
      </c>
      <c r="F772">
        <v>5</v>
      </c>
      <c r="G772">
        <v>20260417</v>
      </c>
      <c r="H772">
        <v>20260505</v>
      </c>
      <c r="I772">
        <v>633.32749999999999</v>
      </c>
      <c r="J772">
        <f t="shared" si="111"/>
        <v>19</v>
      </c>
      <c r="K772">
        <f t="shared" si="112"/>
        <v>33.333026315789475</v>
      </c>
      <c r="L772">
        <f t="shared" si="113"/>
        <v>0</v>
      </c>
      <c r="M772">
        <f t="shared" si="114"/>
        <v>466.66236842105263</v>
      </c>
      <c r="N772">
        <f t="shared" si="115"/>
        <v>125.24808376041787</v>
      </c>
      <c r="O772">
        <f t="shared" si="116"/>
        <v>591.91045218147053</v>
      </c>
      <c r="P772">
        <f t="shared" si="117"/>
        <v>0</v>
      </c>
      <c r="Q772">
        <f t="shared" si="118"/>
        <v>499.31558067093084</v>
      </c>
      <c r="R772">
        <f t="shared" si="119"/>
        <v>134.01191932906912</v>
      </c>
      <c r="S772">
        <f t="shared" si="120"/>
        <v>633.32749999999999</v>
      </c>
    </row>
    <row r="773" spans="1:19" x14ac:dyDescent="0.3">
      <c r="A773" t="s">
        <v>13</v>
      </c>
      <c r="B773" t="s">
        <v>33</v>
      </c>
      <c r="C773" t="s">
        <v>15</v>
      </c>
      <c r="D773">
        <v>0</v>
      </c>
      <c r="E773">
        <v>18</v>
      </c>
      <c r="F773">
        <v>5</v>
      </c>
      <c r="G773">
        <v>20260413</v>
      </c>
      <c r="H773">
        <v>20260505</v>
      </c>
      <c r="I773">
        <v>4602.0721000000003</v>
      </c>
      <c r="J773">
        <f t="shared" si="111"/>
        <v>23</v>
      </c>
      <c r="K773">
        <f t="shared" si="112"/>
        <v>200.09009130434785</v>
      </c>
      <c r="L773">
        <f t="shared" si="113"/>
        <v>0</v>
      </c>
      <c r="M773">
        <f t="shared" si="114"/>
        <v>3601.6216434782614</v>
      </c>
      <c r="N773">
        <f t="shared" si="115"/>
        <v>751.83394024579025</v>
      </c>
      <c r="O773">
        <f t="shared" si="116"/>
        <v>4353.4555837240514</v>
      </c>
      <c r="P773">
        <f t="shared" si="117"/>
        <v>0</v>
      </c>
      <c r="Q773">
        <f t="shared" si="118"/>
        <v>3807.302535065458</v>
      </c>
      <c r="R773">
        <f t="shared" si="119"/>
        <v>794.76956493454236</v>
      </c>
      <c r="S773">
        <f t="shared" si="120"/>
        <v>4602.0721000000003</v>
      </c>
    </row>
    <row r="774" spans="1:19" x14ac:dyDescent="0.3">
      <c r="A774" t="s">
        <v>13</v>
      </c>
      <c r="B774" t="s">
        <v>24</v>
      </c>
      <c r="C774" t="s">
        <v>15</v>
      </c>
      <c r="D774">
        <v>1</v>
      </c>
      <c r="E774">
        <v>30</v>
      </c>
      <c r="F774">
        <v>6</v>
      </c>
      <c r="G774">
        <v>20260331</v>
      </c>
      <c r="H774">
        <v>20260506</v>
      </c>
      <c r="I774">
        <v>275.8175</v>
      </c>
      <c r="J774">
        <f t="shared" si="111"/>
        <v>37</v>
      </c>
      <c r="K774">
        <f t="shared" si="112"/>
        <v>7.4545270270270265</v>
      </c>
      <c r="L774">
        <f t="shared" si="113"/>
        <v>12.011468529233474</v>
      </c>
      <c r="M774">
        <f t="shared" si="114"/>
        <v>223.6358108108108</v>
      </c>
      <c r="N774">
        <f t="shared" si="115"/>
        <v>33.612257703697786</v>
      </c>
      <c r="O774">
        <f t="shared" si="116"/>
        <v>269.25953704374206</v>
      </c>
      <c r="P774">
        <f t="shared" si="117"/>
        <v>12.304014399770919</v>
      </c>
      <c r="Q774">
        <f t="shared" si="118"/>
        <v>229.0825830183696</v>
      </c>
      <c r="R774">
        <f t="shared" si="119"/>
        <v>34.430902581859471</v>
      </c>
      <c r="S774">
        <f t="shared" si="120"/>
        <v>275.8175</v>
      </c>
    </row>
    <row r="775" spans="1:19" x14ac:dyDescent="0.3">
      <c r="A775" t="s">
        <v>13</v>
      </c>
      <c r="B775" t="s">
        <v>33</v>
      </c>
      <c r="C775" t="s">
        <v>15</v>
      </c>
      <c r="D775">
        <v>0</v>
      </c>
      <c r="E775">
        <v>16</v>
      </c>
      <c r="F775">
        <v>2</v>
      </c>
      <c r="G775">
        <v>20260415</v>
      </c>
      <c r="H775">
        <v>20260502</v>
      </c>
      <c r="I775">
        <v>42.2258</v>
      </c>
      <c r="J775">
        <f t="shared" si="111"/>
        <v>18</v>
      </c>
      <c r="K775">
        <f t="shared" si="112"/>
        <v>2.345877777777778</v>
      </c>
      <c r="L775">
        <f t="shared" si="113"/>
        <v>0</v>
      </c>
      <c r="M775">
        <f t="shared" si="114"/>
        <v>37.534044444444447</v>
      </c>
      <c r="N775">
        <f t="shared" si="115"/>
        <v>3.5258328316098493</v>
      </c>
      <c r="O775">
        <f t="shared" si="116"/>
        <v>41.059877276054294</v>
      </c>
      <c r="P775">
        <f t="shared" si="117"/>
        <v>0</v>
      </c>
      <c r="Q775">
        <f t="shared" si="118"/>
        <v>38.599848782951014</v>
      </c>
      <c r="R775">
        <f t="shared" si="119"/>
        <v>3.6259512170489883</v>
      </c>
      <c r="S775">
        <f t="shared" si="120"/>
        <v>42.2258</v>
      </c>
    </row>
    <row r="776" spans="1:19" x14ac:dyDescent="0.3">
      <c r="A776" t="s">
        <v>13</v>
      </c>
      <c r="B776" t="s">
        <v>33</v>
      </c>
      <c r="C776" t="s">
        <v>15</v>
      </c>
      <c r="D776">
        <v>26</v>
      </c>
      <c r="E776">
        <v>7</v>
      </c>
      <c r="F776">
        <v>0</v>
      </c>
      <c r="G776">
        <v>20260306</v>
      </c>
      <c r="H776">
        <v>20260407</v>
      </c>
      <c r="I776">
        <v>313800.5307</v>
      </c>
      <c r="J776">
        <f t="shared" si="111"/>
        <v>33</v>
      </c>
      <c r="K776">
        <f t="shared" si="112"/>
        <v>9509.1069909090911</v>
      </c>
      <c r="L776">
        <f t="shared" si="113"/>
        <v>398372.26596081344</v>
      </c>
      <c r="M776">
        <f t="shared" si="114"/>
        <v>66563.748936363641</v>
      </c>
      <c r="N776">
        <f t="shared" si="115"/>
        <v>0</v>
      </c>
      <c r="O776">
        <f t="shared" si="116"/>
        <v>464936.01489717711</v>
      </c>
      <c r="P776">
        <f t="shared" si="117"/>
        <v>268874.47835657827</v>
      </c>
      <c r="Q776">
        <f t="shared" si="118"/>
        <v>44926.052343421703</v>
      </c>
      <c r="R776">
        <f t="shared" si="119"/>
        <v>0</v>
      </c>
      <c r="S776">
        <f t="shared" si="120"/>
        <v>313800.5307</v>
      </c>
    </row>
    <row r="777" spans="1:19" x14ac:dyDescent="0.3">
      <c r="A777" t="s">
        <v>13</v>
      </c>
      <c r="B777" t="s">
        <v>33</v>
      </c>
      <c r="C777" t="s">
        <v>15</v>
      </c>
      <c r="D777">
        <v>28</v>
      </c>
      <c r="E777">
        <v>1</v>
      </c>
      <c r="F777">
        <v>0</v>
      </c>
      <c r="G777">
        <v>20260304</v>
      </c>
      <c r="H777">
        <v>20260401</v>
      </c>
      <c r="I777">
        <v>393800.68310000002</v>
      </c>
      <c r="J777">
        <f t="shared" si="111"/>
        <v>29</v>
      </c>
      <c r="K777">
        <f t="shared" si="112"/>
        <v>13579.333900000001</v>
      </c>
      <c r="L777">
        <f t="shared" si="113"/>
        <v>612650.10556677589</v>
      </c>
      <c r="M777">
        <f t="shared" si="114"/>
        <v>13579.333900000001</v>
      </c>
      <c r="N777">
        <f t="shared" si="115"/>
        <v>0</v>
      </c>
      <c r="O777">
        <f t="shared" si="116"/>
        <v>626229.43946677586</v>
      </c>
      <c r="P777">
        <f t="shared" si="117"/>
        <v>385261.39920683729</v>
      </c>
      <c r="Q777">
        <f t="shared" si="118"/>
        <v>8539.2838931627684</v>
      </c>
      <c r="R777">
        <f t="shared" si="119"/>
        <v>0</v>
      </c>
      <c r="S777">
        <f t="shared" si="120"/>
        <v>393800.68310000008</v>
      </c>
    </row>
    <row r="778" spans="1:19" x14ac:dyDescent="0.3">
      <c r="A778" t="s">
        <v>13</v>
      </c>
      <c r="B778" t="s">
        <v>33</v>
      </c>
      <c r="C778" t="s">
        <v>14</v>
      </c>
      <c r="D778">
        <v>0</v>
      </c>
      <c r="E778">
        <v>14</v>
      </c>
      <c r="F778">
        <v>18</v>
      </c>
      <c r="G778">
        <v>20260417</v>
      </c>
      <c r="H778">
        <v>20260518</v>
      </c>
      <c r="I778">
        <v>5705045.8952000001</v>
      </c>
      <c r="J778">
        <f t="shared" si="111"/>
        <v>32</v>
      </c>
      <c r="K778">
        <f t="shared" si="112"/>
        <v>178282.684225</v>
      </c>
      <c r="L778">
        <f t="shared" si="113"/>
        <v>0</v>
      </c>
      <c r="M778">
        <f t="shared" si="114"/>
        <v>2495957.5791500001</v>
      </c>
      <c r="N778">
        <f t="shared" si="115"/>
        <v>2411615.1854643812</v>
      </c>
      <c r="O778">
        <f t="shared" si="116"/>
        <v>4907572.7646143809</v>
      </c>
      <c r="P778">
        <f t="shared" si="117"/>
        <v>0</v>
      </c>
      <c r="Q778">
        <f t="shared" si="118"/>
        <v>2901546.8999657165</v>
      </c>
      <c r="R778">
        <f t="shared" si="119"/>
        <v>2803498.9952342845</v>
      </c>
      <c r="S778">
        <f t="shared" si="120"/>
        <v>5705045.8952000011</v>
      </c>
    </row>
    <row r="779" spans="1:19" x14ac:dyDescent="0.3">
      <c r="A779" t="s">
        <v>13</v>
      </c>
      <c r="B779" t="s">
        <v>24</v>
      </c>
      <c r="C779" t="s">
        <v>15</v>
      </c>
      <c r="D779">
        <v>29</v>
      </c>
      <c r="E779">
        <v>2</v>
      </c>
      <c r="F779">
        <v>0</v>
      </c>
      <c r="G779">
        <v>20260303</v>
      </c>
      <c r="H779">
        <v>20260402</v>
      </c>
      <c r="I779">
        <v>3997759.5296999998</v>
      </c>
      <c r="J779">
        <f t="shared" ref="J779:J842" si="121">IF(D779&lt;0,0,D779)+E779+F779</f>
        <v>31</v>
      </c>
      <c r="K779">
        <f t="shared" ref="K779:K842" si="122">I779/J779</f>
        <v>128959.98482903226</v>
      </c>
      <c r="L779">
        <f t="shared" ref="L779:L842" si="123">IF(D779&lt;0,0,D779)*$K779*$B$6</f>
        <v>6025998.0300509017</v>
      </c>
      <c r="M779">
        <f t="shared" ref="M779:M842" si="124">IF(E779&lt;0,0,E779)*$K779*$C$6</f>
        <v>257919.96965806451</v>
      </c>
      <c r="N779">
        <f t="shared" ref="N779:N842" si="125">IF(F779&lt;0,0,F779)*$K779*$D$6</f>
        <v>0</v>
      </c>
      <c r="O779">
        <f t="shared" ref="O779:O842" si="126">L779+M779+N779</f>
        <v>6283917.9997089664</v>
      </c>
      <c r="P779">
        <f t="shared" ref="P779:P842" si="127">L779/$O779*$I779</f>
        <v>3833673.6812455454</v>
      </c>
      <c r="Q779">
        <f t="shared" ref="Q779:Q842" si="128">M779/$O779*$I779</f>
        <v>164085.84845445416</v>
      </c>
      <c r="R779">
        <f t="shared" ref="R779:R842" si="129">N779/$O779*$I779</f>
        <v>0</v>
      </c>
      <c r="S779">
        <f t="shared" ref="S779:S842" si="130">P779+Q779+R779</f>
        <v>3997759.5296999994</v>
      </c>
    </row>
    <row r="780" spans="1:19" x14ac:dyDescent="0.3">
      <c r="A780" t="s">
        <v>13</v>
      </c>
      <c r="B780" t="s">
        <v>24</v>
      </c>
      <c r="C780" t="s">
        <v>15</v>
      </c>
      <c r="D780">
        <v>25</v>
      </c>
      <c r="E780">
        <v>3</v>
      </c>
      <c r="F780">
        <v>0</v>
      </c>
      <c r="G780">
        <v>20260307</v>
      </c>
      <c r="H780">
        <v>20260403</v>
      </c>
      <c r="I780">
        <v>922899.52179999999</v>
      </c>
      <c r="J780">
        <f t="shared" si="121"/>
        <v>28</v>
      </c>
      <c r="K780">
        <f t="shared" si="122"/>
        <v>32960.697207142854</v>
      </c>
      <c r="L780">
        <f t="shared" si="123"/>
        <v>1327738.083750309</v>
      </c>
      <c r="M780">
        <f t="shared" si="124"/>
        <v>98882.091621428553</v>
      </c>
      <c r="N780">
        <f t="shared" si="125"/>
        <v>0</v>
      </c>
      <c r="O780">
        <f t="shared" si="126"/>
        <v>1426620.1753717375</v>
      </c>
      <c r="P780">
        <f t="shared" si="127"/>
        <v>858931.38462696387</v>
      </c>
      <c r="Q780">
        <f t="shared" si="128"/>
        <v>63968.137173036157</v>
      </c>
      <c r="R780">
        <f t="shared" si="129"/>
        <v>0</v>
      </c>
      <c r="S780">
        <f t="shared" si="130"/>
        <v>922899.52179999999</v>
      </c>
    </row>
    <row r="781" spans="1:19" x14ac:dyDescent="0.3">
      <c r="A781" t="s">
        <v>13</v>
      </c>
      <c r="B781" t="s">
        <v>33</v>
      </c>
      <c r="C781" t="s">
        <v>15</v>
      </c>
      <c r="D781">
        <v>0</v>
      </c>
      <c r="E781">
        <v>27</v>
      </c>
      <c r="F781">
        <v>6</v>
      </c>
      <c r="G781">
        <v>20260404</v>
      </c>
      <c r="H781">
        <v>20260506</v>
      </c>
      <c r="I781">
        <v>3462343.0589000001</v>
      </c>
      <c r="J781">
        <f t="shared" si="121"/>
        <v>33</v>
      </c>
      <c r="K781">
        <f t="shared" si="122"/>
        <v>104919.48663333333</v>
      </c>
      <c r="L781">
        <f t="shared" si="123"/>
        <v>0</v>
      </c>
      <c r="M781">
        <f t="shared" si="124"/>
        <v>2832826.1390999998</v>
      </c>
      <c r="N781">
        <f t="shared" si="125"/>
        <v>473079.08470562304</v>
      </c>
      <c r="O781">
        <f t="shared" si="126"/>
        <v>3305905.2238056227</v>
      </c>
      <c r="P781">
        <f t="shared" si="127"/>
        <v>0</v>
      </c>
      <c r="Q781">
        <f t="shared" si="128"/>
        <v>2966877.5284769218</v>
      </c>
      <c r="R781">
        <f t="shared" si="129"/>
        <v>495465.53042307863</v>
      </c>
      <c r="S781">
        <f t="shared" si="130"/>
        <v>3462343.0589000005</v>
      </c>
    </row>
    <row r="782" spans="1:19" x14ac:dyDescent="0.3">
      <c r="A782" t="s">
        <v>13</v>
      </c>
      <c r="B782" t="s">
        <v>33</v>
      </c>
      <c r="C782" t="s">
        <v>14</v>
      </c>
      <c r="D782">
        <v>0</v>
      </c>
      <c r="E782">
        <v>28</v>
      </c>
      <c r="F782">
        <v>1</v>
      </c>
      <c r="G782">
        <v>20260403</v>
      </c>
      <c r="H782">
        <v>20260501</v>
      </c>
      <c r="I782">
        <v>1790822.6261</v>
      </c>
      <c r="J782">
        <f t="shared" si="121"/>
        <v>29</v>
      </c>
      <c r="K782">
        <f t="shared" si="122"/>
        <v>61752.504348275863</v>
      </c>
      <c r="L782">
        <f t="shared" si="123"/>
        <v>0</v>
      </c>
      <c r="M782">
        <f t="shared" si="124"/>
        <v>1729070.1217517243</v>
      </c>
      <c r="N782">
        <f t="shared" si="125"/>
        <v>46406.724452527342</v>
      </c>
      <c r="O782">
        <f t="shared" si="126"/>
        <v>1775476.8462042515</v>
      </c>
      <c r="P782">
        <f t="shared" si="127"/>
        <v>0</v>
      </c>
      <c r="Q782">
        <f t="shared" si="128"/>
        <v>1744014.7996107698</v>
      </c>
      <c r="R782">
        <f t="shared" si="129"/>
        <v>46807.826489230109</v>
      </c>
      <c r="S782">
        <f t="shared" si="130"/>
        <v>1790822.6261</v>
      </c>
    </row>
    <row r="783" spans="1:19" x14ac:dyDescent="0.3">
      <c r="A783" t="s">
        <v>13</v>
      </c>
      <c r="B783" t="s">
        <v>24</v>
      </c>
      <c r="C783" t="s">
        <v>15</v>
      </c>
      <c r="D783">
        <v>27</v>
      </c>
      <c r="E783">
        <v>3</v>
      </c>
      <c r="F783">
        <v>0</v>
      </c>
      <c r="G783">
        <v>20260305</v>
      </c>
      <c r="H783">
        <v>20260403</v>
      </c>
      <c r="I783">
        <v>6457120.5736999996</v>
      </c>
      <c r="J783">
        <f t="shared" si="121"/>
        <v>30</v>
      </c>
      <c r="K783">
        <f t="shared" si="122"/>
        <v>215237.35245666665</v>
      </c>
      <c r="L783">
        <f t="shared" si="123"/>
        <v>9363914.0687716901</v>
      </c>
      <c r="M783">
        <f t="shared" si="124"/>
        <v>645712.05736999994</v>
      </c>
      <c r="N783">
        <f t="shared" si="125"/>
        <v>0</v>
      </c>
      <c r="O783">
        <f t="shared" si="126"/>
        <v>10009626.12614169</v>
      </c>
      <c r="P783">
        <f t="shared" si="127"/>
        <v>6040577.4823011272</v>
      </c>
      <c r="Q783">
        <f t="shared" si="128"/>
        <v>416543.09139887261</v>
      </c>
      <c r="R783">
        <f t="shared" si="129"/>
        <v>0</v>
      </c>
      <c r="S783">
        <f t="shared" si="130"/>
        <v>6457120.5736999996</v>
      </c>
    </row>
    <row r="784" spans="1:19" x14ac:dyDescent="0.3">
      <c r="A784" t="s">
        <v>13</v>
      </c>
      <c r="B784" t="s">
        <v>33</v>
      </c>
      <c r="C784" t="s">
        <v>14</v>
      </c>
      <c r="D784">
        <v>0</v>
      </c>
      <c r="E784">
        <v>28</v>
      </c>
      <c r="F784">
        <v>3</v>
      </c>
      <c r="G784">
        <v>20260403</v>
      </c>
      <c r="H784">
        <v>20260503</v>
      </c>
      <c r="I784">
        <v>205207.58180000001</v>
      </c>
      <c r="J784">
        <f t="shared" si="121"/>
        <v>31</v>
      </c>
      <c r="K784">
        <f t="shared" si="122"/>
        <v>6619.599412903226</v>
      </c>
      <c r="L784">
        <f t="shared" si="123"/>
        <v>0</v>
      </c>
      <c r="M784">
        <f t="shared" si="124"/>
        <v>185348.78356129033</v>
      </c>
      <c r="N784">
        <f t="shared" si="125"/>
        <v>14923.796007114744</v>
      </c>
      <c r="O784">
        <f t="shared" si="126"/>
        <v>200272.57956840508</v>
      </c>
      <c r="P784">
        <f t="shared" si="127"/>
        <v>0</v>
      </c>
      <c r="Q784">
        <f t="shared" si="128"/>
        <v>189916.04215689827</v>
      </c>
      <c r="R784">
        <f t="shared" si="129"/>
        <v>15291.539643101734</v>
      </c>
      <c r="S784">
        <f t="shared" si="130"/>
        <v>205207.58180000001</v>
      </c>
    </row>
    <row r="785" spans="1:19" x14ac:dyDescent="0.3">
      <c r="A785" t="s">
        <v>13</v>
      </c>
      <c r="B785" t="s">
        <v>33</v>
      </c>
      <c r="C785" t="s">
        <v>15</v>
      </c>
      <c r="D785">
        <v>25</v>
      </c>
      <c r="E785">
        <v>6</v>
      </c>
      <c r="F785">
        <v>0</v>
      </c>
      <c r="G785">
        <v>20260307</v>
      </c>
      <c r="H785">
        <v>20260406</v>
      </c>
      <c r="I785">
        <v>236133.9791</v>
      </c>
      <c r="J785">
        <f t="shared" si="121"/>
        <v>31</v>
      </c>
      <c r="K785">
        <f t="shared" si="122"/>
        <v>7617.2251322580641</v>
      </c>
      <c r="L785">
        <f t="shared" si="123"/>
        <v>306840.59372407018</v>
      </c>
      <c r="M785">
        <f t="shared" si="124"/>
        <v>45703.350793548387</v>
      </c>
      <c r="N785">
        <f t="shared" si="125"/>
        <v>0</v>
      </c>
      <c r="O785">
        <f t="shared" si="126"/>
        <v>352543.94451761857</v>
      </c>
      <c r="P785">
        <f t="shared" si="127"/>
        <v>205521.86889668778</v>
      </c>
      <c r="Q785">
        <f t="shared" si="128"/>
        <v>30612.110203312201</v>
      </c>
      <c r="R785">
        <f t="shared" si="129"/>
        <v>0</v>
      </c>
      <c r="S785">
        <f t="shared" si="130"/>
        <v>236133.9791</v>
      </c>
    </row>
    <row r="786" spans="1:19" x14ac:dyDescent="0.3">
      <c r="A786" t="s">
        <v>13</v>
      </c>
      <c r="B786" t="s">
        <v>24</v>
      </c>
      <c r="C786" t="s">
        <v>15</v>
      </c>
      <c r="D786">
        <v>25</v>
      </c>
      <c r="E786">
        <v>6</v>
      </c>
      <c r="F786">
        <v>0</v>
      </c>
      <c r="G786">
        <v>20260307</v>
      </c>
      <c r="H786">
        <v>20260406</v>
      </c>
      <c r="I786">
        <v>983891.57499999995</v>
      </c>
      <c r="J786">
        <f t="shared" si="121"/>
        <v>31</v>
      </c>
      <c r="K786">
        <f t="shared" si="122"/>
        <v>31738.437903225804</v>
      </c>
      <c r="L786">
        <f t="shared" si="123"/>
        <v>1278502.4678945518</v>
      </c>
      <c r="M786">
        <f t="shared" si="124"/>
        <v>190430.62741935483</v>
      </c>
      <c r="N786">
        <f t="shared" si="125"/>
        <v>0</v>
      </c>
      <c r="O786">
        <f t="shared" si="126"/>
        <v>1468933.0953139067</v>
      </c>
      <c r="P786">
        <f t="shared" si="127"/>
        <v>856341.11641370994</v>
      </c>
      <c r="Q786">
        <f t="shared" si="128"/>
        <v>127550.45858628997</v>
      </c>
      <c r="R786">
        <f t="shared" si="129"/>
        <v>0</v>
      </c>
      <c r="S786">
        <f t="shared" si="130"/>
        <v>983891.57499999995</v>
      </c>
    </row>
    <row r="787" spans="1:19" x14ac:dyDescent="0.3">
      <c r="A787" t="s">
        <v>13</v>
      </c>
      <c r="B787" t="s">
        <v>33</v>
      </c>
      <c r="C787" t="s">
        <v>15</v>
      </c>
      <c r="D787">
        <v>0</v>
      </c>
      <c r="E787">
        <v>27</v>
      </c>
      <c r="F787">
        <v>3</v>
      </c>
      <c r="G787">
        <v>20260404</v>
      </c>
      <c r="H787">
        <v>20260503</v>
      </c>
      <c r="I787">
        <v>1363096.8848000001</v>
      </c>
      <c r="J787">
        <f t="shared" si="121"/>
        <v>30</v>
      </c>
      <c r="K787">
        <f t="shared" si="122"/>
        <v>45436.562826666668</v>
      </c>
      <c r="L787">
        <f t="shared" si="123"/>
        <v>0</v>
      </c>
      <c r="M787">
        <f t="shared" si="124"/>
        <v>1226787.1963200001</v>
      </c>
      <c r="N787">
        <f t="shared" si="125"/>
        <v>102436.10717105783</v>
      </c>
      <c r="O787">
        <f t="shared" si="126"/>
        <v>1329223.3034910578</v>
      </c>
      <c r="P787">
        <f t="shared" si="127"/>
        <v>0</v>
      </c>
      <c r="Q787">
        <f t="shared" si="128"/>
        <v>1258050.3224886232</v>
      </c>
      <c r="R787">
        <f t="shared" si="129"/>
        <v>105046.56231137706</v>
      </c>
      <c r="S787">
        <f t="shared" si="130"/>
        <v>1363096.8848000003</v>
      </c>
    </row>
    <row r="788" spans="1:19" x14ac:dyDescent="0.3">
      <c r="A788" t="s">
        <v>13</v>
      </c>
      <c r="B788" t="s">
        <v>33</v>
      </c>
      <c r="C788" t="s">
        <v>14</v>
      </c>
      <c r="D788">
        <v>27</v>
      </c>
      <c r="E788">
        <v>2</v>
      </c>
      <c r="F788">
        <v>0</v>
      </c>
      <c r="G788">
        <v>20260305</v>
      </c>
      <c r="H788">
        <v>20260402</v>
      </c>
      <c r="I788">
        <v>155866.1164</v>
      </c>
      <c r="J788">
        <f t="shared" si="121"/>
        <v>29</v>
      </c>
      <c r="K788">
        <f t="shared" si="122"/>
        <v>5374.6936689655176</v>
      </c>
      <c r="L788">
        <f t="shared" si="123"/>
        <v>233826.37394360642</v>
      </c>
      <c r="M788">
        <f t="shared" si="124"/>
        <v>10749.387337931035</v>
      </c>
      <c r="N788">
        <f t="shared" si="125"/>
        <v>0</v>
      </c>
      <c r="O788">
        <f t="shared" si="126"/>
        <v>244575.76128153745</v>
      </c>
      <c r="P788">
        <f t="shared" si="127"/>
        <v>149015.62046670113</v>
      </c>
      <c r="Q788">
        <f t="shared" si="128"/>
        <v>6850.4959332988583</v>
      </c>
      <c r="R788">
        <f t="shared" si="129"/>
        <v>0</v>
      </c>
      <c r="S788">
        <f t="shared" si="130"/>
        <v>155866.1164</v>
      </c>
    </row>
    <row r="789" spans="1:19" x14ac:dyDescent="0.3">
      <c r="A789" t="s">
        <v>13</v>
      </c>
      <c r="B789" t="s">
        <v>24</v>
      </c>
      <c r="C789" t="s">
        <v>15</v>
      </c>
      <c r="D789">
        <v>27</v>
      </c>
      <c r="E789">
        <v>2</v>
      </c>
      <c r="F789">
        <v>0</v>
      </c>
      <c r="G789">
        <v>20260305</v>
      </c>
      <c r="H789">
        <v>20260402</v>
      </c>
      <c r="I789">
        <v>7012000.9272999996</v>
      </c>
      <c r="J789">
        <f t="shared" si="121"/>
        <v>29</v>
      </c>
      <c r="K789">
        <f t="shared" si="122"/>
        <v>241793.13542413793</v>
      </c>
      <c r="L789">
        <f t="shared" si="123"/>
        <v>10519225.016886124</v>
      </c>
      <c r="M789">
        <f t="shared" si="124"/>
        <v>483586.27084827586</v>
      </c>
      <c r="N789">
        <f t="shared" si="125"/>
        <v>0</v>
      </c>
      <c r="O789">
        <f t="shared" si="126"/>
        <v>11002811.2877344</v>
      </c>
      <c r="P789">
        <f t="shared" si="127"/>
        <v>6703815.3835383123</v>
      </c>
      <c r="Q789">
        <f t="shared" si="128"/>
        <v>308185.54376168747</v>
      </c>
      <c r="R789">
        <f t="shared" si="129"/>
        <v>0</v>
      </c>
      <c r="S789">
        <f t="shared" si="130"/>
        <v>7012000.9272999996</v>
      </c>
    </row>
    <row r="790" spans="1:19" x14ac:dyDescent="0.3">
      <c r="A790" t="s">
        <v>13</v>
      </c>
      <c r="B790" t="s">
        <v>24</v>
      </c>
      <c r="C790" t="s">
        <v>14</v>
      </c>
      <c r="D790">
        <v>30</v>
      </c>
      <c r="E790">
        <v>7</v>
      </c>
      <c r="F790">
        <v>0</v>
      </c>
      <c r="G790">
        <v>20260302</v>
      </c>
      <c r="H790">
        <v>20260407</v>
      </c>
      <c r="I790">
        <v>201864.16039999999</v>
      </c>
      <c r="J790">
        <f t="shared" si="121"/>
        <v>37</v>
      </c>
      <c r="K790">
        <f t="shared" si="122"/>
        <v>5455.7881189189184</v>
      </c>
      <c r="L790">
        <f t="shared" si="123"/>
        <v>263727.10322855558</v>
      </c>
      <c r="M790">
        <f t="shared" si="124"/>
        <v>38190.516832432426</v>
      </c>
      <c r="N790">
        <f t="shared" si="125"/>
        <v>0</v>
      </c>
      <c r="O790">
        <f t="shared" si="126"/>
        <v>301917.620060988</v>
      </c>
      <c r="P790">
        <f t="shared" si="127"/>
        <v>176329.72284692264</v>
      </c>
      <c r="Q790">
        <f t="shared" si="128"/>
        <v>25534.437553077372</v>
      </c>
      <c r="R790">
        <f t="shared" si="129"/>
        <v>0</v>
      </c>
      <c r="S790">
        <f t="shared" si="130"/>
        <v>201864.16040000002</v>
      </c>
    </row>
    <row r="791" spans="1:19" x14ac:dyDescent="0.3">
      <c r="A791" t="s">
        <v>13</v>
      </c>
      <c r="B791" t="s">
        <v>24</v>
      </c>
      <c r="C791" t="s">
        <v>14</v>
      </c>
      <c r="D791">
        <v>29</v>
      </c>
      <c r="E791">
        <v>6</v>
      </c>
      <c r="F791">
        <v>0</v>
      </c>
      <c r="G791">
        <v>20260303</v>
      </c>
      <c r="H791">
        <v>20260406</v>
      </c>
      <c r="I791">
        <v>64370.790099999998</v>
      </c>
      <c r="J791">
        <f t="shared" si="121"/>
        <v>35</v>
      </c>
      <c r="K791">
        <f t="shared" si="122"/>
        <v>1839.1654314285713</v>
      </c>
      <c r="L791">
        <f t="shared" si="123"/>
        <v>85939.892761458032</v>
      </c>
      <c r="M791">
        <f t="shared" si="124"/>
        <v>11034.992588571427</v>
      </c>
      <c r="N791">
        <f t="shared" si="125"/>
        <v>0</v>
      </c>
      <c r="O791">
        <f t="shared" si="126"/>
        <v>96974.885350029464</v>
      </c>
      <c r="P791">
        <f t="shared" si="127"/>
        <v>57045.891605817131</v>
      </c>
      <c r="Q791">
        <f t="shared" si="128"/>
        <v>7324.8984941828676</v>
      </c>
      <c r="R791">
        <f t="shared" si="129"/>
        <v>0</v>
      </c>
      <c r="S791">
        <f t="shared" si="130"/>
        <v>64370.790099999998</v>
      </c>
    </row>
    <row r="792" spans="1:19" x14ac:dyDescent="0.3">
      <c r="A792" t="s">
        <v>13</v>
      </c>
      <c r="B792" t="s">
        <v>24</v>
      </c>
      <c r="C792" t="s">
        <v>14</v>
      </c>
      <c r="D792">
        <v>28</v>
      </c>
      <c r="E792">
        <v>1</v>
      </c>
      <c r="F792">
        <v>0</v>
      </c>
      <c r="G792">
        <v>20260304</v>
      </c>
      <c r="H792">
        <v>20260401</v>
      </c>
      <c r="I792">
        <v>3011664.6861</v>
      </c>
      <c r="J792">
        <f t="shared" si="121"/>
        <v>29</v>
      </c>
      <c r="K792">
        <f t="shared" si="122"/>
        <v>103850.50641724138</v>
      </c>
      <c r="L792">
        <f t="shared" si="123"/>
        <v>4685356.7478509424</v>
      </c>
      <c r="M792">
        <f t="shared" si="124"/>
        <v>103850.50641724138</v>
      </c>
      <c r="N792">
        <f t="shared" si="125"/>
        <v>0</v>
      </c>
      <c r="O792">
        <f t="shared" si="126"/>
        <v>4789207.2542681834</v>
      </c>
      <c r="P792">
        <f t="shared" si="127"/>
        <v>2946358.9087123815</v>
      </c>
      <c r="Q792">
        <f t="shared" si="128"/>
        <v>65305.777387618858</v>
      </c>
      <c r="R792">
        <f t="shared" si="129"/>
        <v>0</v>
      </c>
      <c r="S792">
        <f t="shared" si="130"/>
        <v>3011664.6861000005</v>
      </c>
    </row>
    <row r="793" spans="1:19" x14ac:dyDescent="0.3">
      <c r="A793" t="s">
        <v>13</v>
      </c>
      <c r="B793" t="s">
        <v>33</v>
      </c>
      <c r="C793" t="s">
        <v>15</v>
      </c>
      <c r="D793">
        <v>28</v>
      </c>
      <c r="E793">
        <v>4</v>
      </c>
      <c r="F793">
        <v>0</v>
      </c>
      <c r="G793">
        <v>20260304</v>
      </c>
      <c r="H793">
        <v>20260404</v>
      </c>
      <c r="I793">
        <v>68846.0484</v>
      </c>
      <c r="J793">
        <f t="shared" si="121"/>
        <v>32</v>
      </c>
      <c r="K793">
        <f t="shared" si="122"/>
        <v>2151.4390125</v>
      </c>
      <c r="L793">
        <f t="shared" si="123"/>
        <v>97065.095227432685</v>
      </c>
      <c r="M793">
        <f t="shared" si="124"/>
        <v>8605.75605</v>
      </c>
      <c r="N793">
        <f t="shared" si="125"/>
        <v>0</v>
      </c>
      <c r="O793">
        <f t="shared" si="126"/>
        <v>105670.85127743268</v>
      </c>
      <c r="P793">
        <f t="shared" si="127"/>
        <v>63239.277087243267</v>
      </c>
      <c r="Q793">
        <f t="shared" si="128"/>
        <v>5606.771312756734</v>
      </c>
      <c r="R793">
        <f t="shared" si="129"/>
        <v>0</v>
      </c>
      <c r="S793">
        <f t="shared" si="130"/>
        <v>68846.0484</v>
      </c>
    </row>
    <row r="794" spans="1:19" x14ac:dyDescent="0.3">
      <c r="A794" t="s">
        <v>13</v>
      </c>
      <c r="B794" t="s">
        <v>33</v>
      </c>
      <c r="C794" t="s">
        <v>15</v>
      </c>
      <c r="D794">
        <v>27</v>
      </c>
      <c r="E794">
        <v>5</v>
      </c>
      <c r="F794">
        <v>0</v>
      </c>
      <c r="G794">
        <v>20260305</v>
      </c>
      <c r="H794">
        <v>20260405</v>
      </c>
      <c r="I794">
        <v>84838.938899999994</v>
      </c>
      <c r="J794">
        <f t="shared" si="121"/>
        <v>32</v>
      </c>
      <c r="K794">
        <f t="shared" si="122"/>
        <v>2651.2168406249998</v>
      </c>
      <c r="L794">
        <f t="shared" si="123"/>
        <v>115341.3493984089</v>
      </c>
      <c r="M794">
        <f t="shared" si="124"/>
        <v>13256.084203124999</v>
      </c>
      <c r="N794">
        <f t="shared" si="125"/>
        <v>0</v>
      </c>
      <c r="O794">
        <f t="shared" si="126"/>
        <v>128597.43360153391</v>
      </c>
      <c r="P794">
        <f t="shared" si="127"/>
        <v>76093.56905656353</v>
      </c>
      <c r="Q794">
        <f t="shared" si="128"/>
        <v>8745.3698434364596</v>
      </c>
      <c r="R794">
        <f t="shared" si="129"/>
        <v>0</v>
      </c>
      <c r="S794">
        <f t="shared" si="130"/>
        <v>84838.938899999994</v>
      </c>
    </row>
    <row r="795" spans="1:19" x14ac:dyDescent="0.3">
      <c r="A795" t="s">
        <v>13</v>
      </c>
      <c r="B795" t="s">
        <v>24</v>
      </c>
      <c r="C795" t="s">
        <v>14</v>
      </c>
      <c r="D795">
        <v>29</v>
      </c>
      <c r="E795">
        <v>1</v>
      </c>
      <c r="F795">
        <v>0</v>
      </c>
      <c r="G795">
        <v>20260303</v>
      </c>
      <c r="H795">
        <v>20260401</v>
      </c>
      <c r="I795">
        <v>1213715.5353999999</v>
      </c>
      <c r="J795">
        <f t="shared" si="121"/>
        <v>30</v>
      </c>
      <c r="K795">
        <f t="shared" si="122"/>
        <v>40457.184513333334</v>
      </c>
      <c r="L795">
        <f t="shared" si="123"/>
        <v>1890469.4700605138</v>
      </c>
      <c r="M795">
        <f t="shared" si="124"/>
        <v>40457.184513333334</v>
      </c>
      <c r="N795">
        <f t="shared" si="125"/>
        <v>0</v>
      </c>
      <c r="O795">
        <f t="shared" si="126"/>
        <v>1930926.6545738471</v>
      </c>
      <c r="P795">
        <f t="shared" si="127"/>
        <v>1188285.5102635899</v>
      </c>
      <c r="Q795">
        <f t="shared" si="128"/>
        <v>25430.025136409975</v>
      </c>
      <c r="R795">
        <f t="shared" si="129"/>
        <v>0</v>
      </c>
      <c r="S795">
        <f t="shared" si="130"/>
        <v>1213715.5353999999</v>
      </c>
    </row>
    <row r="796" spans="1:19" x14ac:dyDescent="0.3">
      <c r="A796" t="s">
        <v>13</v>
      </c>
      <c r="B796" t="s">
        <v>33</v>
      </c>
      <c r="C796" t="s">
        <v>15</v>
      </c>
      <c r="D796">
        <v>0</v>
      </c>
      <c r="E796">
        <v>29</v>
      </c>
      <c r="F796">
        <v>6</v>
      </c>
      <c r="G796">
        <v>20260402</v>
      </c>
      <c r="H796">
        <v>20260506</v>
      </c>
      <c r="I796">
        <v>1287945.3737000001</v>
      </c>
      <c r="J796">
        <f t="shared" si="121"/>
        <v>35</v>
      </c>
      <c r="K796">
        <f t="shared" si="122"/>
        <v>36798.439248571434</v>
      </c>
      <c r="L796">
        <f t="shared" si="123"/>
        <v>0</v>
      </c>
      <c r="M796">
        <f t="shared" si="124"/>
        <v>1067154.7382085717</v>
      </c>
      <c r="N796">
        <f t="shared" si="125"/>
        <v>165923.15228483855</v>
      </c>
      <c r="O796">
        <f t="shared" si="126"/>
        <v>1233077.8904934102</v>
      </c>
      <c r="P796">
        <f t="shared" si="127"/>
        <v>0</v>
      </c>
      <c r="Q796">
        <f t="shared" si="128"/>
        <v>1114639.2443609466</v>
      </c>
      <c r="R796">
        <f t="shared" si="129"/>
        <v>173306.12933905367</v>
      </c>
      <c r="S796">
        <f t="shared" si="130"/>
        <v>1287945.3737000003</v>
      </c>
    </row>
    <row r="797" spans="1:19" x14ac:dyDescent="0.3">
      <c r="A797" t="s">
        <v>13</v>
      </c>
      <c r="B797" t="s">
        <v>24</v>
      </c>
      <c r="C797" t="s">
        <v>14</v>
      </c>
      <c r="D797">
        <v>25</v>
      </c>
      <c r="E797">
        <v>6</v>
      </c>
      <c r="F797">
        <v>0</v>
      </c>
      <c r="G797">
        <v>20260307</v>
      </c>
      <c r="H797">
        <v>20260406</v>
      </c>
      <c r="I797">
        <v>1025195.7749</v>
      </c>
      <c r="J797">
        <f t="shared" si="121"/>
        <v>31</v>
      </c>
      <c r="K797">
        <f t="shared" si="122"/>
        <v>33070.831448387093</v>
      </c>
      <c r="L797">
        <f t="shared" si="123"/>
        <v>1332174.5623085729</v>
      </c>
      <c r="M797">
        <f t="shared" si="124"/>
        <v>198424.98869032256</v>
      </c>
      <c r="N797">
        <f t="shared" si="125"/>
        <v>0</v>
      </c>
      <c r="O797">
        <f t="shared" si="126"/>
        <v>1530599.5509988954</v>
      </c>
      <c r="P797">
        <f t="shared" si="127"/>
        <v>892290.69211257808</v>
      </c>
      <c r="Q797">
        <f t="shared" si="128"/>
        <v>132905.08278742188</v>
      </c>
      <c r="R797">
        <f t="shared" si="129"/>
        <v>0</v>
      </c>
      <c r="S797">
        <f t="shared" si="130"/>
        <v>1025195.7749</v>
      </c>
    </row>
    <row r="798" spans="1:19" x14ac:dyDescent="0.3">
      <c r="A798" t="s">
        <v>13</v>
      </c>
      <c r="B798" t="s">
        <v>24</v>
      </c>
      <c r="C798" t="s">
        <v>14</v>
      </c>
      <c r="D798">
        <v>25</v>
      </c>
      <c r="E798">
        <v>1</v>
      </c>
      <c r="F798">
        <v>0</v>
      </c>
      <c r="G798">
        <v>20260307</v>
      </c>
      <c r="H798">
        <v>20260401</v>
      </c>
      <c r="I798">
        <v>240319.3806</v>
      </c>
      <c r="J798">
        <f t="shared" si="121"/>
        <v>26</v>
      </c>
      <c r="K798">
        <f t="shared" si="122"/>
        <v>9243.053100000001</v>
      </c>
      <c r="L798">
        <f t="shared" si="123"/>
        <v>372332.94956930802</v>
      </c>
      <c r="M798">
        <f t="shared" si="124"/>
        <v>9243.053100000001</v>
      </c>
      <c r="N798">
        <f t="shared" si="125"/>
        <v>0</v>
      </c>
      <c r="O798">
        <f t="shared" si="126"/>
        <v>381576.00266930804</v>
      </c>
      <c r="P798">
        <f t="shared" si="127"/>
        <v>234498.03759020389</v>
      </c>
      <c r="Q798">
        <f t="shared" si="128"/>
        <v>5821.3430097960891</v>
      </c>
      <c r="R798">
        <f t="shared" si="129"/>
        <v>0</v>
      </c>
      <c r="S798">
        <f t="shared" si="130"/>
        <v>240319.38059999997</v>
      </c>
    </row>
    <row r="799" spans="1:19" x14ac:dyDescent="0.3">
      <c r="A799" t="s">
        <v>13</v>
      </c>
      <c r="B799" t="s">
        <v>24</v>
      </c>
      <c r="C799" t="s">
        <v>15</v>
      </c>
      <c r="D799">
        <v>26</v>
      </c>
      <c r="E799">
        <v>5</v>
      </c>
      <c r="F799">
        <v>0</v>
      </c>
      <c r="G799">
        <v>20260306</v>
      </c>
      <c r="H799">
        <v>20260405</v>
      </c>
      <c r="I799">
        <v>728096.54330000002</v>
      </c>
      <c r="J799">
        <f t="shared" si="121"/>
        <v>31</v>
      </c>
      <c r="K799">
        <f t="shared" si="122"/>
        <v>23486.985267741937</v>
      </c>
      <c r="L799">
        <f t="shared" si="123"/>
        <v>983958.17300653702</v>
      </c>
      <c r="M799">
        <f t="shared" si="124"/>
        <v>117434.92633870969</v>
      </c>
      <c r="N799">
        <f t="shared" si="125"/>
        <v>0</v>
      </c>
      <c r="O799">
        <f t="shared" si="126"/>
        <v>1101393.0993452468</v>
      </c>
      <c r="P799">
        <f t="shared" si="127"/>
        <v>650463.9850601356</v>
      </c>
      <c r="Q799">
        <f t="shared" si="128"/>
        <v>77632.558239864418</v>
      </c>
      <c r="R799">
        <f t="shared" si="129"/>
        <v>0</v>
      </c>
      <c r="S799">
        <f t="shared" si="130"/>
        <v>728096.54330000002</v>
      </c>
    </row>
    <row r="800" spans="1:19" x14ac:dyDescent="0.3">
      <c r="A800" t="s">
        <v>13</v>
      </c>
      <c r="B800" t="s">
        <v>33</v>
      </c>
      <c r="C800" t="s">
        <v>15</v>
      </c>
      <c r="D800">
        <v>0</v>
      </c>
      <c r="E800">
        <v>23</v>
      </c>
      <c r="F800">
        <v>2</v>
      </c>
      <c r="G800">
        <v>20260408</v>
      </c>
      <c r="H800">
        <v>20260502</v>
      </c>
      <c r="I800">
        <v>243889.23389999999</v>
      </c>
      <c r="J800">
        <f t="shared" si="121"/>
        <v>25</v>
      </c>
      <c r="K800">
        <f t="shared" si="122"/>
        <v>9755.569356</v>
      </c>
      <c r="L800">
        <f t="shared" si="123"/>
        <v>0</v>
      </c>
      <c r="M800">
        <f t="shared" si="124"/>
        <v>224378.09518800001</v>
      </c>
      <c r="N800">
        <f t="shared" si="125"/>
        <v>14662.531463602147</v>
      </c>
      <c r="O800">
        <f t="shared" si="126"/>
        <v>239040.62665160216</v>
      </c>
      <c r="P800">
        <f t="shared" si="127"/>
        <v>0</v>
      </c>
      <c r="Q800">
        <f t="shared" si="128"/>
        <v>228929.29334184297</v>
      </c>
      <c r="R800">
        <f t="shared" si="129"/>
        <v>14959.940558157021</v>
      </c>
      <c r="S800">
        <f t="shared" si="130"/>
        <v>243889.23389999999</v>
      </c>
    </row>
    <row r="801" spans="1:19" x14ac:dyDescent="0.3">
      <c r="A801" t="s">
        <v>13</v>
      </c>
      <c r="B801" t="s">
        <v>33</v>
      </c>
      <c r="C801" t="s">
        <v>14</v>
      </c>
      <c r="D801">
        <v>0</v>
      </c>
      <c r="E801">
        <v>29</v>
      </c>
      <c r="F801">
        <v>3</v>
      </c>
      <c r="G801">
        <v>20260402</v>
      </c>
      <c r="H801">
        <v>20260503</v>
      </c>
      <c r="I801">
        <v>78429.678799999994</v>
      </c>
      <c r="J801">
        <f t="shared" si="121"/>
        <v>32</v>
      </c>
      <c r="K801">
        <f t="shared" si="122"/>
        <v>2450.9274624999998</v>
      </c>
      <c r="L801">
        <f t="shared" si="123"/>
        <v>0</v>
      </c>
      <c r="M801">
        <f t="shared" si="124"/>
        <v>71076.896412499991</v>
      </c>
      <c r="N801">
        <f t="shared" si="125"/>
        <v>5525.5823195717148</v>
      </c>
      <c r="O801">
        <f t="shared" si="126"/>
        <v>76602.478732071701</v>
      </c>
      <c r="P801">
        <f t="shared" si="127"/>
        <v>0</v>
      </c>
      <c r="Q801">
        <f t="shared" si="128"/>
        <v>72772.294682930602</v>
      </c>
      <c r="R801">
        <f t="shared" si="129"/>
        <v>5657.3841170693941</v>
      </c>
      <c r="S801">
        <f t="shared" si="130"/>
        <v>78429.678799999994</v>
      </c>
    </row>
    <row r="802" spans="1:19" x14ac:dyDescent="0.3">
      <c r="A802" t="s">
        <v>13</v>
      </c>
      <c r="B802" t="s">
        <v>33</v>
      </c>
      <c r="C802" t="s">
        <v>14</v>
      </c>
      <c r="D802">
        <v>0</v>
      </c>
      <c r="E802">
        <v>15</v>
      </c>
      <c r="F802">
        <v>16</v>
      </c>
      <c r="G802">
        <v>20260416</v>
      </c>
      <c r="H802">
        <v>20260516</v>
      </c>
      <c r="I802">
        <v>367116.78230000002</v>
      </c>
      <c r="J802">
        <f t="shared" si="121"/>
        <v>31</v>
      </c>
      <c r="K802">
        <f t="shared" si="122"/>
        <v>11842.476848387098</v>
      </c>
      <c r="L802">
        <f t="shared" si="123"/>
        <v>0</v>
      </c>
      <c r="M802">
        <f t="shared" si="124"/>
        <v>177637.15272580646</v>
      </c>
      <c r="N802">
        <f t="shared" si="125"/>
        <v>142393.07460997015</v>
      </c>
      <c r="O802">
        <f t="shared" si="126"/>
        <v>320030.22733577661</v>
      </c>
      <c r="P802">
        <f t="shared" si="127"/>
        <v>0</v>
      </c>
      <c r="Q802">
        <f t="shared" si="128"/>
        <v>203773.18876572704</v>
      </c>
      <c r="R802">
        <f t="shared" si="129"/>
        <v>163343.59353427298</v>
      </c>
      <c r="S802">
        <f t="shared" si="130"/>
        <v>367116.78230000002</v>
      </c>
    </row>
    <row r="803" spans="1:19" x14ac:dyDescent="0.3">
      <c r="A803" t="s">
        <v>13</v>
      </c>
      <c r="B803" t="s">
        <v>24</v>
      </c>
      <c r="C803" t="s">
        <v>14</v>
      </c>
      <c r="D803">
        <v>14</v>
      </c>
      <c r="E803">
        <v>16</v>
      </c>
      <c r="F803">
        <v>0</v>
      </c>
      <c r="G803">
        <v>20260318</v>
      </c>
      <c r="H803">
        <v>20260416</v>
      </c>
      <c r="I803">
        <v>1859514.3728</v>
      </c>
      <c r="J803">
        <f t="shared" si="121"/>
        <v>30</v>
      </c>
      <c r="K803">
        <f t="shared" si="122"/>
        <v>61983.812426666664</v>
      </c>
      <c r="L803">
        <f t="shared" si="123"/>
        <v>1398241.9721864471</v>
      </c>
      <c r="M803">
        <f t="shared" si="124"/>
        <v>991740.99882666662</v>
      </c>
      <c r="N803">
        <f t="shared" si="125"/>
        <v>0</v>
      </c>
      <c r="O803">
        <f t="shared" si="126"/>
        <v>2389982.9710131139</v>
      </c>
      <c r="P803">
        <f t="shared" si="127"/>
        <v>1087895.2174419696</v>
      </c>
      <c r="Q803">
        <f t="shared" si="128"/>
        <v>771619.15535803011</v>
      </c>
      <c r="R803">
        <f t="shared" si="129"/>
        <v>0</v>
      </c>
      <c r="S803">
        <f t="shared" si="130"/>
        <v>1859514.3727999995</v>
      </c>
    </row>
    <row r="804" spans="1:19" x14ac:dyDescent="0.3">
      <c r="A804" t="s">
        <v>13</v>
      </c>
      <c r="B804" t="s">
        <v>33</v>
      </c>
      <c r="C804" t="s">
        <v>14</v>
      </c>
      <c r="D804">
        <v>0</v>
      </c>
      <c r="E804">
        <v>24</v>
      </c>
      <c r="F804">
        <v>4</v>
      </c>
      <c r="G804">
        <v>20260407</v>
      </c>
      <c r="H804">
        <v>20260504</v>
      </c>
      <c r="I804">
        <v>721665.57290000003</v>
      </c>
      <c r="J804">
        <f t="shared" si="121"/>
        <v>28</v>
      </c>
      <c r="K804">
        <f t="shared" si="122"/>
        <v>25773.770460714288</v>
      </c>
      <c r="L804">
        <f t="shared" si="123"/>
        <v>0</v>
      </c>
      <c r="M804">
        <f t="shared" si="124"/>
        <v>618570.49105714285</v>
      </c>
      <c r="N804">
        <f t="shared" si="125"/>
        <v>77475.482265616083</v>
      </c>
      <c r="O804">
        <f t="shared" si="126"/>
        <v>696045.97332275892</v>
      </c>
      <c r="P804">
        <f t="shared" si="127"/>
        <v>0</v>
      </c>
      <c r="Q804">
        <f t="shared" si="128"/>
        <v>641338.42435259605</v>
      </c>
      <c r="R804">
        <f t="shared" si="129"/>
        <v>80327.148547403951</v>
      </c>
      <c r="S804">
        <f t="shared" si="130"/>
        <v>721665.57290000003</v>
      </c>
    </row>
    <row r="805" spans="1:19" x14ac:dyDescent="0.3">
      <c r="A805" t="s">
        <v>13</v>
      </c>
      <c r="B805" t="s">
        <v>33</v>
      </c>
      <c r="C805" t="s">
        <v>14</v>
      </c>
      <c r="D805">
        <v>25</v>
      </c>
      <c r="E805">
        <v>7</v>
      </c>
      <c r="F805">
        <v>0</v>
      </c>
      <c r="G805">
        <v>20260307</v>
      </c>
      <c r="H805">
        <v>20260407</v>
      </c>
      <c r="I805">
        <v>85076.538100000005</v>
      </c>
      <c r="J805">
        <f t="shared" si="121"/>
        <v>32</v>
      </c>
      <c r="K805">
        <f t="shared" si="122"/>
        <v>2658.6418156250002</v>
      </c>
      <c r="L805">
        <f t="shared" si="123"/>
        <v>107096.64202404687</v>
      </c>
      <c r="M805">
        <f t="shared" si="124"/>
        <v>18610.492709375001</v>
      </c>
      <c r="N805">
        <f t="shared" si="125"/>
        <v>0</v>
      </c>
      <c r="O805">
        <f t="shared" si="126"/>
        <v>125707.13473342187</v>
      </c>
      <c r="P805">
        <f t="shared" si="127"/>
        <v>72481.260231273292</v>
      </c>
      <c r="Q805">
        <f t="shared" si="128"/>
        <v>12595.277868726705</v>
      </c>
      <c r="R805">
        <f t="shared" si="129"/>
        <v>0</v>
      </c>
      <c r="S805">
        <f t="shared" si="130"/>
        <v>85076.538100000005</v>
      </c>
    </row>
    <row r="806" spans="1:19" x14ac:dyDescent="0.3">
      <c r="A806" t="s">
        <v>13</v>
      </c>
      <c r="B806" t="s">
        <v>33</v>
      </c>
      <c r="C806" t="s">
        <v>14</v>
      </c>
      <c r="D806">
        <v>16</v>
      </c>
      <c r="E806">
        <v>16</v>
      </c>
      <c r="F806">
        <v>0</v>
      </c>
      <c r="G806">
        <v>20260316</v>
      </c>
      <c r="H806">
        <v>20260416</v>
      </c>
      <c r="I806">
        <v>178468.8622</v>
      </c>
      <c r="J806">
        <f t="shared" si="121"/>
        <v>32</v>
      </c>
      <c r="K806">
        <f t="shared" si="122"/>
        <v>5577.1519437500001</v>
      </c>
      <c r="L806">
        <f t="shared" si="123"/>
        <v>143783.30871907331</v>
      </c>
      <c r="M806">
        <f t="shared" si="124"/>
        <v>89234.431100000002</v>
      </c>
      <c r="N806">
        <f t="shared" si="125"/>
        <v>0</v>
      </c>
      <c r="O806">
        <f t="shared" si="126"/>
        <v>233017.73981907329</v>
      </c>
      <c r="P806">
        <f t="shared" si="127"/>
        <v>110123.99111916854</v>
      </c>
      <c r="Q806">
        <f t="shared" si="128"/>
        <v>68344.871080831464</v>
      </c>
      <c r="R806">
        <f t="shared" si="129"/>
        <v>0</v>
      </c>
      <c r="S806">
        <f t="shared" si="130"/>
        <v>178468.8622</v>
      </c>
    </row>
    <row r="807" spans="1:19" x14ac:dyDescent="0.3">
      <c r="A807" t="s">
        <v>13</v>
      </c>
      <c r="B807" t="s">
        <v>33</v>
      </c>
      <c r="C807" t="s">
        <v>15</v>
      </c>
      <c r="D807">
        <v>25</v>
      </c>
      <c r="E807">
        <v>7</v>
      </c>
      <c r="F807">
        <v>0</v>
      </c>
      <c r="G807">
        <v>20260307</v>
      </c>
      <c r="H807">
        <v>20260407</v>
      </c>
      <c r="I807">
        <v>317587.74660000001</v>
      </c>
      <c r="J807">
        <f t="shared" si="121"/>
        <v>32</v>
      </c>
      <c r="K807">
        <f t="shared" si="122"/>
        <v>9924.6170812500004</v>
      </c>
      <c r="L807">
        <f t="shared" si="123"/>
        <v>399788.02579937025</v>
      </c>
      <c r="M807">
        <f t="shared" si="124"/>
        <v>69472.319568749997</v>
      </c>
      <c r="N807">
        <f t="shared" si="125"/>
        <v>0</v>
      </c>
      <c r="O807">
        <f t="shared" si="126"/>
        <v>469260.34536812024</v>
      </c>
      <c r="P807">
        <f t="shared" si="127"/>
        <v>270570.01403279108</v>
      </c>
      <c r="Q807">
        <f t="shared" si="128"/>
        <v>47017.732567208972</v>
      </c>
      <c r="R807">
        <f t="shared" si="129"/>
        <v>0</v>
      </c>
      <c r="S807">
        <f t="shared" si="130"/>
        <v>317587.74660000007</v>
      </c>
    </row>
    <row r="808" spans="1:19" x14ac:dyDescent="0.3">
      <c r="A808" t="s">
        <v>13</v>
      </c>
      <c r="B808" t="s">
        <v>33</v>
      </c>
      <c r="C808" t="s">
        <v>15</v>
      </c>
      <c r="D808">
        <v>0</v>
      </c>
      <c r="E808">
        <v>23</v>
      </c>
      <c r="F808">
        <v>5</v>
      </c>
      <c r="G808">
        <v>20260408</v>
      </c>
      <c r="H808">
        <v>20260505</v>
      </c>
      <c r="I808">
        <v>373574.2475</v>
      </c>
      <c r="J808">
        <f t="shared" si="121"/>
        <v>28</v>
      </c>
      <c r="K808">
        <f t="shared" si="122"/>
        <v>13341.937410714285</v>
      </c>
      <c r="L808">
        <f t="shared" si="123"/>
        <v>0</v>
      </c>
      <c r="M808">
        <f t="shared" si="124"/>
        <v>306864.56044642854</v>
      </c>
      <c r="N808">
        <f t="shared" si="125"/>
        <v>50132.024572633447</v>
      </c>
      <c r="O808">
        <f t="shared" si="126"/>
        <v>356996.58501906198</v>
      </c>
      <c r="P808">
        <f t="shared" si="127"/>
        <v>0</v>
      </c>
      <c r="Q808">
        <f t="shared" si="128"/>
        <v>321114.26849383372</v>
      </c>
      <c r="R808">
        <f t="shared" si="129"/>
        <v>52459.979006166286</v>
      </c>
      <c r="S808">
        <f t="shared" si="130"/>
        <v>373574.2475</v>
      </c>
    </row>
    <row r="809" spans="1:19" x14ac:dyDescent="0.3">
      <c r="A809" t="s">
        <v>13</v>
      </c>
      <c r="B809" t="s">
        <v>33</v>
      </c>
      <c r="C809" t="s">
        <v>15</v>
      </c>
      <c r="D809">
        <v>27</v>
      </c>
      <c r="E809">
        <v>7</v>
      </c>
      <c r="F809">
        <v>0</v>
      </c>
      <c r="G809">
        <v>20260305</v>
      </c>
      <c r="H809">
        <v>20260407</v>
      </c>
      <c r="I809">
        <v>217033.14129999999</v>
      </c>
      <c r="J809">
        <f t="shared" si="121"/>
        <v>34</v>
      </c>
      <c r="K809">
        <f t="shared" si="122"/>
        <v>6383.3276852941171</v>
      </c>
      <c r="L809">
        <f t="shared" si="123"/>
        <v>277707.05797888583</v>
      </c>
      <c r="M809">
        <f t="shared" si="124"/>
        <v>44683.293797058817</v>
      </c>
      <c r="N809">
        <f t="shared" si="125"/>
        <v>0</v>
      </c>
      <c r="O809">
        <f t="shared" si="126"/>
        <v>322390.35177594464</v>
      </c>
      <c r="P809">
        <f t="shared" si="127"/>
        <v>186952.35394707622</v>
      </c>
      <c r="Q809">
        <f t="shared" si="128"/>
        <v>30080.787352923766</v>
      </c>
      <c r="R809">
        <f t="shared" si="129"/>
        <v>0</v>
      </c>
      <c r="S809">
        <f t="shared" si="130"/>
        <v>217033.14129999999</v>
      </c>
    </row>
    <row r="810" spans="1:19" x14ac:dyDescent="0.3">
      <c r="A810" t="s">
        <v>13</v>
      </c>
      <c r="B810" t="s">
        <v>24</v>
      </c>
      <c r="C810" t="s">
        <v>14</v>
      </c>
      <c r="D810">
        <v>27</v>
      </c>
      <c r="E810">
        <v>4</v>
      </c>
      <c r="F810">
        <v>0</v>
      </c>
      <c r="G810">
        <v>20260305</v>
      </c>
      <c r="H810">
        <v>20260404</v>
      </c>
      <c r="I810">
        <v>453661.39750000002</v>
      </c>
      <c r="J810">
        <f t="shared" si="121"/>
        <v>31</v>
      </c>
      <c r="K810">
        <f t="shared" si="122"/>
        <v>14634.238629032259</v>
      </c>
      <c r="L810">
        <f t="shared" si="123"/>
        <v>636663.43885058735</v>
      </c>
      <c r="M810">
        <f t="shared" si="124"/>
        <v>58536.954516129037</v>
      </c>
      <c r="N810">
        <f t="shared" si="125"/>
        <v>0</v>
      </c>
      <c r="O810">
        <f t="shared" si="126"/>
        <v>695200.39336671634</v>
      </c>
      <c r="P810">
        <f t="shared" si="127"/>
        <v>415462.40215338377</v>
      </c>
      <c r="Q810">
        <f t="shared" si="128"/>
        <v>38198.995346616328</v>
      </c>
      <c r="R810">
        <f t="shared" si="129"/>
        <v>0</v>
      </c>
      <c r="S810">
        <f t="shared" si="130"/>
        <v>453661.39750000008</v>
      </c>
    </row>
    <row r="811" spans="1:19" x14ac:dyDescent="0.3">
      <c r="A811" t="s">
        <v>13</v>
      </c>
      <c r="B811" t="s">
        <v>24</v>
      </c>
      <c r="C811" t="s">
        <v>15</v>
      </c>
      <c r="D811">
        <v>23</v>
      </c>
      <c r="E811">
        <v>4</v>
      </c>
      <c r="F811">
        <v>0</v>
      </c>
      <c r="G811">
        <v>20260309</v>
      </c>
      <c r="H811">
        <v>20260404</v>
      </c>
      <c r="I811">
        <v>116312.1781</v>
      </c>
      <c r="J811">
        <f t="shared" si="121"/>
        <v>27</v>
      </c>
      <c r="K811">
        <f t="shared" si="122"/>
        <v>4307.8584481481485</v>
      </c>
      <c r="L811">
        <f t="shared" si="123"/>
        <v>159648.65883330011</v>
      </c>
      <c r="M811">
        <f t="shared" si="124"/>
        <v>17231.433792592594</v>
      </c>
      <c r="N811">
        <f t="shared" si="125"/>
        <v>0</v>
      </c>
      <c r="O811">
        <f t="shared" si="126"/>
        <v>176880.09262589272</v>
      </c>
      <c r="P811">
        <f t="shared" si="127"/>
        <v>104981.19355307649</v>
      </c>
      <c r="Q811">
        <f t="shared" si="128"/>
        <v>11330.984546923502</v>
      </c>
      <c r="R811">
        <f t="shared" si="129"/>
        <v>0</v>
      </c>
      <c r="S811">
        <f t="shared" si="130"/>
        <v>116312.17809999999</v>
      </c>
    </row>
    <row r="812" spans="1:19" x14ac:dyDescent="0.3">
      <c r="A812" t="s">
        <v>13</v>
      </c>
      <c r="B812" t="s">
        <v>24</v>
      </c>
      <c r="C812" t="s">
        <v>14</v>
      </c>
      <c r="D812">
        <v>26</v>
      </c>
      <c r="E812">
        <v>4</v>
      </c>
      <c r="F812">
        <v>0</v>
      </c>
      <c r="G812">
        <v>20260306</v>
      </c>
      <c r="H812">
        <v>20260404</v>
      </c>
      <c r="I812">
        <v>216397.8236</v>
      </c>
      <c r="J812">
        <f t="shared" si="121"/>
        <v>30</v>
      </c>
      <c r="K812">
        <f t="shared" si="122"/>
        <v>7213.2607866666667</v>
      </c>
      <c r="L812">
        <f t="shared" si="123"/>
        <v>302190.6312861836</v>
      </c>
      <c r="M812">
        <f t="shared" si="124"/>
        <v>28853.043146666667</v>
      </c>
      <c r="N812">
        <f t="shared" si="125"/>
        <v>0</v>
      </c>
      <c r="O812">
        <f t="shared" si="126"/>
        <v>331043.67443285027</v>
      </c>
      <c r="P812">
        <f t="shared" si="127"/>
        <v>197537.06224616221</v>
      </c>
      <c r="Q812">
        <f t="shared" si="128"/>
        <v>18860.761353837792</v>
      </c>
      <c r="R812">
        <f t="shared" si="129"/>
        <v>0</v>
      </c>
      <c r="S812">
        <f t="shared" si="130"/>
        <v>216397.8236</v>
      </c>
    </row>
    <row r="813" spans="1:19" x14ac:dyDescent="0.3">
      <c r="A813" t="s">
        <v>13</v>
      </c>
      <c r="B813" t="s">
        <v>33</v>
      </c>
      <c r="C813" t="s">
        <v>15</v>
      </c>
      <c r="D813">
        <v>0</v>
      </c>
      <c r="E813">
        <v>25</v>
      </c>
      <c r="F813">
        <v>7</v>
      </c>
      <c r="G813">
        <v>20260406</v>
      </c>
      <c r="H813">
        <v>20260507</v>
      </c>
      <c r="I813">
        <v>284712.87900000002</v>
      </c>
      <c r="J813">
        <f t="shared" si="121"/>
        <v>32</v>
      </c>
      <c r="K813">
        <f t="shared" si="122"/>
        <v>8897.2774687500005</v>
      </c>
      <c r="L813">
        <f t="shared" si="123"/>
        <v>0</v>
      </c>
      <c r="M813">
        <f t="shared" si="124"/>
        <v>222431.93671875002</v>
      </c>
      <c r="N813">
        <f t="shared" si="125"/>
        <v>46803.843141147438</v>
      </c>
      <c r="O813">
        <f t="shared" si="126"/>
        <v>269235.77985989745</v>
      </c>
      <c r="P813">
        <f t="shared" si="127"/>
        <v>0</v>
      </c>
      <c r="Q813">
        <f t="shared" si="128"/>
        <v>235218.50297050358</v>
      </c>
      <c r="R813">
        <f t="shared" si="129"/>
        <v>49494.376029496452</v>
      </c>
      <c r="S813">
        <f t="shared" si="130"/>
        <v>284712.87900000002</v>
      </c>
    </row>
    <row r="814" spans="1:19" x14ac:dyDescent="0.3">
      <c r="A814" t="s">
        <v>13</v>
      </c>
      <c r="B814" t="s">
        <v>33</v>
      </c>
      <c r="C814" t="s">
        <v>15</v>
      </c>
      <c r="D814">
        <v>0</v>
      </c>
      <c r="E814">
        <v>22</v>
      </c>
      <c r="F814">
        <v>1</v>
      </c>
      <c r="G814">
        <v>20260409</v>
      </c>
      <c r="H814">
        <v>20260501</v>
      </c>
      <c r="I814">
        <v>195783.6128</v>
      </c>
      <c r="J814">
        <f t="shared" si="121"/>
        <v>23</v>
      </c>
      <c r="K814">
        <f t="shared" si="122"/>
        <v>8512.3309913043486</v>
      </c>
      <c r="L814">
        <f t="shared" si="123"/>
        <v>0</v>
      </c>
      <c r="M814">
        <f t="shared" si="124"/>
        <v>187271.28180869567</v>
      </c>
      <c r="N814">
        <f t="shared" si="125"/>
        <v>6396.9777895039988</v>
      </c>
      <c r="O814">
        <f t="shared" si="126"/>
        <v>193668.25959819966</v>
      </c>
      <c r="P814">
        <f t="shared" si="127"/>
        <v>0</v>
      </c>
      <c r="Q814">
        <f t="shared" si="128"/>
        <v>189316.76363623497</v>
      </c>
      <c r="R814">
        <f t="shared" si="129"/>
        <v>6466.8491637650541</v>
      </c>
      <c r="S814">
        <f t="shared" si="130"/>
        <v>195783.61280000003</v>
      </c>
    </row>
    <row r="815" spans="1:19" x14ac:dyDescent="0.3">
      <c r="A815" t="s">
        <v>13</v>
      </c>
      <c r="B815" t="s">
        <v>33</v>
      </c>
      <c r="C815" t="s">
        <v>15</v>
      </c>
      <c r="D815">
        <v>0</v>
      </c>
      <c r="E815">
        <v>25</v>
      </c>
      <c r="F815">
        <v>1</v>
      </c>
      <c r="G815">
        <v>20260406</v>
      </c>
      <c r="H815">
        <v>20260501</v>
      </c>
      <c r="I815">
        <v>225432.8561</v>
      </c>
      <c r="J815">
        <f t="shared" si="121"/>
        <v>26</v>
      </c>
      <c r="K815">
        <f t="shared" si="122"/>
        <v>8670.494465384616</v>
      </c>
      <c r="L815">
        <f t="shared" si="123"/>
        <v>0</v>
      </c>
      <c r="M815">
        <f t="shared" si="124"/>
        <v>216762.3616346154</v>
      </c>
      <c r="N815">
        <f t="shared" si="125"/>
        <v>6515.8369165557806</v>
      </c>
      <c r="O815">
        <f t="shared" si="126"/>
        <v>223278.19855117117</v>
      </c>
      <c r="P815">
        <f t="shared" si="127"/>
        <v>0</v>
      </c>
      <c r="Q815">
        <f t="shared" si="128"/>
        <v>218854.14068796061</v>
      </c>
      <c r="R815">
        <f t="shared" si="129"/>
        <v>6578.715412039418</v>
      </c>
      <c r="S815">
        <f t="shared" si="130"/>
        <v>225432.85610000003</v>
      </c>
    </row>
    <row r="816" spans="1:19" x14ac:dyDescent="0.3">
      <c r="A816" t="s">
        <v>13</v>
      </c>
      <c r="B816" t="s">
        <v>33</v>
      </c>
      <c r="C816" t="s">
        <v>14</v>
      </c>
      <c r="D816">
        <v>0</v>
      </c>
      <c r="E816">
        <v>23</v>
      </c>
      <c r="F816">
        <v>7</v>
      </c>
      <c r="G816">
        <v>20260408</v>
      </c>
      <c r="H816">
        <v>20260507</v>
      </c>
      <c r="I816">
        <v>181611.4498</v>
      </c>
      <c r="J816">
        <f t="shared" si="121"/>
        <v>30</v>
      </c>
      <c r="K816">
        <f t="shared" si="122"/>
        <v>6053.714993333333</v>
      </c>
      <c r="L816">
        <f t="shared" si="123"/>
        <v>0</v>
      </c>
      <c r="M816">
        <f t="shared" si="124"/>
        <v>139235.44484666665</v>
      </c>
      <c r="N816">
        <f t="shared" si="125"/>
        <v>31845.373819615452</v>
      </c>
      <c r="O816">
        <f t="shared" si="126"/>
        <v>171080.81866628211</v>
      </c>
      <c r="P816">
        <f t="shared" si="127"/>
        <v>0</v>
      </c>
      <c r="Q816">
        <f t="shared" si="128"/>
        <v>147805.88028092464</v>
      </c>
      <c r="R816">
        <f t="shared" si="129"/>
        <v>33805.569519075369</v>
      </c>
      <c r="S816">
        <f t="shared" si="130"/>
        <v>181611.4498</v>
      </c>
    </row>
    <row r="817" spans="1:19" x14ac:dyDescent="0.3">
      <c r="A817" t="s">
        <v>13</v>
      </c>
      <c r="B817" t="s">
        <v>33</v>
      </c>
      <c r="C817" t="s">
        <v>15</v>
      </c>
      <c r="D817">
        <v>29</v>
      </c>
      <c r="E817">
        <v>4</v>
      </c>
      <c r="F817">
        <v>0</v>
      </c>
      <c r="G817">
        <v>20260303</v>
      </c>
      <c r="H817">
        <v>20260404</v>
      </c>
      <c r="I817">
        <v>47743.498599999999</v>
      </c>
      <c r="J817">
        <f t="shared" si="121"/>
        <v>33</v>
      </c>
      <c r="K817">
        <f t="shared" si="122"/>
        <v>1446.7726848484849</v>
      </c>
      <c r="L817">
        <f t="shared" si="123"/>
        <v>67604.298809328946</v>
      </c>
      <c r="M817">
        <f t="shared" si="124"/>
        <v>5787.0907393939397</v>
      </c>
      <c r="N817">
        <f t="shared" si="125"/>
        <v>0</v>
      </c>
      <c r="O817">
        <f t="shared" si="126"/>
        <v>73391.389548722887</v>
      </c>
      <c r="P817">
        <f t="shared" si="127"/>
        <v>43978.806851918285</v>
      </c>
      <c r="Q817">
        <f t="shared" si="128"/>
        <v>3764.6917480817128</v>
      </c>
      <c r="R817">
        <f t="shared" si="129"/>
        <v>0</v>
      </c>
      <c r="S817">
        <f t="shared" si="130"/>
        <v>47743.498599999999</v>
      </c>
    </row>
    <row r="818" spans="1:19" x14ac:dyDescent="0.3">
      <c r="A818" t="s">
        <v>13</v>
      </c>
      <c r="B818" t="s">
        <v>24</v>
      </c>
      <c r="C818" t="s">
        <v>15</v>
      </c>
      <c r="D818">
        <v>29</v>
      </c>
      <c r="E818">
        <v>4</v>
      </c>
      <c r="F818">
        <v>0</v>
      </c>
      <c r="G818">
        <v>20260303</v>
      </c>
      <c r="H818">
        <v>20260404</v>
      </c>
      <c r="I818">
        <v>346140.36560000002</v>
      </c>
      <c r="J818">
        <f t="shared" si="121"/>
        <v>33</v>
      </c>
      <c r="K818">
        <f t="shared" si="122"/>
        <v>10489.101987878788</v>
      </c>
      <c r="L818">
        <f t="shared" si="123"/>
        <v>490131.16742962704</v>
      </c>
      <c r="M818">
        <f t="shared" si="124"/>
        <v>41956.407951515153</v>
      </c>
      <c r="N818">
        <f t="shared" si="125"/>
        <v>0</v>
      </c>
      <c r="O818">
        <f t="shared" si="126"/>
        <v>532087.5753811422</v>
      </c>
      <c r="P818">
        <f t="shared" si="127"/>
        <v>318846.35036726826</v>
      </c>
      <c r="Q818">
        <f t="shared" si="128"/>
        <v>27294.015232731756</v>
      </c>
      <c r="R818">
        <f t="shared" si="129"/>
        <v>0</v>
      </c>
      <c r="S818">
        <f t="shared" si="130"/>
        <v>346140.36560000002</v>
      </c>
    </row>
    <row r="819" spans="1:19" x14ac:dyDescent="0.3">
      <c r="A819" t="s">
        <v>13</v>
      </c>
      <c r="B819" t="s">
        <v>33</v>
      </c>
      <c r="C819" t="s">
        <v>15</v>
      </c>
      <c r="D819">
        <v>0</v>
      </c>
      <c r="E819">
        <v>23</v>
      </c>
      <c r="F819">
        <v>1</v>
      </c>
      <c r="G819">
        <v>20260408</v>
      </c>
      <c r="H819">
        <v>20260501</v>
      </c>
      <c r="I819">
        <v>336716.85200000001</v>
      </c>
      <c r="J819">
        <f t="shared" si="121"/>
        <v>24</v>
      </c>
      <c r="K819">
        <f t="shared" si="122"/>
        <v>14029.868833333334</v>
      </c>
      <c r="L819">
        <f t="shared" si="123"/>
        <v>0</v>
      </c>
      <c r="M819">
        <f t="shared" si="124"/>
        <v>322686.9831666667</v>
      </c>
      <c r="N819">
        <f t="shared" si="125"/>
        <v>10543.382230809551</v>
      </c>
      <c r="O819">
        <f t="shared" si="126"/>
        <v>333230.36539747624</v>
      </c>
      <c r="P819">
        <f t="shared" si="127"/>
        <v>0</v>
      </c>
      <c r="Q819">
        <f t="shared" si="128"/>
        <v>326063.15761066566</v>
      </c>
      <c r="R819">
        <f t="shared" si="129"/>
        <v>10653.694389334354</v>
      </c>
      <c r="S819">
        <f t="shared" si="130"/>
        <v>336716.85200000001</v>
      </c>
    </row>
    <row r="820" spans="1:19" x14ac:dyDescent="0.3">
      <c r="A820" t="s">
        <v>13</v>
      </c>
      <c r="B820" t="s">
        <v>33</v>
      </c>
      <c r="C820" t="s">
        <v>15</v>
      </c>
      <c r="D820">
        <v>0</v>
      </c>
      <c r="E820">
        <v>23</v>
      </c>
      <c r="F820">
        <v>9</v>
      </c>
      <c r="G820">
        <v>20260408</v>
      </c>
      <c r="H820">
        <v>20260509</v>
      </c>
      <c r="I820">
        <v>322936.54619999998</v>
      </c>
      <c r="J820">
        <f t="shared" si="121"/>
        <v>32</v>
      </c>
      <c r="K820">
        <f t="shared" si="122"/>
        <v>10091.767068749999</v>
      </c>
      <c r="L820">
        <f t="shared" si="123"/>
        <v>0</v>
      </c>
      <c r="M820">
        <f t="shared" si="124"/>
        <v>232110.64258124999</v>
      </c>
      <c r="N820">
        <f t="shared" si="125"/>
        <v>68255.250971126283</v>
      </c>
      <c r="O820">
        <f t="shared" si="126"/>
        <v>300365.89355237631</v>
      </c>
      <c r="P820">
        <f t="shared" si="127"/>
        <v>0</v>
      </c>
      <c r="Q820">
        <f t="shared" si="128"/>
        <v>249552.33220705498</v>
      </c>
      <c r="R820">
        <f t="shared" si="129"/>
        <v>73384.213992944991</v>
      </c>
      <c r="S820">
        <f t="shared" si="130"/>
        <v>322936.54619999998</v>
      </c>
    </row>
    <row r="821" spans="1:19" x14ac:dyDescent="0.3">
      <c r="A821" t="s">
        <v>13</v>
      </c>
      <c r="B821" t="s">
        <v>24</v>
      </c>
      <c r="C821" t="s">
        <v>15</v>
      </c>
      <c r="D821">
        <v>25</v>
      </c>
      <c r="E821">
        <v>1</v>
      </c>
      <c r="F821">
        <v>0</v>
      </c>
      <c r="G821">
        <v>20260307</v>
      </c>
      <c r="H821">
        <v>20260401</v>
      </c>
      <c r="I821">
        <v>563834.0906</v>
      </c>
      <c r="J821">
        <f t="shared" si="121"/>
        <v>26</v>
      </c>
      <c r="K821">
        <f t="shared" si="122"/>
        <v>21685.926561538461</v>
      </c>
      <c r="L821">
        <f t="shared" si="123"/>
        <v>873562.54621116666</v>
      </c>
      <c r="M821">
        <f t="shared" si="124"/>
        <v>21685.926561538461</v>
      </c>
      <c r="N821">
        <f t="shared" si="125"/>
        <v>0</v>
      </c>
      <c r="O821">
        <f t="shared" si="126"/>
        <v>895248.47277270514</v>
      </c>
      <c r="P821">
        <f t="shared" si="127"/>
        <v>550176.13411807059</v>
      </c>
      <c r="Q821">
        <f t="shared" si="128"/>
        <v>13657.956481929466</v>
      </c>
      <c r="R821">
        <f t="shared" si="129"/>
        <v>0</v>
      </c>
      <c r="S821">
        <f t="shared" si="130"/>
        <v>563834.09060000011</v>
      </c>
    </row>
    <row r="822" spans="1:19" x14ac:dyDescent="0.3">
      <c r="A822" t="s">
        <v>13</v>
      </c>
      <c r="B822" t="s">
        <v>33</v>
      </c>
      <c r="C822" t="s">
        <v>14</v>
      </c>
      <c r="D822">
        <v>0</v>
      </c>
      <c r="E822">
        <v>13</v>
      </c>
      <c r="F822">
        <v>18</v>
      </c>
      <c r="G822">
        <v>20260418</v>
      </c>
      <c r="H822">
        <v>20260518</v>
      </c>
      <c r="I822">
        <v>639931.32039999997</v>
      </c>
      <c r="J822">
        <f t="shared" si="121"/>
        <v>31</v>
      </c>
      <c r="K822">
        <f t="shared" si="122"/>
        <v>20642.945819354838</v>
      </c>
      <c r="L822">
        <f t="shared" si="123"/>
        <v>0</v>
      </c>
      <c r="M822">
        <f t="shared" si="124"/>
        <v>268358.29565161292</v>
      </c>
      <c r="N822">
        <f t="shared" si="125"/>
        <v>279235.42786604352</v>
      </c>
      <c r="O822">
        <f t="shared" si="126"/>
        <v>547593.72351765644</v>
      </c>
      <c r="P822">
        <f t="shared" si="127"/>
        <v>0</v>
      </c>
      <c r="Q822">
        <f t="shared" si="128"/>
        <v>313610.01980347384</v>
      </c>
      <c r="R822">
        <f t="shared" si="129"/>
        <v>326321.30059652613</v>
      </c>
      <c r="S822">
        <f t="shared" si="130"/>
        <v>639931.32039999997</v>
      </c>
    </row>
    <row r="823" spans="1:19" x14ac:dyDescent="0.3">
      <c r="A823" t="s">
        <v>13</v>
      </c>
      <c r="B823" t="s">
        <v>33</v>
      </c>
      <c r="C823" t="s">
        <v>14</v>
      </c>
      <c r="D823">
        <v>13</v>
      </c>
      <c r="E823">
        <v>16</v>
      </c>
      <c r="F823">
        <v>0</v>
      </c>
      <c r="G823">
        <v>20260319</v>
      </c>
      <c r="H823">
        <v>20260416</v>
      </c>
      <c r="I823">
        <v>22378.754799999999</v>
      </c>
      <c r="J823">
        <f t="shared" si="121"/>
        <v>29</v>
      </c>
      <c r="K823">
        <f t="shared" si="122"/>
        <v>771.68119999999999</v>
      </c>
      <c r="L823">
        <f t="shared" si="123"/>
        <v>16164.31430087264</v>
      </c>
      <c r="M823">
        <f t="shared" si="124"/>
        <v>12346.8992</v>
      </c>
      <c r="N823">
        <f t="shared" si="125"/>
        <v>0</v>
      </c>
      <c r="O823">
        <f t="shared" si="126"/>
        <v>28511.21350087264</v>
      </c>
      <c r="P823">
        <f t="shared" si="127"/>
        <v>12687.542262565939</v>
      </c>
      <c r="Q823">
        <f t="shared" si="128"/>
        <v>9691.2125374340594</v>
      </c>
      <c r="R823">
        <f t="shared" si="129"/>
        <v>0</v>
      </c>
      <c r="S823">
        <f t="shared" si="130"/>
        <v>22378.754799999999</v>
      </c>
    </row>
    <row r="824" spans="1:19" x14ac:dyDescent="0.3">
      <c r="A824" t="s">
        <v>13</v>
      </c>
      <c r="B824" t="s">
        <v>33</v>
      </c>
      <c r="C824" t="s">
        <v>15</v>
      </c>
      <c r="D824">
        <v>0</v>
      </c>
      <c r="E824">
        <v>26</v>
      </c>
      <c r="F824">
        <v>5</v>
      </c>
      <c r="G824">
        <v>20260405</v>
      </c>
      <c r="H824">
        <v>20260505</v>
      </c>
      <c r="I824">
        <v>443525.53700000001</v>
      </c>
      <c r="J824">
        <f t="shared" si="121"/>
        <v>31</v>
      </c>
      <c r="K824">
        <f t="shared" si="122"/>
        <v>14307.275387096775</v>
      </c>
      <c r="L824">
        <f t="shared" si="123"/>
        <v>0</v>
      </c>
      <c r="M824">
        <f t="shared" si="124"/>
        <v>371989.16006451618</v>
      </c>
      <c r="N824">
        <f t="shared" si="125"/>
        <v>53759.259933072179</v>
      </c>
      <c r="O824">
        <f t="shared" si="126"/>
        <v>425748.41999758838</v>
      </c>
      <c r="P824">
        <f t="shared" si="127"/>
        <v>0</v>
      </c>
      <c r="Q824">
        <f t="shared" si="128"/>
        <v>387521.56021325471</v>
      </c>
      <c r="R824">
        <f t="shared" si="129"/>
        <v>56003.97678674529</v>
      </c>
      <c r="S824">
        <f t="shared" si="130"/>
        <v>443525.53700000001</v>
      </c>
    </row>
    <row r="825" spans="1:19" x14ac:dyDescent="0.3">
      <c r="A825" t="s">
        <v>13</v>
      </c>
      <c r="B825" t="s">
        <v>24</v>
      </c>
      <c r="C825" t="s">
        <v>14</v>
      </c>
      <c r="D825">
        <v>16</v>
      </c>
      <c r="E825">
        <v>17</v>
      </c>
      <c r="F825">
        <v>0</v>
      </c>
      <c r="G825">
        <v>20260316</v>
      </c>
      <c r="H825">
        <v>20260417</v>
      </c>
      <c r="I825">
        <v>163706.7059</v>
      </c>
      <c r="J825">
        <f t="shared" si="121"/>
        <v>33</v>
      </c>
      <c r="K825">
        <f t="shared" si="122"/>
        <v>4960.8092696969697</v>
      </c>
      <c r="L825">
        <f t="shared" si="123"/>
        <v>127893.51588683442</v>
      </c>
      <c r="M825">
        <f t="shared" si="124"/>
        <v>84333.757584848485</v>
      </c>
      <c r="N825">
        <f t="shared" si="125"/>
        <v>0</v>
      </c>
      <c r="O825">
        <f t="shared" si="126"/>
        <v>212227.27347168291</v>
      </c>
      <c r="P825">
        <f t="shared" si="127"/>
        <v>98653.796231315035</v>
      </c>
      <c r="Q825">
        <f t="shared" si="128"/>
        <v>65052.909668684944</v>
      </c>
      <c r="R825">
        <f t="shared" si="129"/>
        <v>0</v>
      </c>
      <c r="S825">
        <f t="shared" si="130"/>
        <v>163706.70589999997</v>
      </c>
    </row>
    <row r="826" spans="1:19" x14ac:dyDescent="0.3">
      <c r="A826" t="s">
        <v>13</v>
      </c>
      <c r="B826" t="s">
        <v>24</v>
      </c>
      <c r="C826" t="s">
        <v>15</v>
      </c>
      <c r="D826">
        <v>14</v>
      </c>
      <c r="E826">
        <v>16</v>
      </c>
      <c r="F826">
        <v>0</v>
      </c>
      <c r="G826">
        <v>20260318</v>
      </c>
      <c r="H826">
        <v>20260416</v>
      </c>
      <c r="I826">
        <v>435544.79369999998</v>
      </c>
      <c r="J826">
        <f t="shared" si="121"/>
        <v>30</v>
      </c>
      <c r="K826">
        <f t="shared" si="122"/>
        <v>14518.15979</v>
      </c>
      <c r="L826">
        <f t="shared" si="123"/>
        <v>327503.25581061153</v>
      </c>
      <c r="M826">
        <f t="shared" si="124"/>
        <v>232290.55664</v>
      </c>
      <c r="N826">
        <f t="shared" si="125"/>
        <v>0</v>
      </c>
      <c r="O826">
        <f t="shared" si="126"/>
        <v>559793.8124506115</v>
      </c>
      <c r="P826">
        <f t="shared" si="127"/>
        <v>254812.28054962811</v>
      </c>
      <c r="Q826">
        <f t="shared" si="128"/>
        <v>180732.51315037187</v>
      </c>
      <c r="R826">
        <f t="shared" si="129"/>
        <v>0</v>
      </c>
      <c r="S826">
        <f t="shared" si="130"/>
        <v>435544.79369999998</v>
      </c>
    </row>
    <row r="827" spans="1:19" x14ac:dyDescent="0.3">
      <c r="A827" t="s">
        <v>13</v>
      </c>
      <c r="B827" t="s">
        <v>24</v>
      </c>
      <c r="C827" t="s">
        <v>15</v>
      </c>
      <c r="D827">
        <v>29</v>
      </c>
      <c r="E827">
        <v>5</v>
      </c>
      <c r="F827">
        <v>0</v>
      </c>
      <c r="G827">
        <v>20260303</v>
      </c>
      <c r="H827">
        <v>20260405</v>
      </c>
      <c r="I827">
        <v>156005.0526</v>
      </c>
      <c r="J827">
        <f t="shared" si="121"/>
        <v>34</v>
      </c>
      <c r="K827">
        <f t="shared" si="122"/>
        <v>4588.3838999999998</v>
      </c>
      <c r="L827">
        <f t="shared" si="123"/>
        <v>214404.43234522335</v>
      </c>
      <c r="M827">
        <f t="shared" si="124"/>
        <v>22941.9195</v>
      </c>
      <c r="N827">
        <f t="shared" si="125"/>
        <v>0</v>
      </c>
      <c r="O827">
        <f t="shared" si="126"/>
        <v>237346.35184522334</v>
      </c>
      <c r="P827">
        <f t="shared" si="127"/>
        <v>140925.59032675464</v>
      </c>
      <c r="Q827">
        <f t="shared" si="128"/>
        <v>15079.462273245364</v>
      </c>
      <c r="R827">
        <f t="shared" si="129"/>
        <v>0</v>
      </c>
      <c r="S827">
        <f t="shared" si="130"/>
        <v>156005.0526</v>
      </c>
    </row>
    <row r="828" spans="1:19" x14ac:dyDescent="0.3">
      <c r="A828" t="s">
        <v>13</v>
      </c>
      <c r="B828" t="s">
        <v>33</v>
      </c>
      <c r="C828" t="s">
        <v>14</v>
      </c>
      <c r="D828">
        <v>0</v>
      </c>
      <c r="E828">
        <v>27</v>
      </c>
      <c r="F828">
        <v>5</v>
      </c>
      <c r="G828">
        <v>20260404</v>
      </c>
      <c r="H828">
        <v>20260505</v>
      </c>
      <c r="I828">
        <v>151997.90760000001</v>
      </c>
      <c r="J828">
        <f t="shared" si="121"/>
        <v>32</v>
      </c>
      <c r="K828">
        <f t="shared" si="122"/>
        <v>4749.9346125000002</v>
      </c>
      <c r="L828">
        <f t="shared" si="123"/>
        <v>0</v>
      </c>
      <c r="M828">
        <f t="shared" si="124"/>
        <v>128248.2345375</v>
      </c>
      <c r="N828">
        <f t="shared" si="125"/>
        <v>17847.770633448337</v>
      </c>
      <c r="O828">
        <f t="shared" si="126"/>
        <v>146096.00517094834</v>
      </c>
      <c r="P828">
        <f t="shared" si="127"/>
        <v>0</v>
      </c>
      <c r="Q828">
        <f t="shared" si="128"/>
        <v>133429.13298884913</v>
      </c>
      <c r="R828">
        <f t="shared" si="129"/>
        <v>18568.774611150886</v>
      </c>
      <c r="S828">
        <f t="shared" si="130"/>
        <v>151997.90760000001</v>
      </c>
    </row>
    <row r="829" spans="1:19" x14ac:dyDescent="0.3">
      <c r="A829" t="s">
        <v>13</v>
      </c>
      <c r="B829" t="s">
        <v>33</v>
      </c>
      <c r="C829" t="s">
        <v>15</v>
      </c>
      <c r="D829">
        <v>28</v>
      </c>
      <c r="E829">
        <v>5</v>
      </c>
      <c r="F829">
        <v>0</v>
      </c>
      <c r="G829">
        <v>20260304</v>
      </c>
      <c r="H829">
        <v>20260405</v>
      </c>
      <c r="I829">
        <v>67047.763000000006</v>
      </c>
      <c r="J829">
        <f t="shared" si="121"/>
        <v>33</v>
      </c>
      <c r="K829">
        <f t="shared" si="122"/>
        <v>2031.7503939393941</v>
      </c>
      <c r="L829">
        <f t="shared" si="123"/>
        <v>91665.180523494462</v>
      </c>
      <c r="M829">
        <f t="shared" si="124"/>
        <v>10158.75196969697</v>
      </c>
      <c r="N829">
        <f t="shared" si="125"/>
        <v>0</v>
      </c>
      <c r="O829">
        <f t="shared" si="126"/>
        <v>101823.93249319143</v>
      </c>
      <c r="P829">
        <f t="shared" si="127"/>
        <v>60358.553717245486</v>
      </c>
      <c r="Q829">
        <f t="shared" si="128"/>
        <v>6689.2092827545202</v>
      </c>
      <c r="R829">
        <f t="shared" si="129"/>
        <v>0</v>
      </c>
      <c r="S829">
        <f t="shared" si="130"/>
        <v>67047.763000000006</v>
      </c>
    </row>
    <row r="830" spans="1:19" x14ac:dyDescent="0.3">
      <c r="A830" t="s">
        <v>13</v>
      </c>
      <c r="B830" t="s">
        <v>33</v>
      </c>
      <c r="C830" t="s">
        <v>15</v>
      </c>
      <c r="D830">
        <v>0</v>
      </c>
      <c r="E830">
        <v>14</v>
      </c>
      <c r="F830">
        <v>19</v>
      </c>
      <c r="G830">
        <v>20260417</v>
      </c>
      <c r="H830">
        <v>20260519</v>
      </c>
      <c r="I830">
        <v>52793.552300000003</v>
      </c>
      <c r="J830">
        <f t="shared" si="121"/>
        <v>33</v>
      </c>
      <c r="K830">
        <f t="shared" si="122"/>
        <v>1599.8046151515152</v>
      </c>
      <c r="L830">
        <f t="shared" si="123"/>
        <v>0</v>
      </c>
      <c r="M830">
        <f t="shared" si="124"/>
        <v>22397.264612121213</v>
      </c>
      <c r="N830">
        <f t="shared" si="125"/>
        <v>22842.671111046595</v>
      </c>
      <c r="O830">
        <f t="shared" si="126"/>
        <v>45239.935723167808</v>
      </c>
      <c r="P830">
        <f t="shared" si="127"/>
        <v>0</v>
      </c>
      <c r="Q830">
        <f t="shared" si="128"/>
        <v>26136.88860904871</v>
      </c>
      <c r="R830">
        <f t="shared" si="129"/>
        <v>26656.663690951293</v>
      </c>
      <c r="S830">
        <f t="shared" si="130"/>
        <v>52793.552300000003</v>
      </c>
    </row>
    <row r="831" spans="1:19" x14ac:dyDescent="0.3">
      <c r="A831" t="s">
        <v>13</v>
      </c>
      <c r="B831" t="s">
        <v>24</v>
      </c>
      <c r="C831" t="s">
        <v>15</v>
      </c>
      <c r="D831">
        <v>30</v>
      </c>
      <c r="E831">
        <v>8</v>
      </c>
      <c r="F831">
        <v>0</v>
      </c>
      <c r="G831">
        <v>20260302</v>
      </c>
      <c r="H831">
        <v>20260408</v>
      </c>
      <c r="I831">
        <v>24743.8318</v>
      </c>
      <c r="J831">
        <f t="shared" si="121"/>
        <v>38</v>
      </c>
      <c r="K831">
        <f t="shared" si="122"/>
        <v>651.15346842105259</v>
      </c>
      <c r="L831">
        <f t="shared" si="123"/>
        <v>31476.079026679497</v>
      </c>
      <c r="M831">
        <f t="shared" si="124"/>
        <v>5209.2277473684208</v>
      </c>
      <c r="N831">
        <f t="shared" si="125"/>
        <v>0</v>
      </c>
      <c r="O831">
        <f t="shared" si="126"/>
        <v>36685.306774047916</v>
      </c>
      <c r="P831">
        <f t="shared" si="127"/>
        <v>21230.26556535803</v>
      </c>
      <c r="Q831">
        <f t="shared" si="128"/>
        <v>3513.5662346419699</v>
      </c>
      <c r="R831">
        <f t="shared" si="129"/>
        <v>0</v>
      </c>
      <c r="S831">
        <f t="shared" si="130"/>
        <v>24743.8318</v>
      </c>
    </row>
    <row r="832" spans="1:19" x14ac:dyDescent="0.3">
      <c r="A832" t="s">
        <v>13</v>
      </c>
      <c r="B832" t="s">
        <v>33</v>
      </c>
      <c r="C832" t="s">
        <v>15</v>
      </c>
      <c r="D832">
        <v>24</v>
      </c>
      <c r="E832">
        <v>4</v>
      </c>
      <c r="F832">
        <v>0</v>
      </c>
      <c r="G832">
        <v>20260308</v>
      </c>
      <c r="H832">
        <v>20260404</v>
      </c>
      <c r="I832">
        <v>15472.632900000001</v>
      </c>
      <c r="J832">
        <f t="shared" si="121"/>
        <v>28</v>
      </c>
      <c r="K832">
        <f t="shared" si="122"/>
        <v>552.59403214285715</v>
      </c>
      <c r="L832">
        <f t="shared" si="123"/>
        <v>21369.454998160851</v>
      </c>
      <c r="M832">
        <f t="shared" si="124"/>
        <v>2210.3761285714286</v>
      </c>
      <c r="N832">
        <f t="shared" si="125"/>
        <v>0</v>
      </c>
      <c r="O832">
        <f t="shared" si="126"/>
        <v>23579.831126732279</v>
      </c>
      <c r="P832">
        <f t="shared" si="127"/>
        <v>14022.226481714153</v>
      </c>
      <c r="Q832">
        <f t="shared" si="128"/>
        <v>1450.4064182858481</v>
      </c>
      <c r="R832">
        <f t="shared" si="129"/>
        <v>0</v>
      </c>
      <c r="S832">
        <f t="shared" si="130"/>
        <v>15472.632900000001</v>
      </c>
    </row>
    <row r="833" spans="1:19" x14ac:dyDescent="0.3">
      <c r="A833" t="s">
        <v>13</v>
      </c>
      <c r="B833" t="s">
        <v>33</v>
      </c>
      <c r="C833" t="s">
        <v>15</v>
      </c>
      <c r="D833">
        <v>0</v>
      </c>
      <c r="E833">
        <v>13</v>
      </c>
      <c r="F833">
        <v>15</v>
      </c>
      <c r="G833">
        <v>20260418</v>
      </c>
      <c r="H833">
        <v>20260515</v>
      </c>
      <c r="I833">
        <v>840606.20739999996</v>
      </c>
      <c r="J833">
        <f t="shared" si="121"/>
        <v>28</v>
      </c>
      <c r="K833">
        <f t="shared" si="122"/>
        <v>30021.650264285712</v>
      </c>
      <c r="L833">
        <f t="shared" si="123"/>
        <v>0</v>
      </c>
      <c r="M833">
        <f t="shared" si="124"/>
        <v>390281.45343571424</v>
      </c>
      <c r="N833">
        <f t="shared" si="125"/>
        <v>338416.9920220612</v>
      </c>
      <c r="O833">
        <f t="shared" si="126"/>
        <v>728698.44545777538</v>
      </c>
      <c r="P833">
        <f t="shared" si="127"/>
        <v>0</v>
      </c>
      <c r="Q833">
        <f t="shared" si="128"/>
        <v>450217.80194008345</v>
      </c>
      <c r="R833">
        <f t="shared" si="129"/>
        <v>390388.40545991651</v>
      </c>
      <c r="S833">
        <f t="shared" si="130"/>
        <v>840606.20739999996</v>
      </c>
    </row>
    <row r="834" spans="1:19" x14ac:dyDescent="0.3">
      <c r="A834" t="s">
        <v>13</v>
      </c>
      <c r="B834" t="s">
        <v>33</v>
      </c>
      <c r="C834" t="s">
        <v>15</v>
      </c>
      <c r="D834">
        <v>14</v>
      </c>
      <c r="E834">
        <v>17</v>
      </c>
      <c r="F834">
        <v>0</v>
      </c>
      <c r="G834">
        <v>20260318</v>
      </c>
      <c r="H834">
        <v>20260417</v>
      </c>
      <c r="I834">
        <v>97522.265499999994</v>
      </c>
      <c r="J834">
        <f t="shared" si="121"/>
        <v>31</v>
      </c>
      <c r="K834">
        <f t="shared" si="122"/>
        <v>3145.8795322580645</v>
      </c>
      <c r="L834">
        <f t="shared" si="123"/>
        <v>70965.315446667912</v>
      </c>
      <c r="M834">
        <f t="shared" si="124"/>
        <v>53479.952048387095</v>
      </c>
      <c r="N834">
        <f t="shared" si="125"/>
        <v>0</v>
      </c>
      <c r="O834">
        <f t="shared" si="126"/>
        <v>124445.26749505501</v>
      </c>
      <c r="P834">
        <f t="shared" si="127"/>
        <v>55612.386662724653</v>
      </c>
      <c r="Q834">
        <f t="shared" si="128"/>
        <v>41909.878837275341</v>
      </c>
      <c r="R834">
        <f t="shared" si="129"/>
        <v>0</v>
      </c>
      <c r="S834">
        <f t="shared" si="130"/>
        <v>97522.265499999994</v>
      </c>
    </row>
    <row r="835" spans="1:19" x14ac:dyDescent="0.3">
      <c r="A835" t="s">
        <v>13</v>
      </c>
      <c r="B835" t="s">
        <v>24</v>
      </c>
      <c r="C835" t="s">
        <v>15</v>
      </c>
      <c r="D835">
        <v>14</v>
      </c>
      <c r="E835">
        <v>17</v>
      </c>
      <c r="F835">
        <v>0</v>
      </c>
      <c r="G835">
        <v>20260318</v>
      </c>
      <c r="H835">
        <v>20260417</v>
      </c>
      <c r="I835">
        <v>80312.453999999998</v>
      </c>
      <c r="J835">
        <f t="shared" si="121"/>
        <v>31</v>
      </c>
      <c r="K835">
        <f t="shared" si="122"/>
        <v>2590.7243225806451</v>
      </c>
      <c r="L835">
        <f t="shared" si="123"/>
        <v>58442.024528296111</v>
      </c>
      <c r="M835">
        <f t="shared" si="124"/>
        <v>44042.313483870967</v>
      </c>
      <c r="N835">
        <f t="shared" si="125"/>
        <v>0</v>
      </c>
      <c r="O835">
        <f t="shared" si="126"/>
        <v>102484.33801216708</v>
      </c>
      <c r="P835">
        <f t="shared" si="127"/>
        <v>45798.436108729315</v>
      </c>
      <c r="Q835">
        <f t="shared" si="128"/>
        <v>34514.017891270683</v>
      </c>
      <c r="R835">
        <f t="shared" si="129"/>
        <v>0</v>
      </c>
      <c r="S835">
        <f t="shared" si="130"/>
        <v>80312.453999999998</v>
      </c>
    </row>
    <row r="836" spans="1:19" x14ac:dyDescent="0.3">
      <c r="A836" t="s">
        <v>13</v>
      </c>
      <c r="B836" t="s">
        <v>24</v>
      </c>
      <c r="C836" t="s">
        <v>14</v>
      </c>
      <c r="D836">
        <v>23</v>
      </c>
      <c r="E836">
        <v>8</v>
      </c>
      <c r="F836">
        <v>0</v>
      </c>
      <c r="G836">
        <v>20260309</v>
      </c>
      <c r="H836">
        <v>20260408</v>
      </c>
      <c r="I836">
        <v>103815.7055</v>
      </c>
      <c r="J836">
        <f t="shared" si="121"/>
        <v>31</v>
      </c>
      <c r="K836">
        <f t="shared" si="122"/>
        <v>3348.8937258064516</v>
      </c>
      <c r="L836">
        <f t="shared" si="123"/>
        <v>124109.55427982692</v>
      </c>
      <c r="M836">
        <f t="shared" si="124"/>
        <v>26791.149806451613</v>
      </c>
      <c r="N836">
        <f t="shared" si="125"/>
        <v>0</v>
      </c>
      <c r="O836">
        <f t="shared" si="126"/>
        <v>150900.70408627854</v>
      </c>
      <c r="P836">
        <f t="shared" si="127"/>
        <v>85384.100855380762</v>
      </c>
      <c r="Q836">
        <f t="shared" si="128"/>
        <v>18431.604644619223</v>
      </c>
      <c r="R836">
        <f t="shared" si="129"/>
        <v>0</v>
      </c>
      <c r="S836">
        <f t="shared" si="130"/>
        <v>103815.70549999998</v>
      </c>
    </row>
    <row r="837" spans="1:19" x14ac:dyDescent="0.3">
      <c r="A837" t="s">
        <v>13</v>
      </c>
      <c r="B837" t="s">
        <v>24</v>
      </c>
      <c r="C837" t="s">
        <v>14</v>
      </c>
      <c r="D837">
        <v>30</v>
      </c>
      <c r="E837">
        <v>4</v>
      </c>
      <c r="F837">
        <v>0</v>
      </c>
      <c r="G837">
        <v>20260302</v>
      </c>
      <c r="H837">
        <v>20260404</v>
      </c>
      <c r="I837">
        <v>19471.365399999999</v>
      </c>
      <c r="J837">
        <f t="shared" si="121"/>
        <v>34</v>
      </c>
      <c r="K837">
        <f t="shared" si="122"/>
        <v>572.68721764705879</v>
      </c>
      <c r="L837">
        <f t="shared" si="123"/>
        <v>27683.10236285493</v>
      </c>
      <c r="M837">
        <f t="shared" si="124"/>
        <v>2290.7488705882351</v>
      </c>
      <c r="N837">
        <f t="shared" si="125"/>
        <v>0</v>
      </c>
      <c r="O837">
        <f t="shared" si="126"/>
        <v>29973.851233443165</v>
      </c>
      <c r="P837">
        <f t="shared" si="127"/>
        <v>17983.268059705799</v>
      </c>
      <c r="Q837">
        <f t="shared" si="128"/>
        <v>1488.0973402942013</v>
      </c>
      <c r="R837">
        <f t="shared" si="129"/>
        <v>0</v>
      </c>
      <c r="S837">
        <f t="shared" si="130"/>
        <v>19471.365399999999</v>
      </c>
    </row>
    <row r="838" spans="1:19" x14ac:dyDescent="0.3">
      <c r="A838" t="s">
        <v>13</v>
      </c>
      <c r="B838" t="s">
        <v>33</v>
      </c>
      <c r="C838" t="s">
        <v>14</v>
      </c>
      <c r="D838">
        <v>23</v>
      </c>
      <c r="E838">
        <v>1</v>
      </c>
      <c r="F838">
        <v>0</v>
      </c>
      <c r="G838">
        <v>20260309</v>
      </c>
      <c r="H838">
        <v>20260401</v>
      </c>
      <c r="I838">
        <v>80.739599999999996</v>
      </c>
      <c r="J838">
        <f t="shared" si="121"/>
        <v>24</v>
      </c>
      <c r="K838">
        <f t="shared" si="122"/>
        <v>3.36415</v>
      </c>
      <c r="L838">
        <f t="shared" si="123"/>
        <v>124.67494976417484</v>
      </c>
      <c r="M838">
        <f t="shared" si="124"/>
        <v>3.36415</v>
      </c>
      <c r="N838">
        <f t="shared" si="125"/>
        <v>0</v>
      </c>
      <c r="O838">
        <f t="shared" si="126"/>
        <v>128.03909976417484</v>
      </c>
      <c r="P838">
        <f t="shared" si="127"/>
        <v>78.618215783457742</v>
      </c>
      <c r="Q838">
        <f t="shared" si="128"/>
        <v>2.1213842165422578</v>
      </c>
      <c r="R838">
        <f t="shared" si="129"/>
        <v>0</v>
      </c>
      <c r="S838">
        <f t="shared" si="130"/>
        <v>80.739599999999996</v>
      </c>
    </row>
    <row r="839" spans="1:19" x14ac:dyDescent="0.3">
      <c r="A839" t="s">
        <v>13</v>
      </c>
      <c r="B839" t="s">
        <v>24</v>
      </c>
      <c r="C839" t="s">
        <v>14</v>
      </c>
      <c r="D839">
        <v>29</v>
      </c>
      <c r="E839">
        <v>7</v>
      </c>
      <c r="F839">
        <v>0</v>
      </c>
      <c r="G839">
        <v>20260303</v>
      </c>
      <c r="H839">
        <v>20260407</v>
      </c>
      <c r="I839">
        <v>5062.0995000000003</v>
      </c>
      <c r="J839">
        <f t="shared" si="121"/>
        <v>36</v>
      </c>
      <c r="K839">
        <f t="shared" si="122"/>
        <v>140.61387500000001</v>
      </c>
      <c r="L839">
        <f t="shared" si="123"/>
        <v>6570.5570210106425</v>
      </c>
      <c r="M839">
        <f t="shared" si="124"/>
        <v>984.29712500000005</v>
      </c>
      <c r="N839">
        <f t="shared" si="125"/>
        <v>0</v>
      </c>
      <c r="O839">
        <f t="shared" si="126"/>
        <v>7554.8541460106426</v>
      </c>
      <c r="P839">
        <f t="shared" si="127"/>
        <v>4402.5751878139044</v>
      </c>
      <c r="Q839">
        <f t="shared" si="128"/>
        <v>659.52431218609513</v>
      </c>
      <c r="R839">
        <f t="shared" si="129"/>
        <v>0</v>
      </c>
      <c r="S839">
        <f t="shared" si="130"/>
        <v>5062.0994999999994</v>
      </c>
    </row>
    <row r="840" spans="1:19" x14ac:dyDescent="0.3">
      <c r="A840" t="s">
        <v>13</v>
      </c>
      <c r="B840" t="s">
        <v>24</v>
      </c>
      <c r="C840" t="s">
        <v>14</v>
      </c>
      <c r="D840">
        <v>25</v>
      </c>
      <c r="E840">
        <v>8</v>
      </c>
      <c r="F840">
        <v>0</v>
      </c>
      <c r="G840">
        <v>20260307</v>
      </c>
      <c r="H840">
        <v>20260408</v>
      </c>
      <c r="I840">
        <v>61053.618499999997</v>
      </c>
      <c r="J840">
        <f t="shared" si="121"/>
        <v>33</v>
      </c>
      <c r="K840">
        <f t="shared" si="122"/>
        <v>1850.1096515151514</v>
      </c>
      <c r="L840">
        <f t="shared" si="123"/>
        <v>74526.974596227403</v>
      </c>
      <c r="M840">
        <f t="shared" si="124"/>
        <v>14800.877212121211</v>
      </c>
      <c r="N840">
        <f t="shared" si="125"/>
        <v>0</v>
      </c>
      <c r="O840">
        <f t="shared" si="126"/>
        <v>89327.851808348612</v>
      </c>
      <c r="P840">
        <f t="shared" si="127"/>
        <v>50937.545041601472</v>
      </c>
      <c r="Q840">
        <f t="shared" si="128"/>
        <v>10116.073458398523</v>
      </c>
      <c r="R840">
        <f t="shared" si="129"/>
        <v>0</v>
      </c>
      <c r="S840">
        <f t="shared" si="130"/>
        <v>61053.618499999997</v>
      </c>
    </row>
    <row r="841" spans="1:19" x14ac:dyDescent="0.3">
      <c r="A841" t="s">
        <v>13</v>
      </c>
      <c r="B841" t="s">
        <v>24</v>
      </c>
      <c r="C841" t="s">
        <v>15</v>
      </c>
      <c r="D841">
        <v>22</v>
      </c>
      <c r="E841">
        <v>3</v>
      </c>
      <c r="F841">
        <v>0</v>
      </c>
      <c r="G841">
        <v>20260310</v>
      </c>
      <c r="H841">
        <v>20260403</v>
      </c>
      <c r="I841">
        <v>63660.846400000002</v>
      </c>
      <c r="J841">
        <f t="shared" si="121"/>
        <v>25</v>
      </c>
      <c r="K841">
        <f t="shared" si="122"/>
        <v>2546.4338560000001</v>
      </c>
      <c r="L841">
        <f t="shared" si="123"/>
        <v>90267.433503017674</v>
      </c>
      <c r="M841">
        <f t="shared" si="124"/>
        <v>7639.3015680000008</v>
      </c>
      <c r="N841">
        <f t="shared" si="125"/>
        <v>0</v>
      </c>
      <c r="O841">
        <f t="shared" si="126"/>
        <v>97906.735071017669</v>
      </c>
      <c r="P841">
        <f t="shared" si="127"/>
        <v>58693.625264794478</v>
      </c>
      <c r="Q841">
        <f t="shared" si="128"/>
        <v>4967.2211352055283</v>
      </c>
      <c r="R841">
        <f t="shared" si="129"/>
        <v>0</v>
      </c>
      <c r="S841">
        <f t="shared" si="130"/>
        <v>63660.846400000009</v>
      </c>
    </row>
    <row r="842" spans="1:19" x14ac:dyDescent="0.3">
      <c r="A842" t="s">
        <v>13</v>
      </c>
      <c r="B842" t="s">
        <v>33</v>
      </c>
      <c r="C842" t="s">
        <v>15</v>
      </c>
      <c r="D842">
        <v>0</v>
      </c>
      <c r="E842">
        <v>22</v>
      </c>
      <c r="F842">
        <v>6</v>
      </c>
      <c r="G842">
        <v>20260409</v>
      </c>
      <c r="H842">
        <v>20260506</v>
      </c>
      <c r="I842">
        <v>66982.525099999999</v>
      </c>
      <c r="J842">
        <f t="shared" si="121"/>
        <v>28</v>
      </c>
      <c r="K842">
        <f t="shared" si="122"/>
        <v>2392.2330392857143</v>
      </c>
      <c r="L842">
        <f t="shared" si="123"/>
        <v>0</v>
      </c>
      <c r="M842">
        <f t="shared" si="124"/>
        <v>52629.126864285718</v>
      </c>
      <c r="N842">
        <f t="shared" si="125"/>
        <v>10786.51309630299</v>
      </c>
      <c r="O842">
        <f t="shared" si="126"/>
        <v>63415.639960588705</v>
      </c>
      <c r="P842">
        <f t="shared" si="127"/>
        <v>0</v>
      </c>
      <c r="Q842">
        <f t="shared" si="128"/>
        <v>55589.312248034541</v>
      </c>
      <c r="R842">
        <f t="shared" si="129"/>
        <v>11393.212851965462</v>
      </c>
      <c r="S842">
        <f t="shared" si="130"/>
        <v>66982.525099999999</v>
      </c>
    </row>
    <row r="843" spans="1:19" x14ac:dyDescent="0.3">
      <c r="A843" t="s">
        <v>13</v>
      </c>
      <c r="B843" t="s">
        <v>33</v>
      </c>
      <c r="C843" t="s">
        <v>15</v>
      </c>
      <c r="D843">
        <v>0</v>
      </c>
      <c r="E843">
        <v>28</v>
      </c>
      <c r="F843">
        <v>10</v>
      </c>
      <c r="G843">
        <v>20260403</v>
      </c>
      <c r="H843">
        <v>20260510</v>
      </c>
      <c r="I843">
        <v>54493.154499999997</v>
      </c>
      <c r="J843">
        <f t="shared" ref="J843:J906" si="131">IF(D843&lt;0,0,D843)+E843+F843</f>
        <v>38</v>
      </c>
      <c r="K843">
        <f t="shared" ref="K843:K906" si="132">I843/J843</f>
        <v>1434.0303815789473</v>
      </c>
      <c r="L843">
        <f t="shared" ref="L843:L906" si="133">IF(D843&lt;0,0,D843)*$K843*$B$6</f>
        <v>0</v>
      </c>
      <c r="M843">
        <f t="shared" ref="M843:M906" si="134">IF(E843&lt;0,0,E843)*$K843*$C$6</f>
        <v>40152.850684210527</v>
      </c>
      <c r="N843">
        <f t="shared" ref="N843:N906" si="135">IF(F843&lt;0,0,F843)*$K843*$D$6</f>
        <v>10776.672699646535</v>
      </c>
      <c r="O843">
        <f t="shared" ref="O843:O906" si="136">L843+M843+N843</f>
        <v>50929.523383857064</v>
      </c>
      <c r="P843">
        <f t="shared" ref="P843:P906" si="137">L843/$O843*$I843</f>
        <v>0</v>
      </c>
      <c r="Q843">
        <f t="shared" ref="Q843:Q906" si="138">M843/$O843*$I843</f>
        <v>42962.4184671568</v>
      </c>
      <c r="R843">
        <f t="shared" ref="R843:R906" si="139">N843/$O843*$I843</f>
        <v>11530.736032843195</v>
      </c>
      <c r="S843">
        <f t="shared" ref="S843:S906" si="140">P843+Q843+R843</f>
        <v>54493.154499999997</v>
      </c>
    </row>
    <row r="844" spans="1:19" x14ac:dyDescent="0.3">
      <c r="A844" t="s">
        <v>13</v>
      </c>
      <c r="B844" t="s">
        <v>33</v>
      </c>
      <c r="C844" t="s">
        <v>15</v>
      </c>
      <c r="D844">
        <v>0</v>
      </c>
      <c r="E844">
        <v>28</v>
      </c>
      <c r="F844">
        <v>9</v>
      </c>
      <c r="G844">
        <v>20260403</v>
      </c>
      <c r="H844">
        <v>20260509</v>
      </c>
      <c r="I844">
        <v>91191.734500000006</v>
      </c>
      <c r="J844">
        <f t="shared" si="131"/>
        <v>37</v>
      </c>
      <c r="K844">
        <f t="shared" si="132"/>
        <v>2464.6414729729731</v>
      </c>
      <c r="L844">
        <f t="shared" si="133"/>
        <v>0</v>
      </c>
      <c r="M844">
        <f t="shared" si="134"/>
        <v>69009.961243243248</v>
      </c>
      <c r="N844">
        <f t="shared" si="135"/>
        <v>16669.501103779792</v>
      </c>
      <c r="O844">
        <f t="shared" si="136"/>
        <v>85679.462347023044</v>
      </c>
      <c r="P844">
        <f t="shared" si="137"/>
        <v>0</v>
      </c>
      <c r="Q844">
        <f t="shared" si="138"/>
        <v>73449.784711070679</v>
      </c>
      <c r="R844">
        <f t="shared" si="139"/>
        <v>17741.949788929327</v>
      </c>
      <c r="S844">
        <f t="shared" si="140"/>
        <v>91191.734500000006</v>
      </c>
    </row>
    <row r="845" spans="1:19" x14ac:dyDescent="0.3">
      <c r="A845" t="s">
        <v>13</v>
      </c>
      <c r="B845" t="s">
        <v>33</v>
      </c>
      <c r="C845" t="s">
        <v>14</v>
      </c>
      <c r="D845">
        <v>0</v>
      </c>
      <c r="E845">
        <v>25</v>
      </c>
      <c r="F845">
        <v>6</v>
      </c>
      <c r="G845">
        <v>20260406</v>
      </c>
      <c r="H845">
        <v>20260506</v>
      </c>
      <c r="I845">
        <v>9366.0074999999997</v>
      </c>
      <c r="J845">
        <f t="shared" si="131"/>
        <v>31</v>
      </c>
      <c r="K845">
        <f t="shared" si="132"/>
        <v>302.12927419354838</v>
      </c>
      <c r="L845">
        <f t="shared" si="133"/>
        <v>0</v>
      </c>
      <c r="M845">
        <f t="shared" si="134"/>
        <v>7553.2318548387093</v>
      </c>
      <c r="N845">
        <f t="shared" si="135"/>
        <v>1362.2926024959061</v>
      </c>
      <c r="O845">
        <f t="shared" si="136"/>
        <v>8915.5244573346154</v>
      </c>
      <c r="P845">
        <f t="shared" si="137"/>
        <v>0</v>
      </c>
      <c r="Q845">
        <f t="shared" si="138"/>
        <v>7934.8810650683545</v>
      </c>
      <c r="R845">
        <f t="shared" si="139"/>
        <v>1431.1264349316446</v>
      </c>
      <c r="S845">
        <f t="shared" si="140"/>
        <v>9366.0074999999997</v>
      </c>
    </row>
    <row r="846" spans="1:19" x14ac:dyDescent="0.3">
      <c r="A846" t="s">
        <v>13</v>
      </c>
      <c r="B846" t="s">
        <v>33</v>
      </c>
      <c r="C846" t="s">
        <v>14</v>
      </c>
      <c r="D846">
        <v>0</v>
      </c>
      <c r="E846">
        <v>14</v>
      </c>
      <c r="F846">
        <v>19</v>
      </c>
      <c r="G846">
        <v>20260417</v>
      </c>
      <c r="H846">
        <v>20260519</v>
      </c>
      <c r="I846">
        <v>4525.2182000000003</v>
      </c>
      <c r="J846">
        <f t="shared" si="131"/>
        <v>33</v>
      </c>
      <c r="K846">
        <f t="shared" si="132"/>
        <v>137.12782424242425</v>
      </c>
      <c r="L846">
        <f t="shared" si="133"/>
        <v>0</v>
      </c>
      <c r="M846">
        <f t="shared" si="134"/>
        <v>1919.7895393939395</v>
      </c>
      <c r="N846">
        <f t="shared" si="135"/>
        <v>1957.9677166054666</v>
      </c>
      <c r="O846">
        <f t="shared" si="136"/>
        <v>3877.757255999406</v>
      </c>
      <c r="P846">
        <f t="shared" si="137"/>
        <v>0</v>
      </c>
      <c r="Q846">
        <f t="shared" si="138"/>
        <v>2240.3327465623092</v>
      </c>
      <c r="R846">
        <f t="shared" si="139"/>
        <v>2284.885453437691</v>
      </c>
      <c r="S846">
        <f t="shared" si="140"/>
        <v>4525.2182000000003</v>
      </c>
    </row>
    <row r="847" spans="1:19" x14ac:dyDescent="0.3">
      <c r="A847" t="s">
        <v>13</v>
      </c>
      <c r="B847" t="s">
        <v>24</v>
      </c>
      <c r="C847" t="s">
        <v>14</v>
      </c>
      <c r="D847">
        <v>24</v>
      </c>
      <c r="E847">
        <v>3</v>
      </c>
      <c r="F847">
        <v>0</v>
      </c>
      <c r="G847">
        <v>20260308</v>
      </c>
      <c r="H847">
        <v>20260403</v>
      </c>
      <c r="I847">
        <v>786.44380000000001</v>
      </c>
      <c r="J847">
        <f t="shared" si="131"/>
        <v>27</v>
      </c>
      <c r="K847">
        <f t="shared" si="132"/>
        <v>29.127548148148147</v>
      </c>
      <c r="L847">
        <f t="shared" si="133"/>
        <v>1126.396220648473</v>
      </c>
      <c r="M847">
        <f t="shared" si="134"/>
        <v>87.382644444444438</v>
      </c>
      <c r="N847">
        <f t="shared" si="135"/>
        <v>0</v>
      </c>
      <c r="O847">
        <f t="shared" si="136"/>
        <v>1213.7788650929174</v>
      </c>
      <c r="P847">
        <f t="shared" si="137"/>
        <v>729.82595886987212</v>
      </c>
      <c r="Q847">
        <f t="shared" si="138"/>
        <v>56.617841130127928</v>
      </c>
      <c r="R847">
        <f t="shared" si="139"/>
        <v>0</v>
      </c>
      <c r="S847">
        <f t="shared" si="140"/>
        <v>786.44380000000001</v>
      </c>
    </row>
    <row r="848" spans="1:19" x14ac:dyDescent="0.3">
      <c r="A848" t="s">
        <v>13</v>
      </c>
      <c r="B848" t="s">
        <v>33</v>
      </c>
      <c r="C848" t="s">
        <v>14</v>
      </c>
      <c r="D848">
        <v>0</v>
      </c>
      <c r="E848">
        <v>22</v>
      </c>
      <c r="F848">
        <v>1</v>
      </c>
      <c r="G848">
        <v>20260409</v>
      </c>
      <c r="H848">
        <v>20260501</v>
      </c>
      <c r="I848">
        <v>9033.5691999999999</v>
      </c>
      <c r="J848">
        <f t="shared" si="131"/>
        <v>23</v>
      </c>
      <c r="K848">
        <f t="shared" si="132"/>
        <v>392.76387826086955</v>
      </c>
      <c r="L848">
        <f t="shared" si="133"/>
        <v>0</v>
      </c>
      <c r="M848">
        <f t="shared" si="134"/>
        <v>8640.8053217391298</v>
      </c>
      <c r="N848">
        <f t="shared" si="135"/>
        <v>295.16025731622108</v>
      </c>
      <c r="O848">
        <f t="shared" si="136"/>
        <v>8935.9655790553516</v>
      </c>
      <c r="P848">
        <f t="shared" si="137"/>
        <v>0</v>
      </c>
      <c r="Q848">
        <f t="shared" si="138"/>
        <v>8735.1850370388711</v>
      </c>
      <c r="R848">
        <f t="shared" si="139"/>
        <v>298.38416296112877</v>
      </c>
      <c r="S848">
        <f t="shared" si="140"/>
        <v>9033.5691999999999</v>
      </c>
    </row>
    <row r="849" spans="1:19" x14ac:dyDescent="0.3">
      <c r="A849" t="s">
        <v>13</v>
      </c>
      <c r="B849" t="s">
        <v>33</v>
      </c>
      <c r="C849" t="s">
        <v>14</v>
      </c>
      <c r="D849">
        <v>0</v>
      </c>
      <c r="E849">
        <v>24</v>
      </c>
      <c r="F849">
        <v>3</v>
      </c>
      <c r="G849">
        <v>20260407</v>
      </c>
      <c r="H849">
        <v>20260503</v>
      </c>
      <c r="I849">
        <v>2785.4018000000001</v>
      </c>
      <c r="J849">
        <f t="shared" si="131"/>
        <v>27</v>
      </c>
      <c r="K849">
        <f t="shared" si="132"/>
        <v>103.16302962962963</v>
      </c>
      <c r="L849">
        <f t="shared" si="133"/>
        <v>0</v>
      </c>
      <c r="M849">
        <f t="shared" si="134"/>
        <v>2475.9127111111111</v>
      </c>
      <c r="N849">
        <f t="shared" si="135"/>
        <v>232.57963414938664</v>
      </c>
      <c r="O849">
        <f t="shared" si="136"/>
        <v>2708.4923452604976</v>
      </c>
      <c r="P849">
        <f t="shared" si="137"/>
        <v>0</v>
      </c>
      <c r="Q849">
        <f t="shared" si="138"/>
        <v>2546.2179113186621</v>
      </c>
      <c r="R849">
        <f t="shared" si="139"/>
        <v>239.183888681338</v>
      </c>
      <c r="S849">
        <f t="shared" si="140"/>
        <v>2785.4018000000001</v>
      </c>
    </row>
    <row r="850" spans="1:19" x14ac:dyDescent="0.3">
      <c r="A850" t="s">
        <v>13</v>
      </c>
      <c r="B850" t="s">
        <v>33</v>
      </c>
      <c r="C850" t="s">
        <v>15</v>
      </c>
      <c r="D850">
        <v>0</v>
      </c>
      <c r="E850">
        <v>27</v>
      </c>
      <c r="F850">
        <v>11</v>
      </c>
      <c r="G850">
        <v>20260404</v>
      </c>
      <c r="H850">
        <v>20260511</v>
      </c>
      <c r="I850">
        <v>15776.9213</v>
      </c>
      <c r="J850">
        <f t="shared" si="131"/>
        <v>38</v>
      </c>
      <c r="K850">
        <f t="shared" si="132"/>
        <v>415.18213947368423</v>
      </c>
      <c r="L850">
        <f t="shared" si="133"/>
        <v>0</v>
      </c>
      <c r="M850">
        <f t="shared" si="134"/>
        <v>11209.917765789474</v>
      </c>
      <c r="N850">
        <f t="shared" si="135"/>
        <v>3432.0822584055054</v>
      </c>
      <c r="O850">
        <f t="shared" si="136"/>
        <v>14642.00002419498</v>
      </c>
      <c r="P850">
        <f t="shared" si="137"/>
        <v>0</v>
      </c>
      <c r="Q850">
        <f t="shared" si="138"/>
        <v>12078.813691987823</v>
      </c>
      <c r="R850">
        <f t="shared" si="139"/>
        <v>3698.1076080121757</v>
      </c>
      <c r="S850">
        <f t="shared" si="140"/>
        <v>15776.921299999998</v>
      </c>
    </row>
    <row r="851" spans="1:19" x14ac:dyDescent="0.3">
      <c r="A851" t="s">
        <v>13</v>
      </c>
      <c r="B851" t="s">
        <v>33</v>
      </c>
      <c r="C851" t="s">
        <v>15</v>
      </c>
      <c r="D851">
        <v>0</v>
      </c>
      <c r="E851">
        <v>28</v>
      </c>
      <c r="F851">
        <v>13</v>
      </c>
      <c r="G851">
        <v>20260403</v>
      </c>
      <c r="H851">
        <v>20260513</v>
      </c>
      <c r="I851">
        <v>10037.2718</v>
      </c>
      <c r="J851">
        <f t="shared" si="131"/>
        <v>41</v>
      </c>
      <c r="K851">
        <f t="shared" si="132"/>
        <v>244.81150731707319</v>
      </c>
      <c r="L851">
        <f t="shared" si="133"/>
        <v>0</v>
      </c>
      <c r="M851">
        <f t="shared" si="134"/>
        <v>6854.7222048780495</v>
      </c>
      <c r="N851">
        <f t="shared" si="135"/>
        <v>2391.6714581220126</v>
      </c>
      <c r="O851">
        <f t="shared" si="136"/>
        <v>9246.3936630000626</v>
      </c>
      <c r="P851">
        <f t="shared" si="137"/>
        <v>0</v>
      </c>
      <c r="Q851">
        <f t="shared" si="138"/>
        <v>7441.0318651231537</v>
      </c>
      <c r="R851">
        <f t="shared" si="139"/>
        <v>2596.2399348768454</v>
      </c>
      <c r="S851">
        <f t="shared" si="140"/>
        <v>10037.271799999999</v>
      </c>
    </row>
    <row r="852" spans="1:19" x14ac:dyDescent="0.3">
      <c r="A852" t="s">
        <v>13</v>
      </c>
      <c r="B852" t="s">
        <v>33</v>
      </c>
      <c r="C852" t="s">
        <v>15</v>
      </c>
      <c r="D852">
        <v>31</v>
      </c>
      <c r="E852">
        <v>2</v>
      </c>
      <c r="F852">
        <v>0</v>
      </c>
      <c r="G852">
        <v>20260225</v>
      </c>
      <c r="H852">
        <v>20260402</v>
      </c>
      <c r="I852">
        <v>219.13810000000001</v>
      </c>
      <c r="J852">
        <f t="shared" si="131"/>
        <v>33</v>
      </c>
      <c r="K852">
        <f t="shared" si="132"/>
        <v>6.6405484848484848</v>
      </c>
      <c r="L852">
        <f t="shared" si="133"/>
        <v>331.69708882347845</v>
      </c>
      <c r="M852">
        <f t="shared" si="134"/>
        <v>13.28109696969697</v>
      </c>
      <c r="N852">
        <f t="shared" si="135"/>
        <v>0</v>
      </c>
      <c r="O852">
        <f t="shared" si="136"/>
        <v>344.97818579317544</v>
      </c>
      <c r="P852">
        <f t="shared" si="137"/>
        <v>210.70164089704667</v>
      </c>
      <c r="Q852">
        <f t="shared" si="138"/>
        <v>8.4364591029533056</v>
      </c>
      <c r="R852">
        <f t="shared" si="139"/>
        <v>0</v>
      </c>
      <c r="S852">
        <f t="shared" si="140"/>
        <v>219.13809999999998</v>
      </c>
    </row>
    <row r="853" spans="1:19" x14ac:dyDescent="0.3">
      <c r="A853" t="s">
        <v>13</v>
      </c>
      <c r="B853" t="s">
        <v>24</v>
      </c>
      <c r="C853" t="s">
        <v>15</v>
      </c>
      <c r="D853">
        <v>31</v>
      </c>
      <c r="E853">
        <v>2</v>
      </c>
      <c r="F853">
        <v>0</v>
      </c>
      <c r="G853">
        <v>20260225</v>
      </c>
      <c r="H853">
        <v>20260402</v>
      </c>
      <c r="I853">
        <v>3834.9168</v>
      </c>
      <c r="J853">
        <f t="shared" si="131"/>
        <v>33</v>
      </c>
      <c r="K853">
        <f t="shared" si="132"/>
        <v>116.20959999999999</v>
      </c>
      <c r="L853">
        <f t="shared" si="133"/>
        <v>5804.6991300930777</v>
      </c>
      <c r="M853">
        <f t="shared" si="134"/>
        <v>232.41919999999999</v>
      </c>
      <c r="N853">
        <f t="shared" si="135"/>
        <v>0</v>
      </c>
      <c r="O853">
        <f t="shared" si="136"/>
        <v>6037.1183300930779</v>
      </c>
      <c r="P853">
        <f t="shared" si="137"/>
        <v>3687.2787637733986</v>
      </c>
      <c r="Q853">
        <f t="shared" si="138"/>
        <v>147.6380362266012</v>
      </c>
      <c r="R853">
        <f t="shared" si="139"/>
        <v>0</v>
      </c>
      <c r="S853">
        <f t="shared" si="140"/>
        <v>3834.9168</v>
      </c>
    </row>
    <row r="854" spans="1:19" x14ac:dyDescent="0.3">
      <c r="A854" t="s">
        <v>13</v>
      </c>
      <c r="B854" t="s">
        <v>24</v>
      </c>
      <c r="C854" t="s">
        <v>15</v>
      </c>
      <c r="D854">
        <v>26</v>
      </c>
      <c r="E854">
        <v>14</v>
      </c>
      <c r="F854">
        <v>0</v>
      </c>
      <c r="G854">
        <v>20260306</v>
      </c>
      <c r="H854">
        <v>20260414</v>
      </c>
      <c r="I854">
        <v>10738.986800000001</v>
      </c>
      <c r="J854">
        <f t="shared" si="131"/>
        <v>40</v>
      </c>
      <c r="K854">
        <f t="shared" si="132"/>
        <v>268.47467</v>
      </c>
      <c r="L854">
        <f t="shared" si="133"/>
        <v>11247.413952038907</v>
      </c>
      <c r="M854">
        <f t="shared" si="134"/>
        <v>3758.6453799999999</v>
      </c>
      <c r="N854">
        <f t="shared" si="135"/>
        <v>0</v>
      </c>
      <c r="O854">
        <f t="shared" si="136"/>
        <v>15006.059332038907</v>
      </c>
      <c r="P854">
        <f t="shared" si="137"/>
        <v>8049.1371713555809</v>
      </c>
      <c r="Q854">
        <f t="shared" si="138"/>
        <v>2689.8496286444197</v>
      </c>
      <c r="R854">
        <f t="shared" si="139"/>
        <v>0</v>
      </c>
      <c r="S854">
        <f t="shared" si="140"/>
        <v>10738.986800000001</v>
      </c>
    </row>
    <row r="855" spans="1:19" x14ac:dyDescent="0.3">
      <c r="A855" t="s">
        <v>13</v>
      </c>
      <c r="B855" t="s">
        <v>33</v>
      </c>
      <c r="C855" t="s">
        <v>15</v>
      </c>
      <c r="D855">
        <v>0</v>
      </c>
      <c r="E855">
        <v>22</v>
      </c>
      <c r="F855">
        <v>0</v>
      </c>
      <c r="G855">
        <v>20260403</v>
      </c>
      <c r="H855">
        <v>20260424</v>
      </c>
      <c r="I855">
        <v>1813.3291999999999</v>
      </c>
      <c r="J855">
        <f t="shared" si="131"/>
        <v>22</v>
      </c>
      <c r="K855">
        <f t="shared" si="132"/>
        <v>82.424054545454538</v>
      </c>
      <c r="L855">
        <f t="shared" si="133"/>
        <v>0</v>
      </c>
      <c r="M855">
        <f t="shared" si="134"/>
        <v>1813.3291999999999</v>
      </c>
      <c r="N855">
        <f t="shared" si="135"/>
        <v>0</v>
      </c>
      <c r="O855">
        <f t="shared" si="136"/>
        <v>1813.3291999999999</v>
      </c>
      <c r="P855">
        <f t="shared" si="137"/>
        <v>0</v>
      </c>
      <c r="Q855">
        <f t="shared" si="138"/>
        <v>1813.3291999999999</v>
      </c>
      <c r="R855">
        <f t="shared" si="139"/>
        <v>0</v>
      </c>
      <c r="S855">
        <f t="shared" si="140"/>
        <v>1813.3291999999999</v>
      </c>
    </row>
    <row r="856" spans="1:19" x14ac:dyDescent="0.3">
      <c r="A856" t="s">
        <v>13</v>
      </c>
      <c r="B856" t="s">
        <v>24</v>
      </c>
      <c r="C856" t="s">
        <v>14</v>
      </c>
      <c r="D856">
        <v>24</v>
      </c>
      <c r="E856">
        <v>5</v>
      </c>
      <c r="F856">
        <v>0</v>
      </c>
      <c r="G856">
        <v>20260308</v>
      </c>
      <c r="H856">
        <v>20260405</v>
      </c>
      <c r="I856">
        <v>4497.2057999999997</v>
      </c>
      <c r="J856">
        <f t="shared" si="131"/>
        <v>29</v>
      </c>
      <c r="K856">
        <f t="shared" si="132"/>
        <v>155.07606206896551</v>
      </c>
      <c r="L856">
        <f t="shared" si="133"/>
        <v>5996.9719847029528</v>
      </c>
      <c r="M856">
        <f t="shared" si="134"/>
        <v>775.38031034482754</v>
      </c>
      <c r="N856">
        <f t="shared" si="135"/>
        <v>0</v>
      </c>
      <c r="O856">
        <f t="shared" si="136"/>
        <v>6772.35229504778</v>
      </c>
      <c r="P856">
        <f t="shared" si="137"/>
        <v>3982.3116130218023</v>
      </c>
      <c r="Q856">
        <f t="shared" si="138"/>
        <v>514.89418697819769</v>
      </c>
      <c r="R856">
        <f t="shared" si="139"/>
        <v>0</v>
      </c>
      <c r="S856">
        <f t="shared" si="140"/>
        <v>4497.2057999999997</v>
      </c>
    </row>
    <row r="857" spans="1:19" x14ac:dyDescent="0.3">
      <c r="A857" t="s">
        <v>13</v>
      </c>
      <c r="B857" t="s">
        <v>24</v>
      </c>
      <c r="C857" t="s">
        <v>15</v>
      </c>
      <c r="D857">
        <v>27</v>
      </c>
      <c r="E857">
        <v>11</v>
      </c>
      <c r="F857">
        <v>0</v>
      </c>
      <c r="G857">
        <v>20260305</v>
      </c>
      <c r="H857">
        <v>20260411</v>
      </c>
      <c r="I857">
        <v>658.94349999999997</v>
      </c>
      <c r="J857">
        <f t="shared" si="131"/>
        <v>38</v>
      </c>
      <c r="K857">
        <f t="shared" si="132"/>
        <v>17.340618421052632</v>
      </c>
      <c r="L857">
        <f t="shared" si="133"/>
        <v>754.40465579405952</v>
      </c>
      <c r="M857">
        <f t="shared" si="134"/>
        <v>190.74680263157896</v>
      </c>
      <c r="N857">
        <f t="shared" si="135"/>
        <v>0</v>
      </c>
      <c r="O857">
        <f t="shared" si="136"/>
        <v>945.15145842563845</v>
      </c>
      <c r="P857">
        <f t="shared" si="137"/>
        <v>525.95807780192285</v>
      </c>
      <c r="Q857">
        <f t="shared" si="138"/>
        <v>132.98542219807712</v>
      </c>
      <c r="R857">
        <f t="shared" si="139"/>
        <v>0</v>
      </c>
      <c r="S857">
        <f t="shared" si="140"/>
        <v>658.94349999999997</v>
      </c>
    </row>
    <row r="858" spans="1:19" x14ac:dyDescent="0.3">
      <c r="A858" t="s">
        <v>13</v>
      </c>
      <c r="B858" t="s">
        <v>33</v>
      </c>
      <c r="C858" t="s">
        <v>14</v>
      </c>
      <c r="D858">
        <v>22</v>
      </c>
      <c r="E858">
        <v>8</v>
      </c>
      <c r="F858">
        <v>0</v>
      </c>
      <c r="G858">
        <v>20260310</v>
      </c>
      <c r="H858">
        <v>20260408</v>
      </c>
      <c r="I858">
        <v>527.63210000000004</v>
      </c>
      <c r="J858">
        <f t="shared" si="131"/>
        <v>30</v>
      </c>
      <c r="K858">
        <f t="shared" si="132"/>
        <v>17.587736666666668</v>
      </c>
      <c r="L858">
        <f t="shared" si="133"/>
        <v>623.4600778206584</v>
      </c>
      <c r="M858">
        <f t="shared" si="134"/>
        <v>140.70189333333335</v>
      </c>
      <c r="N858">
        <f t="shared" si="135"/>
        <v>0</v>
      </c>
      <c r="O858">
        <f t="shared" si="136"/>
        <v>764.16197115399177</v>
      </c>
      <c r="P858">
        <f t="shared" si="137"/>
        <v>430.48144574625371</v>
      </c>
      <c r="Q858">
        <f t="shared" si="138"/>
        <v>97.150654253746268</v>
      </c>
      <c r="R858">
        <f t="shared" si="139"/>
        <v>0</v>
      </c>
      <c r="S858">
        <f t="shared" si="140"/>
        <v>527.63210000000004</v>
      </c>
    </row>
    <row r="859" spans="1:19" x14ac:dyDescent="0.3">
      <c r="A859" t="s">
        <v>13</v>
      </c>
      <c r="B859" t="s">
        <v>33</v>
      </c>
      <c r="C859" t="s">
        <v>15</v>
      </c>
      <c r="D859">
        <v>0</v>
      </c>
      <c r="E859">
        <v>19</v>
      </c>
      <c r="F859">
        <v>0</v>
      </c>
      <c r="G859">
        <v>20260405</v>
      </c>
      <c r="H859">
        <v>20260423</v>
      </c>
      <c r="I859">
        <v>1265.7655999999999</v>
      </c>
      <c r="J859">
        <f t="shared" si="131"/>
        <v>19</v>
      </c>
      <c r="K859">
        <f t="shared" si="132"/>
        <v>66.619242105263154</v>
      </c>
      <c r="L859">
        <f t="shared" si="133"/>
        <v>0</v>
      </c>
      <c r="M859">
        <f t="shared" si="134"/>
        <v>1265.7655999999999</v>
      </c>
      <c r="N859">
        <f t="shared" si="135"/>
        <v>0</v>
      </c>
      <c r="O859">
        <f t="shared" si="136"/>
        <v>1265.7655999999999</v>
      </c>
      <c r="P859">
        <f t="shared" si="137"/>
        <v>0</v>
      </c>
      <c r="Q859">
        <f t="shared" si="138"/>
        <v>1265.7655999999999</v>
      </c>
      <c r="R859">
        <f t="shared" si="139"/>
        <v>0</v>
      </c>
      <c r="S859">
        <f t="shared" si="140"/>
        <v>1265.7655999999999</v>
      </c>
    </row>
    <row r="860" spans="1:19" x14ac:dyDescent="0.3">
      <c r="A860" t="s">
        <v>13</v>
      </c>
      <c r="B860" t="s">
        <v>33</v>
      </c>
      <c r="C860" t="s">
        <v>15</v>
      </c>
      <c r="D860">
        <v>27</v>
      </c>
      <c r="E860">
        <v>9</v>
      </c>
      <c r="F860">
        <v>0</v>
      </c>
      <c r="G860">
        <v>20260305</v>
      </c>
      <c r="H860">
        <v>20260409</v>
      </c>
      <c r="I860">
        <v>7355.9839000000002</v>
      </c>
      <c r="J860">
        <f t="shared" si="131"/>
        <v>36</v>
      </c>
      <c r="K860">
        <f t="shared" si="132"/>
        <v>204.33288611111112</v>
      </c>
      <c r="L860">
        <f t="shared" si="133"/>
        <v>8889.5145992551152</v>
      </c>
      <c r="M860">
        <f t="shared" si="134"/>
        <v>1838.995975</v>
      </c>
      <c r="N860">
        <f t="shared" si="135"/>
        <v>0</v>
      </c>
      <c r="O860">
        <f t="shared" si="136"/>
        <v>10728.510574255115</v>
      </c>
      <c r="P860">
        <f t="shared" si="137"/>
        <v>6095.0796308904892</v>
      </c>
      <c r="Q860">
        <f t="shared" si="138"/>
        <v>1260.9042691095108</v>
      </c>
      <c r="R860">
        <f t="shared" si="139"/>
        <v>0</v>
      </c>
      <c r="S860">
        <f t="shared" si="140"/>
        <v>7355.9839000000002</v>
      </c>
    </row>
    <row r="861" spans="1:19" x14ac:dyDescent="0.3">
      <c r="A861" t="s">
        <v>13</v>
      </c>
      <c r="B861" t="s">
        <v>33</v>
      </c>
      <c r="C861" t="s">
        <v>15</v>
      </c>
      <c r="D861">
        <v>0</v>
      </c>
      <c r="E861">
        <v>23</v>
      </c>
      <c r="F861">
        <v>0</v>
      </c>
      <c r="G861">
        <v>20260407</v>
      </c>
      <c r="H861">
        <v>20260429</v>
      </c>
      <c r="I861">
        <v>717.46879999999999</v>
      </c>
      <c r="J861">
        <f t="shared" si="131"/>
        <v>23</v>
      </c>
      <c r="K861">
        <f t="shared" si="132"/>
        <v>31.194295652173913</v>
      </c>
      <c r="L861">
        <f t="shared" si="133"/>
        <v>0</v>
      </c>
      <c r="M861">
        <f t="shared" si="134"/>
        <v>717.46879999999999</v>
      </c>
      <c r="N861">
        <f t="shared" si="135"/>
        <v>0</v>
      </c>
      <c r="O861">
        <f t="shared" si="136"/>
        <v>717.46879999999999</v>
      </c>
      <c r="P861">
        <f t="shared" si="137"/>
        <v>0</v>
      </c>
      <c r="Q861">
        <f t="shared" si="138"/>
        <v>717.46879999999999</v>
      </c>
      <c r="R861">
        <f t="shared" si="139"/>
        <v>0</v>
      </c>
      <c r="S861">
        <f t="shared" si="140"/>
        <v>717.46879999999999</v>
      </c>
    </row>
    <row r="862" spans="1:19" x14ac:dyDescent="0.3">
      <c r="A862" t="s">
        <v>13</v>
      </c>
      <c r="B862" t="s">
        <v>24</v>
      </c>
      <c r="C862" t="s">
        <v>15</v>
      </c>
      <c r="D862">
        <v>15</v>
      </c>
      <c r="E862">
        <v>7</v>
      </c>
      <c r="F862">
        <v>0</v>
      </c>
      <c r="G862">
        <v>20260317</v>
      </c>
      <c r="H862">
        <v>20260407</v>
      </c>
      <c r="I862">
        <v>13123.608399999999</v>
      </c>
      <c r="J862">
        <f t="shared" si="131"/>
        <v>22</v>
      </c>
      <c r="K862">
        <f t="shared" si="132"/>
        <v>596.52765454545454</v>
      </c>
      <c r="L862">
        <f t="shared" si="133"/>
        <v>14417.762099618598</v>
      </c>
      <c r="M862">
        <f t="shared" si="134"/>
        <v>4175.6935818181819</v>
      </c>
      <c r="N862">
        <f t="shared" si="135"/>
        <v>0</v>
      </c>
      <c r="O862">
        <f t="shared" si="136"/>
        <v>18593.455681436779</v>
      </c>
      <c r="P862">
        <f t="shared" si="137"/>
        <v>10176.325855804289</v>
      </c>
      <c r="Q862">
        <f t="shared" si="138"/>
        <v>2947.2825441957102</v>
      </c>
      <c r="R862">
        <f t="shared" si="139"/>
        <v>0</v>
      </c>
      <c r="S862">
        <f t="shared" si="140"/>
        <v>13123.608399999999</v>
      </c>
    </row>
    <row r="863" spans="1:19" x14ac:dyDescent="0.3">
      <c r="A863" t="s">
        <v>13</v>
      </c>
      <c r="B863" t="s">
        <v>33</v>
      </c>
      <c r="C863" t="s">
        <v>15</v>
      </c>
      <c r="D863">
        <v>0</v>
      </c>
      <c r="E863">
        <v>15</v>
      </c>
      <c r="F863">
        <v>0</v>
      </c>
      <c r="G863">
        <v>20260407</v>
      </c>
      <c r="H863">
        <v>20260421</v>
      </c>
      <c r="I863">
        <v>3376.7188999999998</v>
      </c>
      <c r="J863">
        <f t="shared" si="131"/>
        <v>15</v>
      </c>
      <c r="K863">
        <f t="shared" si="132"/>
        <v>225.11459333333332</v>
      </c>
      <c r="L863">
        <f t="shared" si="133"/>
        <v>0</v>
      </c>
      <c r="M863">
        <f t="shared" si="134"/>
        <v>3376.7188999999998</v>
      </c>
      <c r="N863">
        <f t="shared" si="135"/>
        <v>0</v>
      </c>
      <c r="O863">
        <f t="shared" si="136"/>
        <v>3376.7188999999998</v>
      </c>
      <c r="P863">
        <f t="shared" si="137"/>
        <v>0</v>
      </c>
      <c r="Q863">
        <f t="shared" si="138"/>
        <v>3376.7188999999998</v>
      </c>
      <c r="R863">
        <f t="shared" si="139"/>
        <v>0</v>
      </c>
      <c r="S863">
        <f t="shared" si="140"/>
        <v>3376.7188999999998</v>
      </c>
    </row>
    <row r="864" spans="1:19" x14ac:dyDescent="0.3">
      <c r="A864" t="s">
        <v>13</v>
      </c>
      <c r="B864" t="s">
        <v>33</v>
      </c>
      <c r="C864" t="s">
        <v>14</v>
      </c>
      <c r="D864">
        <v>0</v>
      </c>
      <c r="E864">
        <v>14</v>
      </c>
      <c r="F864">
        <v>0</v>
      </c>
      <c r="G864">
        <v>20260417</v>
      </c>
      <c r="H864">
        <v>20260430</v>
      </c>
      <c r="I864">
        <v>4663452.0948000001</v>
      </c>
      <c r="J864">
        <f t="shared" si="131"/>
        <v>14</v>
      </c>
      <c r="K864">
        <f t="shared" si="132"/>
        <v>333103.72105714289</v>
      </c>
      <c r="L864">
        <f t="shared" si="133"/>
        <v>0</v>
      </c>
      <c r="M864">
        <f t="shared" si="134"/>
        <v>4663452.0948000001</v>
      </c>
      <c r="N864">
        <f t="shared" si="135"/>
        <v>0</v>
      </c>
      <c r="O864">
        <f t="shared" si="136"/>
        <v>4663452.0948000001</v>
      </c>
      <c r="P864">
        <f t="shared" si="137"/>
        <v>0</v>
      </c>
      <c r="Q864">
        <f t="shared" si="138"/>
        <v>4663452.0948000001</v>
      </c>
      <c r="R864">
        <f t="shared" si="139"/>
        <v>0</v>
      </c>
      <c r="S864">
        <f t="shared" si="140"/>
        <v>4663452.0948000001</v>
      </c>
    </row>
    <row r="865" spans="1:19" x14ac:dyDescent="0.3">
      <c r="A865" t="s">
        <v>13</v>
      </c>
      <c r="B865" t="s">
        <v>33</v>
      </c>
      <c r="C865" t="s">
        <v>15</v>
      </c>
      <c r="D865">
        <v>0</v>
      </c>
      <c r="E865">
        <v>11</v>
      </c>
      <c r="F865">
        <v>0</v>
      </c>
      <c r="G865">
        <v>20260407</v>
      </c>
      <c r="H865">
        <v>20260417</v>
      </c>
      <c r="I865">
        <v>42.177399999999999</v>
      </c>
      <c r="J865">
        <f t="shared" si="131"/>
        <v>11</v>
      </c>
      <c r="K865">
        <f t="shared" si="132"/>
        <v>3.8343090909090907</v>
      </c>
      <c r="L865">
        <f t="shared" si="133"/>
        <v>0</v>
      </c>
      <c r="M865">
        <f t="shared" si="134"/>
        <v>42.177399999999999</v>
      </c>
      <c r="N865">
        <f t="shared" si="135"/>
        <v>0</v>
      </c>
      <c r="O865">
        <f t="shared" si="136"/>
        <v>42.177399999999999</v>
      </c>
      <c r="P865">
        <f t="shared" si="137"/>
        <v>0</v>
      </c>
      <c r="Q865">
        <f t="shared" si="138"/>
        <v>42.177399999999999</v>
      </c>
      <c r="R865">
        <f t="shared" si="139"/>
        <v>0</v>
      </c>
      <c r="S865">
        <f t="shared" si="140"/>
        <v>42.177399999999999</v>
      </c>
    </row>
    <row r="866" spans="1:19" x14ac:dyDescent="0.3">
      <c r="A866" t="s">
        <v>13</v>
      </c>
      <c r="B866" t="s">
        <v>24</v>
      </c>
      <c r="C866" t="s">
        <v>15</v>
      </c>
      <c r="D866">
        <v>27</v>
      </c>
      <c r="E866">
        <v>14</v>
      </c>
      <c r="F866">
        <v>0</v>
      </c>
      <c r="G866">
        <v>20260305</v>
      </c>
      <c r="H866">
        <v>20260414</v>
      </c>
      <c r="I866">
        <v>3609.1019000000001</v>
      </c>
      <c r="J866">
        <f t="shared" si="131"/>
        <v>41</v>
      </c>
      <c r="K866">
        <f t="shared" si="132"/>
        <v>88.026875609756104</v>
      </c>
      <c r="L866">
        <f t="shared" si="133"/>
        <v>3829.6145605961256</v>
      </c>
      <c r="M866">
        <f t="shared" si="134"/>
        <v>1232.3762585365855</v>
      </c>
      <c r="N866">
        <f t="shared" si="135"/>
        <v>0</v>
      </c>
      <c r="O866">
        <f t="shared" si="136"/>
        <v>5061.9908191327113</v>
      </c>
      <c r="P866">
        <f t="shared" si="137"/>
        <v>2730.4413778615312</v>
      </c>
      <c r="Q866">
        <f t="shared" si="138"/>
        <v>878.66052213846854</v>
      </c>
      <c r="R866">
        <f t="shared" si="139"/>
        <v>0</v>
      </c>
      <c r="S866">
        <f t="shared" si="140"/>
        <v>3609.1018999999997</v>
      </c>
    </row>
    <row r="867" spans="1:19" x14ac:dyDescent="0.3">
      <c r="A867" t="s">
        <v>13</v>
      </c>
      <c r="B867" t="s">
        <v>33</v>
      </c>
      <c r="C867" t="s">
        <v>15</v>
      </c>
      <c r="D867">
        <v>0</v>
      </c>
      <c r="E867">
        <v>25</v>
      </c>
      <c r="F867">
        <v>0</v>
      </c>
      <c r="G867">
        <v>20260404</v>
      </c>
      <c r="H867">
        <v>20260428</v>
      </c>
      <c r="I867">
        <v>14972.262699999999</v>
      </c>
      <c r="J867">
        <f t="shared" si="131"/>
        <v>25</v>
      </c>
      <c r="K867">
        <f t="shared" si="132"/>
        <v>598.89050799999995</v>
      </c>
      <c r="L867">
        <f t="shared" si="133"/>
        <v>0</v>
      </c>
      <c r="M867">
        <f t="shared" si="134"/>
        <v>14972.262699999999</v>
      </c>
      <c r="N867">
        <f t="shared" si="135"/>
        <v>0</v>
      </c>
      <c r="O867">
        <f t="shared" si="136"/>
        <v>14972.262699999999</v>
      </c>
      <c r="P867">
        <f t="shared" si="137"/>
        <v>0</v>
      </c>
      <c r="Q867">
        <f t="shared" si="138"/>
        <v>14972.262699999999</v>
      </c>
      <c r="R867">
        <f t="shared" si="139"/>
        <v>0</v>
      </c>
      <c r="S867">
        <f t="shared" si="140"/>
        <v>14972.262699999999</v>
      </c>
    </row>
    <row r="868" spans="1:19" x14ac:dyDescent="0.3">
      <c r="A868" t="s">
        <v>13</v>
      </c>
      <c r="B868" t="s">
        <v>33</v>
      </c>
      <c r="C868" t="s">
        <v>15</v>
      </c>
      <c r="D868">
        <v>0</v>
      </c>
      <c r="E868">
        <v>27</v>
      </c>
      <c r="F868">
        <v>0</v>
      </c>
      <c r="G868">
        <v>20260402</v>
      </c>
      <c r="H868">
        <v>20260428</v>
      </c>
      <c r="I868">
        <v>26984.026399999999</v>
      </c>
      <c r="J868">
        <f t="shared" si="131"/>
        <v>27</v>
      </c>
      <c r="K868">
        <f t="shared" si="132"/>
        <v>999.40838518518513</v>
      </c>
      <c r="L868">
        <f t="shared" si="133"/>
        <v>0</v>
      </c>
      <c r="M868">
        <f t="shared" si="134"/>
        <v>26984.026399999999</v>
      </c>
      <c r="N868">
        <f t="shared" si="135"/>
        <v>0</v>
      </c>
      <c r="O868">
        <f t="shared" si="136"/>
        <v>26984.026399999999</v>
      </c>
      <c r="P868">
        <f t="shared" si="137"/>
        <v>0</v>
      </c>
      <c r="Q868">
        <f t="shared" si="138"/>
        <v>26984.026399999999</v>
      </c>
      <c r="R868">
        <f t="shared" si="139"/>
        <v>0</v>
      </c>
      <c r="S868">
        <f t="shared" si="140"/>
        <v>26984.026399999999</v>
      </c>
    </row>
    <row r="869" spans="1:19" x14ac:dyDescent="0.3">
      <c r="A869" t="s">
        <v>13</v>
      </c>
      <c r="B869" t="s">
        <v>24</v>
      </c>
      <c r="C869" t="s">
        <v>15</v>
      </c>
      <c r="D869">
        <v>26</v>
      </c>
      <c r="E869">
        <v>13</v>
      </c>
      <c r="F869">
        <v>0</v>
      </c>
      <c r="G869">
        <v>20260306</v>
      </c>
      <c r="H869">
        <v>20260413</v>
      </c>
      <c r="I869">
        <v>6602.8329000000003</v>
      </c>
      <c r="J869">
        <f t="shared" si="131"/>
        <v>39</v>
      </c>
      <c r="K869">
        <f t="shared" si="132"/>
        <v>169.3034076923077</v>
      </c>
      <c r="L869">
        <f t="shared" si="133"/>
        <v>7092.7566828043518</v>
      </c>
      <c r="M869">
        <f t="shared" si="134"/>
        <v>2200.9443000000001</v>
      </c>
      <c r="N869">
        <f t="shared" si="135"/>
        <v>0</v>
      </c>
      <c r="O869">
        <f t="shared" si="136"/>
        <v>9293.700982804352</v>
      </c>
      <c r="P869">
        <f t="shared" si="137"/>
        <v>5039.1428843650947</v>
      </c>
      <c r="Q869">
        <f t="shared" si="138"/>
        <v>1563.6900156349054</v>
      </c>
      <c r="R869">
        <f t="shared" si="139"/>
        <v>0</v>
      </c>
      <c r="S869">
        <f t="shared" si="140"/>
        <v>6602.8329000000003</v>
      </c>
    </row>
    <row r="870" spans="1:19" x14ac:dyDescent="0.3">
      <c r="A870" t="s">
        <v>13</v>
      </c>
      <c r="B870" t="s">
        <v>24</v>
      </c>
      <c r="C870" t="s">
        <v>15</v>
      </c>
      <c r="D870">
        <v>23</v>
      </c>
      <c r="E870">
        <v>6</v>
      </c>
      <c r="F870">
        <v>0</v>
      </c>
      <c r="G870">
        <v>20260309</v>
      </c>
      <c r="H870">
        <v>20260406</v>
      </c>
      <c r="I870">
        <v>7213.5685999999996</v>
      </c>
      <c r="J870">
        <f t="shared" si="131"/>
        <v>29</v>
      </c>
      <c r="K870">
        <f t="shared" si="132"/>
        <v>248.7437448275862</v>
      </c>
      <c r="L870">
        <f t="shared" si="133"/>
        <v>9218.4099670145606</v>
      </c>
      <c r="M870">
        <f t="shared" si="134"/>
        <v>1492.4624689655172</v>
      </c>
      <c r="N870">
        <f t="shared" si="135"/>
        <v>0</v>
      </c>
      <c r="O870">
        <f t="shared" si="136"/>
        <v>10710.872435980078</v>
      </c>
      <c r="P870">
        <f t="shared" si="137"/>
        <v>6208.4235506907635</v>
      </c>
      <c r="Q870">
        <f t="shared" si="138"/>
        <v>1005.1450493092357</v>
      </c>
      <c r="R870">
        <f t="shared" si="139"/>
        <v>0</v>
      </c>
      <c r="S870">
        <f t="shared" si="140"/>
        <v>7213.5685999999987</v>
      </c>
    </row>
    <row r="871" spans="1:19" x14ac:dyDescent="0.3">
      <c r="A871" t="s">
        <v>13</v>
      </c>
      <c r="B871" t="s">
        <v>24</v>
      </c>
      <c r="C871" t="s">
        <v>15</v>
      </c>
      <c r="D871">
        <v>30</v>
      </c>
      <c r="E871">
        <v>14</v>
      </c>
      <c r="F871">
        <v>0</v>
      </c>
      <c r="G871">
        <v>20260302</v>
      </c>
      <c r="H871">
        <v>20260414</v>
      </c>
      <c r="I871">
        <v>28.7607</v>
      </c>
      <c r="J871">
        <f t="shared" si="131"/>
        <v>44</v>
      </c>
      <c r="K871">
        <f t="shared" si="132"/>
        <v>0.65365227272727278</v>
      </c>
      <c r="L871">
        <f t="shared" si="133"/>
        <v>31.596868618732987</v>
      </c>
      <c r="M871">
        <f t="shared" si="134"/>
        <v>9.1511318181818186</v>
      </c>
      <c r="N871">
        <f t="shared" si="135"/>
        <v>0</v>
      </c>
      <c r="O871">
        <f t="shared" si="136"/>
        <v>40.748000436914808</v>
      </c>
      <c r="P871">
        <f t="shared" si="137"/>
        <v>22.301660192865128</v>
      </c>
      <c r="Q871">
        <f t="shared" si="138"/>
        <v>6.4590398071348698</v>
      </c>
      <c r="R871">
        <f t="shared" si="139"/>
        <v>0</v>
      </c>
      <c r="S871">
        <f t="shared" si="140"/>
        <v>28.7607</v>
      </c>
    </row>
    <row r="872" spans="1:19" x14ac:dyDescent="0.3">
      <c r="A872" t="s">
        <v>13</v>
      </c>
      <c r="B872" t="s">
        <v>33</v>
      </c>
      <c r="C872" t="s">
        <v>15</v>
      </c>
      <c r="D872">
        <v>31</v>
      </c>
      <c r="E872">
        <v>6</v>
      </c>
      <c r="F872">
        <v>0</v>
      </c>
      <c r="G872">
        <v>20260227</v>
      </c>
      <c r="H872">
        <v>20260406</v>
      </c>
      <c r="I872">
        <v>2473.9802</v>
      </c>
      <c r="J872">
        <f t="shared" si="131"/>
        <v>37</v>
      </c>
      <c r="K872">
        <f t="shared" si="132"/>
        <v>66.864329729729732</v>
      </c>
      <c r="L872">
        <f t="shared" si="133"/>
        <v>3339.890306966196</v>
      </c>
      <c r="M872">
        <f t="shared" si="134"/>
        <v>401.18597837837842</v>
      </c>
      <c r="N872">
        <f t="shared" si="135"/>
        <v>0</v>
      </c>
      <c r="O872">
        <f t="shared" si="136"/>
        <v>3741.0762853445744</v>
      </c>
      <c r="P872">
        <f t="shared" si="137"/>
        <v>2208.6752205442499</v>
      </c>
      <c r="Q872">
        <f t="shared" si="138"/>
        <v>265.30497945575013</v>
      </c>
      <c r="R872">
        <f t="shared" si="139"/>
        <v>0</v>
      </c>
      <c r="S872">
        <f t="shared" si="140"/>
        <v>2473.9802</v>
      </c>
    </row>
    <row r="873" spans="1:19" x14ac:dyDescent="0.3">
      <c r="A873" t="s">
        <v>13</v>
      </c>
      <c r="B873" t="s">
        <v>33</v>
      </c>
      <c r="C873" t="s">
        <v>15</v>
      </c>
      <c r="D873">
        <v>31</v>
      </c>
      <c r="E873">
        <v>2</v>
      </c>
      <c r="F873">
        <v>0</v>
      </c>
      <c r="G873">
        <v>20260227</v>
      </c>
      <c r="H873">
        <v>20260402</v>
      </c>
      <c r="I873">
        <v>3631.3326000000002</v>
      </c>
      <c r="J873">
        <f t="shared" si="131"/>
        <v>33</v>
      </c>
      <c r="K873">
        <f t="shared" si="132"/>
        <v>110.04038181818183</v>
      </c>
      <c r="L873">
        <f t="shared" si="133"/>
        <v>5496.5451100004666</v>
      </c>
      <c r="M873">
        <f t="shared" si="134"/>
        <v>220.08076363636366</v>
      </c>
      <c r="N873">
        <f t="shared" si="135"/>
        <v>0</v>
      </c>
      <c r="O873">
        <f t="shared" si="136"/>
        <v>5716.62587363683</v>
      </c>
      <c r="P873">
        <f t="shared" si="137"/>
        <v>3491.532223118385</v>
      </c>
      <c r="Q873">
        <f t="shared" si="138"/>
        <v>139.80037688161525</v>
      </c>
      <c r="R873">
        <f t="shared" si="139"/>
        <v>0</v>
      </c>
      <c r="S873">
        <f t="shared" si="140"/>
        <v>3631.3326000000002</v>
      </c>
    </row>
    <row r="874" spans="1:19" x14ac:dyDescent="0.3">
      <c r="A874" t="s">
        <v>13</v>
      </c>
      <c r="B874" t="s">
        <v>33</v>
      </c>
      <c r="C874" t="s">
        <v>14</v>
      </c>
      <c r="D874">
        <v>0</v>
      </c>
      <c r="E874">
        <v>15</v>
      </c>
      <c r="F874">
        <v>6</v>
      </c>
      <c r="G874">
        <v>20260416</v>
      </c>
      <c r="H874">
        <v>20260506</v>
      </c>
      <c r="I874">
        <v>27567.6306</v>
      </c>
      <c r="J874">
        <f t="shared" si="131"/>
        <v>21</v>
      </c>
      <c r="K874">
        <f t="shared" si="132"/>
        <v>1312.7443142857144</v>
      </c>
      <c r="L874">
        <f t="shared" si="133"/>
        <v>0</v>
      </c>
      <c r="M874">
        <f t="shared" si="134"/>
        <v>19691.164714285715</v>
      </c>
      <c r="N874">
        <f t="shared" si="135"/>
        <v>5919.1280722249758</v>
      </c>
      <c r="O874">
        <f t="shared" si="136"/>
        <v>25610.29278651069</v>
      </c>
      <c r="P874">
        <f t="shared" si="137"/>
        <v>0</v>
      </c>
      <c r="Q874">
        <f t="shared" si="138"/>
        <v>21196.116711836425</v>
      </c>
      <c r="R874">
        <f t="shared" si="139"/>
        <v>6371.5138881635739</v>
      </c>
      <c r="S874">
        <f t="shared" si="140"/>
        <v>27567.630599999997</v>
      </c>
    </row>
    <row r="875" spans="1:19" x14ac:dyDescent="0.3">
      <c r="A875" t="s">
        <v>13</v>
      </c>
      <c r="B875" t="s">
        <v>24</v>
      </c>
      <c r="C875" t="s">
        <v>15</v>
      </c>
      <c r="D875">
        <v>31</v>
      </c>
      <c r="E875">
        <v>5</v>
      </c>
      <c r="F875">
        <v>0</v>
      </c>
      <c r="G875">
        <v>20260226</v>
      </c>
      <c r="H875">
        <v>20260405</v>
      </c>
      <c r="I875">
        <v>28558.931799999998</v>
      </c>
      <c r="J875">
        <f t="shared" si="131"/>
        <v>36</v>
      </c>
      <c r="K875">
        <f t="shared" si="132"/>
        <v>793.30366111111107</v>
      </c>
      <c r="L875">
        <f t="shared" si="133"/>
        <v>39625.720005501447</v>
      </c>
      <c r="M875">
        <f t="shared" si="134"/>
        <v>3966.5183055555553</v>
      </c>
      <c r="N875">
        <f t="shared" si="135"/>
        <v>0</v>
      </c>
      <c r="O875">
        <f t="shared" si="136"/>
        <v>43592.238311057001</v>
      </c>
      <c r="P875">
        <f t="shared" si="137"/>
        <v>25960.314932394012</v>
      </c>
      <c r="Q875">
        <f t="shared" si="138"/>
        <v>2598.6168676059874</v>
      </c>
      <c r="R875">
        <f t="shared" si="139"/>
        <v>0</v>
      </c>
      <c r="S875">
        <f t="shared" si="140"/>
        <v>28558.931799999998</v>
      </c>
    </row>
    <row r="876" spans="1:19" x14ac:dyDescent="0.3">
      <c r="A876" t="s">
        <v>13</v>
      </c>
      <c r="B876" t="s">
        <v>24</v>
      </c>
      <c r="C876" t="s">
        <v>15</v>
      </c>
      <c r="D876">
        <v>19</v>
      </c>
      <c r="E876">
        <v>2</v>
      </c>
      <c r="F876">
        <v>0</v>
      </c>
      <c r="G876">
        <v>20260313</v>
      </c>
      <c r="H876">
        <v>20260402</v>
      </c>
      <c r="I876">
        <v>12499.6258</v>
      </c>
      <c r="J876">
        <f t="shared" si="131"/>
        <v>21</v>
      </c>
      <c r="K876">
        <f t="shared" si="132"/>
        <v>595.22027619047617</v>
      </c>
      <c r="L876">
        <f t="shared" si="133"/>
        <v>18222.47369961211</v>
      </c>
      <c r="M876">
        <f t="shared" si="134"/>
        <v>1190.4405523809523</v>
      </c>
      <c r="N876">
        <f t="shared" si="135"/>
        <v>0</v>
      </c>
      <c r="O876">
        <f t="shared" si="136"/>
        <v>19412.914251993061</v>
      </c>
      <c r="P876">
        <f t="shared" si="137"/>
        <v>11733.122571852298</v>
      </c>
      <c r="Q876">
        <f t="shared" si="138"/>
        <v>766.50322814770152</v>
      </c>
      <c r="R876">
        <f t="shared" si="139"/>
        <v>0</v>
      </c>
      <c r="S876">
        <f t="shared" si="140"/>
        <v>12499.6258</v>
      </c>
    </row>
    <row r="877" spans="1:19" x14ac:dyDescent="0.3">
      <c r="A877" t="s">
        <v>13</v>
      </c>
      <c r="B877" t="s">
        <v>33</v>
      </c>
      <c r="C877" t="s">
        <v>15</v>
      </c>
      <c r="D877">
        <v>19</v>
      </c>
      <c r="E877">
        <v>1</v>
      </c>
      <c r="F877">
        <v>0</v>
      </c>
      <c r="G877">
        <v>20260313</v>
      </c>
      <c r="H877">
        <v>20260401</v>
      </c>
      <c r="I877">
        <v>1501.6502</v>
      </c>
      <c r="J877">
        <f t="shared" si="131"/>
        <v>20</v>
      </c>
      <c r="K877">
        <f t="shared" si="132"/>
        <v>75.082509999999999</v>
      </c>
      <c r="L877">
        <f t="shared" si="133"/>
        <v>2298.6264388245231</v>
      </c>
      <c r="M877">
        <f t="shared" si="134"/>
        <v>75.082509999999999</v>
      </c>
      <c r="N877">
        <f t="shared" si="135"/>
        <v>0</v>
      </c>
      <c r="O877">
        <f t="shared" si="136"/>
        <v>2373.7089488245233</v>
      </c>
      <c r="P877">
        <f t="shared" si="137"/>
        <v>1454.151678239851</v>
      </c>
      <c r="Q877">
        <f t="shared" si="138"/>
        <v>47.498521760148989</v>
      </c>
      <c r="R877">
        <f t="shared" si="139"/>
        <v>0</v>
      </c>
      <c r="S877">
        <f t="shared" si="140"/>
        <v>1501.6502</v>
      </c>
    </row>
    <row r="878" spans="1:19" x14ac:dyDescent="0.3">
      <c r="A878" t="s">
        <v>13</v>
      </c>
      <c r="B878" t="s">
        <v>24</v>
      </c>
      <c r="C878" t="s">
        <v>14</v>
      </c>
      <c r="D878">
        <v>14</v>
      </c>
      <c r="E878">
        <v>4</v>
      </c>
      <c r="F878">
        <v>0</v>
      </c>
      <c r="G878">
        <v>20260318</v>
      </c>
      <c r="H878">
        <v>20260404</v>
      </c>
      <c r="I878">
        <v>3179.7366000000002</v>
      </c>
      <c r="J878">
        <f t="shared" si="131"/>
        <v>18</v>
      </c>
      <c r="K878">
        <f t="shared" si="132"/>
        <v>176.65203333333335</v>
      </c>
      <c r="L878">
        <f t="shared" si="133"/>
        <v>3984.9482922815632</v>
      </c>
      <c r="M878">
        <f t="shared" si="134"/>
        <v>706.6081333333334</v>
      </c>
      <c r="N878">
        <f t="shared" si="135"/>
        <v>0</v>
      </c>
      <c r="O878">
        <f t="shared" si="136"/>
        <v>4691.5564256148964</v>
      </c>
      <c r="P878">
        <f t="shared" si="137"/>
        <v>2700.8277817770154</v>
      </c>
      <c r="Q878">
        <f t="shared" si="138"/>
        <v>478.90881822298473</v>
      </c>
      <c r="R878">
        <f t="shared" si="139"/>
        <v>0</v>
      </c>
      <c r="S878">
        <f t="shared" si="140"/>
        <v>3179.7366000000002</v>
      </c>
    </row>
    <row r="879" spans="1:19" x14ac:dyDescent="0.3">
      <c r="A879" t="s">
        <v>13</v>
      </c>
      <c r="B879" t="s">
        <v>24</v>
      </c>
      <c r="C879" t="s">
        <v>15</v>
      </c>
      <c r="D879">
        <v>14</v>
      </c>
      <c r="E879">
        <v>8</v>
      </c>
      <c r="F879">
        <v>0</v>
      </c>
      <c r="G879">
        <v>20260318</v>
      </c>
      <c r="H879">
        <v>20260408</v>
      </c>
      <c r="I879">
        <v>1474.5821000000001</v>
      </c>
      <c r="J879">
        <f t="shared" si="131"/>
        <v>22</v>
      </c>
      <c r="K879">
        <f t="shared" si="132"/>
        <v>67.0264590909091</v>
      </c>
      <c r="L879">
        <f t="shared" si="133"/>
        <v>1511.994901230488</v>
      </c>
      <c r="M879">
        <f t="shared" si="134"/>
        <v>536.2116727272728</v>
      </c>
      <c r="N879">
        <f t="shared" si="135"/>
        <v>0</v>
      </c>
      <c r="O879">
        <f t="shared" si="136"/>
        <v>2048.2065739577611</v>
      </c>
      <c r="P879">
        <f t="shared" si="137"/>
        <v>1088.5428476765178</v>
      </c>
      <c r="Q879">
        <f t="shared" si="138"/>
        <v>386.039252323482</v>
      </c>
      <c r="R879">
        <f t="shared" si="139"/>
        <v>0</v>
      </c>
      <c r="S879">
        <f t="shared" si="140"/>
        <v>1474.5820999999999</v>
      </c>
    </row>
    <row r="880" spans="1:19" x14ac:dyDescent="0.3">
      <c r="A880" t="s">
        <v>13</v>
      </c>
      <c r="B880" t="s">
        <v>24</v>
      </c>
      <c r="C880" t="s">
        <v>15</v>
      </c>
      <c r="D880">
        <v>15</v>
      </c>
      <c r="E880">
        <v>1</v>
      </c>
      <c r="F880">
        <v>0</v>
      </c>
      <c r="G880">
        <v>20260317</v>
      </c>
      <c r="H880">
        <v>20260401</v>
      </c>
      <c r="I880">
        <v>12724.8341</v>
      </c>
      <c r="J880">
        <f t="shared" si="131"/>
        <v>16</v>
      </c>
      <c r="K880">
        <f t="shared" si="132"/>
        <v>795.30213125</v>
      </c>
      <c r="L880">
        <f t="shared" si="133"/>
        <v>19222.037466845413</v>
      </c>
      <c r="M880">
        <f t="shared" si="134"/>
        <v>795.30213125</v>
      </c>
      <c r="N880">
        <f t="shared" si="135"/>
        <v>0</v>
      </c>
      <c r="O880">
        <f t="shared" si="136"/>
        <v>20017.339598095412</v>
      </c>
      <c r="P880">
        <f t="shared" si="137"/>
        <v>12219.268031645164</v>
      </c>
      <c r="Q880">
        <f t="shared" si="138"/>
        <v>505.56606835483632</v>
      </c>
      <c r="R880">
        <f t="shared" si="139"/>
        <v>0</v>
      </c>
      <c r="S880">
        <f t="shared" si="140"/>
        <v>12724.8341</v>
      </c>
    </row>
    <row r="881" spans="1:19" x14ac:dyDescent="0.3">
      <c r="A881" t="s">
        <v>13</v>
      </c>
      <c r="B881" t="s">
        <v>33</v>
      </c>
      <c r="C881" t="s">
        <v>15</v>
      </c>
      <c r="D881">
        <v>14</v>
      </c>
      <c r="E881">
        <v>7</v>
      </c>
      <c r="F881">
        <v>0</v>
      </c>
      <c r="G881">
        <v>20260318</v>
      </c>
      <c r="H881">
        <v>20260407</v>
      </c>
      <c r="I881">
        <v>2597.9515000000001</v>
      </c>
      <c r="J881">
        <f t="shared" si="131"/>
        <v>21</v>
      </c>
      <c r="K881">
        <f t="shared" si="132"/>
        <v>123.71197619047619</v>
      </c>
      <c r="L881">
        <f t="shared" si="133"/>
        <v>2790.7169759250742</v>
      </c>
      <c r="M881">
        <f t="shared" si="134"/>
        <v>865.98383333333334</v>
      </c>
      <c r="N881">
        <f t="shared" si="135"/>
        <v>0</v>
      </c>
      <c r="O881">
        <f t="shared" si="136"/>
        <v>3656.7008092584074</v>
      </c>
      <c r="P881">
        <f t="shared" si="137"/>
        <v>1982.701821085102</v>
      </c>
      <c r="Q881">
        <f t="shared" si="138"/>
        <v>615.24967891489814</v>
      </c>
      <c r="R881">
        <f t="shared" si="139"/>
        <v>0</v>
      </c>
      <c r="S881">
        <f t="shared" si="140"/>
        <v>2597.9515000000001</v>
      </c>
    </row>
    <row r="882" spans="1:19" x14ac:dyDescent="0.3">
      <c r="A882" t="s">
        <v>13</v>
      </c>
      <c r="B882" t="s">
        <v>33</v>
      </c>
      <c r="C882" t="s">
        <v>15</v>
      </c>
      <c r="D882">
        <v>19</v>
      </c>
      <c r="E882">
        <v>6</v>
      </c>
      <c r="F882">
        <v>0</v>
      </c>
      <c r="G882">
        <v>20260313</v>
      </c>
      <c r="H882">
        <v>20260406</v>
      </c>
      <c r="I882">
        <v>5244.1346000000003</v>
      </c>
      <c r="J882">
        <f t="shared" si="131"/>
        <v>25</v>
      </c>
      <c r="K882">
        <f t="shared" si="132"/>
        <v>209.76538400000001</v>
      </c>
      <c r="L882">
        <f t="shared" si="133"/>
        <v>6421.8984902419834</v>
      </c>
      <c r="M882">
        <f t="shared" si="134"/>
        <v>1258.592304</v>
      </c>
      <c r="N882">
        <f t="shared" si="135"/>
        <v>0</v>
      </c>
      <c r="O882">
        <f t="shared" si="136"/>
        <v>7680.4907942419832</v>
      </c>
      <c r="P882">
        <f t="shared" si="137"/>
        <v>4384.7849014562207</v>
      </c>
      <c r="Q882">
        <f t="shared" si="138"/>
        <v>859.34969854377914</v>
      </c>
      <c r="R882">
        <f t="shared" si="139"/>
        <v>0</v>
      </c>
      <c r="S882">
        <f t="shared" si="140"/>
        <v>5244.1345999999994</v>
      </c>
    </row>
    <row r="883" spans="1:19" x14ac:dyDescent="0.3">
      <c r="A883" t="s">
        <v>13</v>
      </c>
      <c r="B883" t="s">
        <v>33</v>
      </c>
      <c r="C883" t="s">
        <v>15</v>
      </c>
      <c r="D883">
        <v>0</v>
      </c>
      <c r="E883">
        <v>14</v>
      </c>
      <c r="F883">
        <v>1</v>
      </c>
      <c r="G883">
        <v>20260417</v>
      </c>
      <c r="H883">
        <v>20260501</v>
      </c>
      <c r="I883">
        <v>5363.4278999999997</v>
      </c>
      <c r="J883">
        <f t="shared" si="131"/>
        <v>15</v>
      </c>
      <c r="K883">
        <f t="shared" si="132"/>
        <v>357.56185999999997</v>
      </c>
      <c r="L883">
        <f t="shared" si="133"/>
        <v>0</v>
      </c>
      <c r="M883">
        <f t="shared" si="134"/>
        <v>5005.8660399999999</v>
      </c>
      <c r="N883">
        <f t="shared" si="135"/>
        <v>268.70610166948546</v>
      </c>
      <c r="O883">
        <f t="shared" si="136"/>
        <v>5274.5721416694851</v>
      </c>
      <c r="P883">
        <f t="shared" si="137"/>
        <v>0</v>
      </c>
      <c r="Q883">
        <f t="shared" si="138"/>
        <v>5090.1951592419609</v>
      </c>
      <c r="R883">
        <f t="shared" si="139"/>
        <v>273.23274075803937</v>
      </c>
      <c r="S883">
        <f t="shared" si="140"/>
        <v>5363.4279000000006</v>
      </c>
    </row>
    <row r="884" spans="1:19" x14ac:dyDescent="0.3">
      <c r="A884" t="s">
        <v>13</v>
      </c>
      <c r="B884" t="s">
        <v>24</v>
      </c>
      <c r="C884" t="s">
        <v>15</v>
      </c>
      <c r="D884">
        <v>12</v>
      </c>
      <c r="E884">
        <v>1</v>
      </c>
      <c r="F884">
        <v>0</v>
      </c>
      <c r="G884">
        <v>20260320</v>
      </c>
      <c r="H884">
        <v>20260401</v>
      </c>
      <c r="I884">
        <v>2104.1034</v>
      </c>
      <c r="J884">
        <f t="shared" si="131"/>
        <v>13</v>
      </c>
      <c r="K884">
        <f t="shared" si="132"/>
        <v>161.85410769230768</v>
      </c>
      <c r="L884">
        <f t="shared" si="133"/>
        <v>3129.5434527096854</v>
      </c>
      <c r="M884">
        <f t="shared" si="134"/>
        <v>161.85410769230768</v>
      </c>
      <c r="N884">
        <f t="shared" si="135"/>
        <v>0</v>
      </c>
      <c r="O884">
        <f t="shared" si="136"/>
        <v>3291.3975604019929</v>
      </c>
      <c r="P884">
        <f t="shared" si="137"/>
        <v>2000.63435013604</v>
      </c>
      <c r="Q884">
        <f t="shared" si="138"/>
        <v>103.46904986396019</v>
      </c>
      <c r="R884">
        <f t="shared" si="139"/>
        <v>0</v>
      </c>
      <c r="S884">
        <f t="shared" si="140"/>
        <v>2104.1034</v>
      </c>
    </row>
    <row r="885" spans="1:19" x14ac:dyDescent="0.3">
      <c r="A885" t="s">
        <v>13</v>
      </c>
      <c r="B885" t="s">
        <v>33</v>
      </c>
      <c r="C885" t="s">
        <v>15</v>
      </c>
      <c r="D885">
        <v>13</v>
      </c>
      <c r="E885">
        <v>1</v>
      </c>
      <c r="F885">
        <v>0</v>
      </c>
      <c r="G885">
        <v>20260319</v>
      </c>
      <c r="H885">
        <v>20260401</v>
      </c>
      <c r="I885">
        <v>2241.7930999999999</v>
      </c>
      <c r="J885">
        <f t="shared" si="131"/>
        <v>14</v>
      </c>
      <c r="K885">
        <f t="shared" si="132"/>
        <v>160.12807857142857</v>
      </c>
      <c r="L885">
        <f t="shared" si="133"/>
        <v>3354.1838137606578</v>
      </c>
      <c r="M885">
        <f t="shared" si="134"/>
        <v>160.12807857142857</v>
      </c>
      <c r="N885">
        <f t="shared" si="135"/>
        <v>0</v>
      </c>
      <c r="O885">
        <f t="shared" si="136"/>
        <v>3514.3118923320862</v>
      </c>
      <c r="P885">
        <f t="shared" si="137"/>
        <v>2139.6467815582773</v>
      </c>
      <c r="Q885">
        <f t="shared" si="138"/>
        <v>102.14631844172271</v>
      </c>
      <c r="R885">
        <f t="shared" si="139"/>
        <v>0</v>
      </c>
      <c r="S885">
        <f t="shared" si="140"/>
        <v>2241.7930999999999</v>
      </c>
    </row>
    <row r="886" spans="1:19" x14ac:dyDescent="0.3">
      <c r="A886" t="s">
        <v>13</v>
      </c>
      <c r="B886" t="s">
        <v>24</v>
      </c>
      <c r="C886" t="s">
        <v>15</v>
      </c>
      <c r="D886">
        <v>13</v>
      </c>
      <c r="E886">
        <v>1</v>
      </c>
      <c r="F886">
        <v>0</v>
      </c>
      <c r="G886">
        <v>20260319</v>
      </c>
      <c r="H886">
        <v>20260401</v>
      </c>
      <c r="I886">
        <v>29143.312399999999</v>
      </c>
      <c r="J886">
        <f t="shared" si="131"/>
        <v>14</v>
      </c>
      <c r="K886">
        <f t="shared" si="132"/>
        <v>2081.6651714285713</v>
      </c>
      <c r="L886">
        <f t="shared" si="133"/>
        <v>43604.392720920703</v>
      </c>
      <c r="M886">
        <f t="shared" si="134"/>
        <v>2081.6651714285713</v>
      </c>
      <c r="N886">
        <f t="shared" si="135"/>
        <v>0</v>
      </c>
      <c r="O886">
        <f t="shared" si="136"/>
        <v>45686.057892349272</v>
      </c>
      <c r="P886">
        <f t="shared" si="137"/>
        <v>27815.410164572029</v>
      </c>
      <c r="Q886">
        <f t="shared" si="138"/>
        <v>1327.9022354279734</v>
      </c>
      <c r="R886">
        <f t="shared" si="139"/>
        <v>0</v>
      </c>
      <c r="S886">
        <f t="shared" si="140"/>
        <v>29143.312400000003</v>
      </c>
    </row>
    <row r="887" spans="1:19" x14ac:dyDescent="0.3">
      <c r="A887" t="s">
        <v>13</v>
      </c>
      <c r="B887" t="s">
        <v>33</v>
      </c>
      <c r="C887" t="s">
        <v>15</v>
      </c>
      <c r="D887">
        <v>1</v>
      </c>
      <c r="E887">
        <v>30</v>
      </c>
      <c r="F887">
        <v>2</v>
      </c>
      <c r="G887">
        <v>20260331</v>
      </c>
      <c r="H887">
        <v>20260502</v>
      </c>
      <c r="I887">
        <v>33491.002200000003</v>
      </c>
      <c r="J887">
        <f t="shared" si="131"/>
        <v>33</v>
      </c>
      <c r="K887">
        <f t="shared" si="132"/>
        <v>1014.8788545454546</v>
      </c>
      <c r="L887">
        <f t="shared" si="133"/>
        <v>1635.2728185384105</v>
      </c>
      <c r="M887">
        <f t="shared" si="134"/>
        <v>30446.365636363636</v>
      </c>
      <c r="N887">
        <f t="shared" si="135"/>
        <v>1525.3536306791887</v>
      </c>
      <c r="O887">
        <f t="shared" si="136"/>
        <v>33606.992085581238</v>
      </c>
      <c r="P887">
        <f t="shared" si="137"/>
        <v>1629.6289005515414</v>
      </c>
      <c r="Q887">
        <f t="shared" si="138"/>
        <v>30341.284215880267</v>
      </c>
      <c r="R887">
        <f t="shared" si="139"/>
        <v>1520.089083568193</v>
      </c>
      <c r="S887">
        <f t="shared" si="140"/>
        <v>33491.002200000003</v>
      </c>
    </row>
    <row r="888" spans="1:19" x14ac:dyDescent="0.3">
      <c r="A888" t="s">
        <v>13</v>
      </c>
      <c r="B888" t="s">
        <v>33</v>
      </c>
      <c r="C888" t="s">
        <v>15</v>
      </c>
      <c r="D888">
        <v>0</v>
      </c>
      <c r="E888">
        <v>19</v>
      </c>
      <c r="F888">
        <v>0</v>
      </c>
      <c r="G888">
        <v>20260409</v>
      </c>
      <c r="H888">
        <v>20260427</v>
      </c>
      <c r="I888">
        <v>1519.8081</v>
      </c>
      <c r="J888">
        <f t="shared" si="131"/>
        <v>19</v>
      </c>
      <c r="K888">
        <f t="shared" si="132"/>
        <v>79.989899999999992</v>
      </c>
      <c r="L888">
        <f t="shared" si="133"/>
        <v>0</v>
      </c>
      <c r="M888">
        <f t="shared" si="134"/>
        <v>1519.8080999999997</v>
      </c>
      <c r="N888">
        <f t="shared" si="135"/>
        <v>0</v>
      </c>
      <c r="O888">
        <f t="shared" si="136"/>
        <v>1519.8080999999997</v>
      </c>
      <c r="P888">
        <f t="shared" si="137"/>
        <v>0</v>
      </c>
      <c r="Q888">
        <f t="shared" si="138"/>
        <v>1519.8081</v>
      </c>
      <c r="R888">
        <f t="shared" si="139"/>
        <v>0</v>
      </c>
      <c r="S888">
        <f t="shared" si="140"/>
        <v>1519.8081</v>
      </c>
    </row>
    <row r="889" spans="1:19" x14ac:dyDescent="0.3">
      <c r="A889" t="s">
        <v>13</v>
      </c>
      <c r="B889" t="s">
        <v>33</v>
      </c>
      <c r="C889" t="s">
        <v>15</v>
      </c>
      <c r="D889">
        <v>15</v>
      </c>
      <c r="E889">
        <v>2</v>
      </c>
      <c r="F889">
        <v>0</v>
      </c>
      <c r="G889">
        <v>20260317</v>
      </c>
      <c r="H889">
        <v>20260402</v>
      </c>
      <c r="I889">
        <v>9059.4925000000003</v>
      </c>
      <c r="J889">
        <f t="shared" si="131"/>
        <v>17</v>
      </c>
      <c r="K889">
        <f t="shared" si="132"/>
        <v>532.91132352941179</v>
      </c>
      <c r="L889">
        <f t="shared" si="133"/>
        <v>12880.188578507008</v>
      </c>
      <c r="M889">
        <f t="shared" si="134"/>
        <v>1065.8226470588236</v>
      </c>
      <c r="N889">
        <f t="shared" si="135"/>
        <v>0</v>
      </c>
      <c r="O889">
        <f t="shared" si="136"/>
        <v>13946.011225565831</v>
      </c>
      <c r="P889">
        <f t="shared" si="137"/>
        <v>8367.1216047537291</v>
      </c>
      <c r="Q889">
        <f t="shared" si="138"/>
        <v>692.37089524627106</v>
      </c>
      <c r="R889">
        <f t="shared" si="139"/>
        <v>0</v>
      </c>
      <c r="S889">
        <f t="shared" si="140"/>
        <v>9059.4925000000003</v>
      </c>
    </row>
    <row r="890" spans="1:19" x14ac:dyDescent="0.3">
      <c r="A890" t="s">
        <v>13</v>
      </c>
      <c r="B890" t="s">
        <v>24</v>
      </c>
      <c r="C890" t="s">
        <v>15</v>
      </c>
      <c r="D890">
        <v>7</v>
      </c>
      <c r="E890">
        <v>2</v>
      </c>
      <c r="F890">
        <v>0</v>
      </c>
      <c r="G890">
        <v>20260325</v>
      </c>
      <c r="H890">
        <v>20260402</v>
      </c>
      <c r="I890">
        <v>788.8972</v>
      </c>
      <c r="J890">
        <f t="shared" si="131"/>
        <v>9</v>
      </c>
      <c r="K890">
        <f t="shared" si="132"/>
        <v>87.655244444444449</v>
      </c>
      <c r="L890">
        <f t="shared" si="133"/>
        <v>988.67137294507563</v>
      </c>
      <c r="M890">
        <f t="shared" si="134"/>
        <v>175.3104888888889</v>
      </c>
      <c r="N890">
        <f t="shared" si="135"/>
        <v>0</v>
      </c>
      <c r="O890">
        <f t="shared" si="136"/>
        <v>1163.9818618339646</v>
      </c>
      <c r="P890">
        <f t="shared" si="137"/>
        <v>670.07923698022603</v>
      </c>
      <c r="Q890">
        <f t="shared" si="138"/>
        <v>118.81796301977388</v>
      </c>
      <c r="R890">
        <f t="shared" si="139"/>
        <v>0</v>
      </c>
      <c r="S890">
        <f t="shared" si="140"/>
        <v>788.89719999999988</v>
      </c>
    </row>
    <row r="891" spans="1:19" x14ac:dyDescent="0.3">
      <c r="A891" t="s">
        <v>13</v>
      </c>
      <c r="B891" t="s">
        <v>33</v>
      </c>
      <c r="C891" t="s">
        <v>15</v>
      </c>
      <c r="D891">
        <v>5</v>
      </c>
      <c r="E891">
        <v>30</v>
      </c>
      <c r="F891">
        <v>6</v>
      </c>
      <c r="G891">
        <v>20260327</v>
      </c>
      <c r="H891">
        <v>20260506</v>
      </c>
      <c r="I891">
        <v>666.70180000000005</v>
      </c>
      <c r="J891">
        <f t="shared" si="131"/>
        <v>41</v>
      </c>
      <c r="K891">
        <f t="shared" si="132"/>
        <v>16.261019512195123</v>
      </c>
      <c r="L891">
        <f t="shared" si="133"/>
        <v>131.00678514937192</v>
      </c>
      <c r="M891">
        <f t="shared" si="134"/>
        <v>487.83058536585366</v>
      </c>
      <c r="N891">
        <f t="shared" si="135"/>
        <v>73.320490540462956</v>
      </c>
      <c r="O891">
        <f t="shared" si="136"/>
        <v>692.1578610556885</v>
      </c>
      <c r="P891">
        <f t="shared" si="137"/>
        <v>126.18864046141675</v>
      </c>
      <c r="Q891">
        <f t="shared" si="138"/>
        <v>469.88923720726319</v>
      </c>
      <c r="R891">
        <f t="shared" si="139"/>
        <v>70.623922331320145</v>
      </c>
      <c r="S891">
        <f t="shared" si="140"/>
        <v>666.70180000000016</v>
      </c>
    </row>
    <row r="892" spans="1:19" x14ac:dyDescent="0.3">
      <c r="A892" t="s">
        <v>13</v>
      </c>
      <c r="B892" t="s">
        <v>33</v>
      </c>
      <c r="C892" t="s">
        <v>15</v>
      </c>
      <c r="D892">
        <v>2</v>
      </c>
      <c r="E892">
        <v>30</v>
      </c>
      <c r="F892">
        <v>7</v>
      </c>
      <c r="G892">
        <v>20260330</v>
      </c>
      <c r="H892">
        <v>20260507</v>
      </c>
      <c r="I892">
        <v>840.28319999999997</v>
      </c>
      <c r="J892">
        <f t="shared" si="131"/>
        <v>39</v>
      </c>
      <c r="K892">
        <f t="shared" si="132"/>
        <v>21.545723076923075</v>
      </c>
      <c r="L892">
        <f t="shared" si="133"/>
        <v>69.433184356232033</v>
      </c>
      <c r="M892">
        <f t="shared" si="134"/>
        <v>646.37169230769223</v>
      </c>
      <c r="N892">
        <f t="shared" si="135"/>
        <v>113.34058612837481</v>
      </c>
      <c r="O892">
        <f t="shared" si="136"/>
        <v>829.14546279229899</v>
      </c>
      <c r="P892">
        <f t="shared" si="137"/>
        <v>70.365865768066868</v>
      </c>
      <c r="Q892">
        <f t="shared" si="138"/>
        <v>655.05426776697982</v>
      </c>
      <c r="R892">
        <f t="shared" si="139"/>
        <v>114.86306646495341</v>
      </c>
      <c r="S892">
        <f t="shared" si="140"/>
        <v>840.28320000000008</v>
      </c>
    </row>
    <row r="893" spans="1:19" x14ac:dyDescent="0.3">
      <c r="A893" t="s">
        <v>13</v>
      </c>
      <c r="B893" t="s">
        <v>33</v>
      </c>
      <c r="C893" t="s">
        <v>15</v>
      </c>
      <c r="D893">
        <v>0</v>
      </c>
      <c r="E893">
        <v>9</v>
      </c>
      <c r="F893">
        <v>7</v>
      </c>
      <c r="G893">
        <v>20260422</v>
      </c>
      <c r="H893">
        <v>20260507</v>
      </c>
      <c r="I893">
        <v>3881.9540000000002</v>
      </c>
      <c r="J893">
        <f t="shared" si="131"/>
        <v>16</v>
      </c>
      <c r="K893">
        <f t="shared" si="132"/>
        <v>242.62212500000001</v>
      </c>
      <c r="L893">
        <f t="shared" si="133"/>
        <v>0</v>
      </c>
      <c r="M893">
        <f t="shared" si="134"/>
        <v>2183.5991250000002</v>
      </c>
      <c r="N893">
        <f t="shared" si="135"/>
        <v>1276.305917282722</v>
      </c>
      <c r="O893">
        <f t="shared" si="136"/>
        <v>3459.9050422827222</v>
      </c>
      <c r="P893">
        <f t="shared" si="137"/>
        <v>0</v>
      </c>
      <c r="Q893">
        <f t="shared" si="138"/>
        <v>2449.9606937471531</v>
      </c>
      <c r="R893">
        <f t="shared" si="139"/>
        <v>1431.9933062528471</v>
      </c>
      <c r="S893">
        <f t="shared" si="140"/>
        <v>3881.9540000000002</v>
      </c>
    </row>
    <row r="894" spans="1:19" x14ac:dyDescent="0.3">
      <c r="A894" t="s">
        <v>13</v>
      </c>
      <c r="B894" t="s">
        <v>33</v>
      </c>
      <c r="C894" t="s">
        <v>15</v>
      </c>
      <c r="D894">
        <v>0</v>
      </c>
      <c r="E894">
        <v>10</v>
      </c>
      <c r="F894">
        <v>2</v>
      </c>
      <c r="G894">
        <v>20260421</v>
      </c>
      <c r="H894">
        <v>20260502</v>
      </c>
      <c r="I894">
        <v>2405.6306</v>
      </c>
      <c r="J894">
        <f t="shared" si="131"/>
        <v>12</v>
      </c>
      <c r="K894">
        <f t="shared" si="132"/>
        <v>200.46921666666665</v>
      </c>
      <c r="L894">
        <f t="shared" si="133"/>
        <v>0</v>
      </c>
      <c r="M894">
        <f t="shared" si="134"/>
        <v>2004.6921666666665</v>
      </c>
      <c r="N894">
        <f t="shared" si="135"/>
        <v>301.30339804830101</v>
      </c>
      <c r="O894">
        <f t="shared" si="136"/>
        <v>2305.9955647149673</v>
      </c>
      <c r="P894">
        <f t="shared" si="137"/>
        <v>0</v>
      </c>
      <c r="Q894">
        <f t="shared" si="138"/>
        <v>2091.3088010686283</v>
      </c>
      <c r="R894">
        <f t="shared" si="139"/>
        <v>314.32179893137186</v>
      </c>
      <c r="S894">
        <f t="shared" si="140"/>
        <v>2405.6306000000004</v>
      </c>
    </row>
    <row r="895" spans="1:19" x14ac:dyDescent="0.3">
      <c r="A895" t="s">
        <v>13</v>
      </c>
      <c r="B895" t="s">
        <v>33</v>
      </c>
      <c r="C895" t="s">
        <v>15</v>
      </c>
      <c r="D895">
        <v>0</v>
      </c>
      <c r="E895">
        <v>15</v>
      </c>
      <c r="F895">
        <v>7</v>
      </c>
      <c r="G895">
        <v>20260416</v>
      </c>
      <c r="H895">
        <v>20260507</v>
      </c>
      <c r="I895">
        <v>928.85860000000002</v>
      </c>
      <c r="J895">
        <f t="shared" si="131"/>
        <v>22</v>
      </c>
      <c r="K895">
        <f t="shared" si="132"/>
        <v>42.220845454545454</v>
      </c>
      <c r="L895">
        <f t="shared" si="133"/>
        <v>0</v>
      </c>
      <c r="M895">
        <f t="shared" si="134"/>
        <v>633.31268181818177</v>
      </c>
      <c r="N895">
        <f t="shared" si="135"/>
        <v>222.10140516375284</v>
      </c>
      <c r="O895">
        <f t="shared" si="136"/>
        <v>855.41408698193459</v>
      </c>
      <c r="P895">
        <f t="shared" si="137"/>
        <v>0</v>
      </c>
      <c r="Q895">
        <f t="shared" si="138"/>
        <v>687.68791623641471</v>
      </c>
      <c r="R895">
        <f t="shared" si="139"/>
        <v>241.17068376358534</v>
      </c>
      <c r="S895">
        <f t="shared" si="140"/>
        <v>928.85860000000002</v>
      </c>
    </row>
    <row r="896" spans="1:19" x14ac:dyDescent="0.3">
      <c r="A896" t="s">
        <v>13</v>
      </c>
      <c r="B896" t="s">
        <v>33</v>
      </c>
      <c r="C896" t="s">
        <v>15</v>
      </c>
      <c r="D896">
        <v>18</v>
      </c>
      <c r="E896">
        <v>4</v>
      </c>
      <c r="F896">
        <v>0</v>
      </c>
      <c r="G896">
        <v>20260314</v>
      </c>
      <c r="H896">
        <v>20260404</v>
      </c>
      <c r="I896">
        <v>926.40189999999996</v>
      </c>
      <c r="J896">
        <f t="shared" si="131"/>
        <v>22</v>
      </c>
      <c r="K896">
        <f t="shared" si="132"/>
        <v>42.109177272727273</v>
      </c>
      <c r="L896">
        <f t="shared" si="133"/>
        <v>1221.3082069258933</v>
      </c>
      <c r="M896">
        <f t="shared" si="134"/>
        <v>168.43670909090909</v>
      </c>
      <c r="N896">
        <f t="shared" si="135"/>
        <v>0</v>
      </c>
      <c r="O896">
        <f t="shared" si="136"/>
        <v>1389.7449160168023</v>
      </c>
      <c r="P896">
        <f t="shared" si="137"/>
        <v>814.12223951468047</v>
      </c>
      <c r="Q896">
        <f t="shared" si="138"/>
        <v>112.27966048531951</v>
      </c>
      <c r="R896">
        <f t="shared" si="139"/>
        <v>0</v>
      </c>
      <c r="S896">
        <f t="shared" si="140"/>
        <v>926.40189999999996</v>
      </c>
    </row>
    <row r="897" spans="1:19" x14ac:dyDescent="0.3">
      <c r="A897" t="s">
        <v>13</v>
      </c>
      <c r="B897" t="s">
        <v>33</v>
      </c>
      <c r="C897" t="s">
        <v>14</v>
      </c>
      <c r="D897">
        <v>0</v>
      </c>
      <c r="E897">
        <v>7</v>
      </c>
      <c r="F897">
        <v>6</v>
      </c>
      <c r="G897">
        <v>20260424</v>
      </c>
      <c r="H897">
        <v>20260506</v>
      </c>
      <c r="I897">
        <v>768.06</v>
      </c>
      <c r="J897">
        <f t="shared" si="131"/>
        <v>13</v>
      </c>
      <c r="K897">
        <f t="shared" si="132"/>
        <v>59.081538461538457</v>
      </c>
      <c r="L897">
        <f t="shared" si="133"/>
        <v>0</v>
      </c>
      <c r="M897">
        <f t="shared" si="134"/>
        <v>413.5707692307692</v>
      </c>
      <c r="N897">
        <f t="shared" si="135"/>
        <v>266.39703486220429</v>
      </c>
      <c r="O897">
        <f t="shared" si="136"/>
        <v>679.96780409297344</v>
      </c>
      <c r="P897">
        <f t="shared" si="137"/>
        <v>0</v>
      </c>
      <c r="Q897">
        <f t="shared" si="138"/>
        <v>467.15030197510936</v>
      </c>
      <c r="R897">
        <f t="shared" si="139"/>
        <v>300.90969802489059</v>
      </c>
      <c r="S897">
        <f t="shared" si="140"/>
        <v>768.06</v>
      </c>
    </row>
    <row r="898" spans="1:19" x14ac:dyDescent="0.3">
      <c r="A898" t="s">
        <v>13</v>
      </c>
      <c r="B898" t="s">
        <v>33</v>
      </c>
      <c r="C898" t="s">
        <v>15</v>
      </c>
      <c r="D898">
        <v>1</v>
      </c>
      <c r="E898">
        <v>30</v>
      </c>
      <c r="F898">
        <v>7</v>
      </c>
      <c r="G898">
        <v>20260331</v>
      </c>
      <c r="H898">
        <v>20260507</v>
      </c>
      <c r="I898">
        <v>2217.4335999999998</v>
      </c>
      <c r="J898">
        <f t="shared" si="131"/>
        <v>38</v>
      </c>
      <c r="K898">
        <f t="shared" si="132"/>
        <v>58.353515789473683</v>
      </c>
      <c r="L898">
        <f t="shared" si="133"/>
        <v>94.02493490655776</v>
      </c>
      <c r="M898">
        <f t="shared" si="134"/>
        <v>1750.6054736842104</v>
      </c>
      <c r="N898">
        <f t="shared" si="135"/>
        <v>306.96680072502051</v>
      </c>
      <c r="O898">
        <f t="shared" si="136"/>
        <v>2151.5972093157889</v>
      </c>
      <c r="P898">
        <f t="shared" si="137"/>
        <v>96.901989367199192</v>
      </c>
      <c r="Q898">
        <f t="shared" si="138"/>
        <v>1804.1719801847662</v>
      </c>
      <c r="R898">
        <f t="shared" si="139"/>
        <v>316.3596304480343</v>
      </c>
      <c r="S898">
        <f t="shared" si="140"/>
        <v>2217.4335999999994</v>
      </c>
    </row>
    <row r="899" spans="1:19" x14ac:dyDescent="0.3">
      <c r="A899" t="s">
        <v>13</v>
      </c>
      <c r="B899" t="s">
        <v>33</v>
      </c>
      <c r="C899" t="s">
        <v>15</v>
      </c>
      <c r="D899">
        <v>12</v>
      </c>
      <c r="E899">
        <v>3</v>
      </c>
      <c r="F899">
        <v>0</v>
      </c>
      <c r="G899">
        <v>20260320</v>
      </c>
      <c r="H899">
        <v>20260403</v>
      </c>
      <c r="I899">
        <v>236.25960000000001</v>
      </c>
      <c r="J899">
        <f t="shared" si="131"/>
        <v>15</v>
      </c>
      <c r="K899">
        <f t="shared" si="132"/>
        <v>15.750640000000001</v>
      </c>
      <c r="L899">
        <f t="shared" si="133"/>
        <v>304.54779919267975</v>
      </c>
      <c r="M899">
        <f t="shared" si="134"/>
        <v>47.251919999999998</v>
      </c>
      <c r="N899">
        <f t="shared" si="135"/>
        <v>0</v>
      </c>
      <c r="O899">
        <f t="shared" si="136"/>
        <v>351.79971919267973</v>
      </c>
      <c r="P899">
        <f t="shared" si="137"/>
        <v>204.52643163917574</v>
      </c>
      <c r="Q899">
        <f t="shared" si="138"/>
        <v>31.733168360824251</v>
      </c>
      <c r="R899">
        <f t="shared" si="139"/>
        <v>0</v>
      </c>
      <c r="S899">
        <f t="shared" si="140"/>
        <v>236.25959999999998</v>
      </c>
    </row>
    <row r="900" spans="1:19" x14ac:dyDescent="0.3">
      <c r="A900" t="s">
        <v>13</v>
      </c>
      <c r="B900" t="s">
        <v>24</v>
      </c>
      <c r="C900" t="s">
        <v>15</v>
      </c>
      <c r="D900">
        <v>20</v>
      </c>
      <c r="E900">
        <v>5</v>
      </c>
      <c r="F900">
        <v>0</v>
      </c>
      <c r="G900">
        <v>20260312</v>
      </c>
      <c r="H900">
        <v>20260405</v>
      </c>
      <c r="I900">
        <v>235.7782</v>
      </c>
      <c r="J900">
        <f t="shared" si="131"/>
        <v>25</v>
      </c>
      <c r="K900">
        <f t="shared" si="132"/>
        <v>9.4311279999999993</v>
      </c>
      <c r="L900">
        <f t="shared" si="133"/>
        <v>303.92725589822163</v>
      </c>
      <c r="M900">
        <f t="shared" si="134"/>
        <v>47.155639999999998</v>
      </c>
      <c r="N900">
        <f t="shared" si="135"/>
        <v>0</v>
      </c>
      <c r="O900">
        <f t="shared" si="136"/>
        <v>351.08289589822164</v>
      </c>
      <c r="P900">
        <f t="shared" si="137"/>
        <v>204.10969079905286</v>
      </c>
      <c r="Q900">
        <f t="shared" si="138"/>
        <v>31.668509200947138</v>
      </c>
      <c r="R900">
        <f t="shared" si="139"/>
        <v>0</v>
      </c>
      <c r="S900">
        <f t="shared" si="140"/>
        <v>235.7782</v>
      </c>
    </row>
    <row r="901" spans="1:19" x14ac:dyDescent="0.3">
      <c r="A901" t="s">
        <v>13</v>
      </c>
      <c r="B901" t="s">
        <v>33</v>
      </c>
      <c r="C901" t="s">
        <v>15</v>
      </c>
      <c r="D901">
        <v>2</v>
      </c>
      <c r="E901">
        <v>15</v>
      </c>
      <c r="F901">
        <v>0</v>
      </c>
      <c r="G901">
        <v>20260330</v>
      </c>
      <c r="H901">
        <v>20260415</v>
      </c>
      <c r="I901">
        <v>37.174300000000002</v>
      </c>
      <c r="J901">
        <f t="shared" si="131"/>
        <v>17</v>
      </c>
      <c r="K901">
        <f t="shared" si="132"/>
        <v>2.1867235294117648</v>
      </c>
      <c r="L901">
        <f t="shared" si="133"/>
        <v>7.0469288689771989</v>
      </c>
      <c r="M901">
        <f t="shared" si="134"/>
        <v>32.800852941176473</v>
      </c>
      <c r="N901">
        <f t="shared" si="135"/>
        <v>0</v>
      </c>
      <c r="O901">
        <f t="shared" si="136"/>
        <v>39.84778181015367</v>
      </c>
      <c r="P901">
        <f t="shared" si="137"/>
        <v>6.5741337648879501</v>
      </c>
      <c r="Q901">
        <f t="shared" si="138"/>
        <v>30.600166235112056</v>
      </c>
      <c r="R901">
        <f t="shared" si="139"/>
        <v>0</v>
      </c>
      <c r="S901">
        <f t="shared" si="140"/>
        <v>37.174300000000002</v>
      </c>
    </row>
    <row r="902" spans="1:19" x14ac:dyDescent="0.3">
      <c r="A902" t="s">
        <v>13</v>
      </c>
      <c r="B902" t="s">
        <v>33</v>
      </c>
      <c r="C902" t="s">
        <v>15</v>
      </c>
      <c r="D902">
        <v>16</v>
      </c>
      <c r="E902">
        <v>1</v>
      </c>
      <c r="F902">
        <v>0</v>
      </c>
      <c r="G902">
        <v>20260316</v>
      </c>
      <c r="H902">
        <v>20260401</v>
      </c>
      <c r="I902">
        <v>1802.0967000000001</v>
      </c>
      <c r="J902">
        <f t="shared" si="131"/>
        <v>17</v>
      </c>
      <c r="K902">
        <f t="shared" si="132"/>
        <v>106.00568823529412</v>
      </c>
      <c r="L902">
        <f t="shared" si="133"/>
        <v>2732.9089741931475</v>
      </c>
      <c r="M902">
        <f t="shared" si="134"/>
        <v>106.00568823529412</v>
      </c>
      <c r="N902">
        <f t="shared" si="135"/>
        <v>0</v>
      </c>
      <c r="O902">
        <f t="shared" si="136"/>
        <v>2838.9146624284417</v>
      </c>
      <c r="P902">
        <f t="shared" si="137"/>
        <v>1734.8060189949426</v>
      </c>
      <c r="Q902">
        <f t="shared" si="138"/>
        <v>67.290681005057365</v>
      </c>
      <c r="R902">
        <f t="shared" si="139"/>
        <v>0</v>
      </c>
      <c r="S902">
        <f t="shared" si="140"/>
        <v>1802.0967000000001</v>
      </c>
    </row>
    <row r="903" spans="1:19" x14ac:dyDescent="0.3">
      <c r="A903" t="s">
        <v>13</v>
      </c>
      <c r="B903" t="s">
        <v>24</v>
      </c>
      <c r="C903" t="s">
        <v>15</v>
      </c>
      <c r="D903">
        <v>13</v>
      </c>
      <c r="E903">
        <v>3</v>
      </c>
      <c r="F903">
        <v>0</v>
      </c>
      <c r="G903">
        <v>20260319</v>
      </c>
      <c r="H903">
        <v>20260403</v>
      </c>
      <c r="I903">
        <v>445.3732</v>
      </c>
      <c r="J903">
        <f t="shared" si="131"/>
        <v>16</v>
      </c>
      <c r="K903">
        <f t="shared" si="132"/>
        <v>27.835825</v>
      </c>
      <c r="L903">
        <f t="shared" si="133"/>
        <v>583.0737150575759</v>
      </c>
      <c r="M903">
        <f t="shared" si="134"/>
        <v>83.507474999999999</v>
      </c>
      <c r="N903">
        <f t="shared" si="135"/>
        <v>0</v>
      </c>
      <c r="O903">
        <f t="shared" si="136"/>
        <v>666.5811900575759</v>
      </c>
      <c r="P903">
        <f t="shared" si="137"/>
        <v>389.57805918383394</v>
      </c>
      <c r="Q903">
        <f t="shared" si="138"/>
        <v>55.795140816166068</v>
      </c>
      <c r="R903">
        <f t="shared" si="139"/>
        <v>0</v>
      </c>
      <c r="S903">
        <f t="shared" si="140"/>
        <v>445.3732</v>
      </c>
    </row>
    <row r="904" spans="1:19" x14ac:dyDescent="0.3">
      <c r="A904" t="s">
        <v>13</v>
      </c>
      <c r="B904" t="s">
        <v>33</v>
      </c>
      <c r="C904" t="s">
        <v>14</v>
      </c>
      <c r="D904">
        <v>12</v>
      </c>
      <c r="E904">
        <v>2</v>
      </c>
      <c r="F904">
        <v>0</v>
      </c>
      <c r="G904">
        <v>20260320</v>
      </c>
      <c r="H904">
        <v>20260402</v>
      </c>
      <c r="I904">
        <v>24.116</v>
      </c>
      <c r="J904">
        <f t="shared" si="131"/>
        <v>14</v>
      </c>
      <c r="K904">
        <f t="shared" si="132"/>
        <v>1.7225714285714286</v>
      </c>
      <c r="L904">
        <f t="shared" si="133"/>
        <v>33.306921974194005</v>
      </c>
      <c r="M904">
        <f t="shared" si="134"/>
        <v>3.4451428571428573</v>
      </c>
      <c r="N904">
        <f t="shared" si="135"/>
        <v>0</v>
      </c>
      <c r="O904">
        <f t="shared" si="136"/>
        <v>36.75206483133686</v>
      </c>
      <c r="P904">
        <f t="shared" si="137"/>
        <v>21.855363338518714</v>
      </c>
      <c r="Q904">
        <f t="shared" si="138"/>
        <v>2.2606366614812861</v>
      </c>
      <c r="R904">
        <f t="shared" si="139"/>
        <v>0</v>
      </c>
      <c r="S904">
        <f t="shared" si="140"/>
        <v>24.116</v>
      </c>
    </row>
    <row r="905" spans="1:19" x14ac:dyDescent="0.3">
      <c r="A905" t="s">
        <v>13</v>
      </c>
      <c r="B905" t="s">
        <v>33</v>
      </c>
      <c r="C905" t="s">
        <v>15</v>
      </c>
      <c r="D905">
        <v>7</v>
      </c>
      <c r="E905">
        <v>7</v>
      </c>
      <c r="F905">
        <v>0</v>
      </c>
      <c r="G905">
        <v>20260325</v>
      </c>
      <c r="H905">
        <v>20260407</v>
      </c>
      <c r="I905">
        <v>5102.6239999999998</v>
      </c>
      <c r="J905">
        <f t="shared" si="131"/>
        <v>14</v>
      </c>
      <c r="K905">
        <f t="shared" si="132"/>
        <v>364.47314285714282</v>
      </c>
      <c r="L905">
        <f t="shared" si="133"/>
        <v>4110.9253055424742</v>
      </c>
      <c r="M905">
        <f t="shared" si="134"/>
        <v>2551.3119999999999</v>
      </c>
      <c r="N905">
        <f t="shared" si="135"/>
        <v>0</v>
      </c>
      <c r="O905">
        <f t="shared" si="136"/>
        <v>6662.2373055424741</v>
      </c>
      <c r="P905">
        <f t="shared" si="137"/>
        <v>3148.5678405387189</v>
      </c>
      <c r="Q905">
        <f t="shared" si="138"/>
        <v>1954.0561594612809</v>
      </c>
      <c r="R905">
        <f t="shared" si="139"/>
        <v>0</v>
      </c>
      <c r="S905">
        <f t="shared" si="140"/>
        <v>5102.6239999999998</v>
      </c>
    </row>
    <row r="906" spans="1:19" x14ac:dyDescent="0.3">
      <c r="A906" t="s">
        <v>13</v>
      </c>
      <c r="B906" t="s">
        <v>24</v>
      </c>
      <c r="C906" t="s">
        <v>15</v>
      </c>
      <c r="D906">
        <v>7</v>
      </c>
      <c r="E906">
        <v>7</v>
      </c>
      <c r="F906">
        <v>0</v>
      </c>
      <c r="G906">
        <v>20260325</v>
      </c>
      <c r="H906">
        <v>20260407</v>
      </c>
      <c r="I906">
        <v>5102.6241</v>
      </c>
      <c r="J906">
        <f t="shared" si="131"/>
        <v>14</v>
      </c>
      <c r="K906">
        <f t="shared" si="132"/>
        <v>364.47314999999998</v>
      </c>
      <c r="L906">
        <f t="shared" si="133"/>
        <v>4110.9253861074012</v>
      </c>
      <c r="M906">
        <f t="shared" si="134"/>
        <v>2551.31205</v>
      </c>
      <c r="N906">
        <f t="shared" si="135"/>
        <v>0</v>
      </c>
      <c r="O906">
        <f t="shared" si="136"/>
        <v>6662.2374361074017</v>
      </c>
      <c r="P906">
        <f t="shared" si="137"/>
        <v>3148.5679022435952</v>
      </c>
      <c r="Q906">
        <f t="shared" si="138"/>
        <v>1954.0561977564041</v>
      </c>
      <c r="R906">
        <f t="shared" si="139"/>
        <v>0</v>
      </c>
      <c r="S906">
        <f t="shared" si="140"/>
        <v>5102.6240999999991</v>
      </c>
    </row>
    <row r="907" spans="1:19" x14ac:dyDescent="0.3">
      <c r="A907" t="s">
        <v>13</v>
      </c>
      <c r="B907" t="s">
        <v>33</v>
      </c>
      <c r="C907" t="s">
        <v>15</v>
      </c>
      <c r="D907">
        <v>19</v>
      </c>
      <c r="E907">
        <v>3</v>
      </c>
      <c r="F907">
        <v>0</v>
      </c>
      <c r="G907">
        <v>20260313</v>
      </c>
      <c r="H907">
        <v>20260403</v>
      </c>
      <c r="I907">
        <v>643.21259999999995</v>
      </c>
      <c r="J907">
        <f t="shared" ref="J907:J909" si="141">IF(D907&lt;0,0,D907)+E907+F907</f>
        <v>22</v>
      </c>
      <c r="K907">
        <f t="shared" ref="K907:K909" si="142">I907/J907</f>
        <v>29.23693636363636</v>
      </c>
      <c r="L907">
        <f t="shared" ref="L907:L909" si="143">IF(D907&lt;0,0,D907)*$K907*$B$6</f>
        <v>895.07922571694326</v>
      </c>
      <c r="M907">
        <f t="shared" ref="M907:M909" si="144">IF(E907&lt;0,0,E907)*$K907*$C$6</f>
        <v>87.710809090909081</v>
      </c>
      <c r="N907">
        <f t="shared" ref="N907:N909" si="145">IF(F907&lt;0,0,F907)*$K907*$D$6</f>
        <v>0</v>
      </c>
      <c r="O907">
        <f t="shared" ref="O907:O909" si="146">L907+M907+N907</f>
        <v>982.79003480785229</v>
      </c>
      <c r="P907">
        <f t="shared" ref="P907:P909" si="147">L907/$O907*$I907</f>
        <v>585.80797076553949</v>
      </c>
      <c r="Q907">
        <f t="shared" ref="Q907:Q909" si="148">M907/$O907*$I907</f>
        <v>57.404629234460472</v>
      </c>
      <c r="R907">
        <f t="shared" ref="R907:R909" si="149">N907/$O907*$I907</f>
        <v>0</v>
      </c>
      <c r="S907">
        <f t="shared" ref="S907:S909" si="150">P907+Q907+R907</f>
        <v>643.21259999999995</v>
      </c>
    </row>
    <row r="908" spans="1:19" x14ac:dyDescent="0.3">
      <c r="A908" t="s">
        <v>13</v>
      </c>
      <c r="B908" t="s">
        <v>24</v>
      </c>
      <c r="C908" t="s">
        <v>15</v>
      </c>
      <c r="D908">
        <v>16</v>
      </c>
      <c r="E908">
        <v>9</v>
      </c>
      <c r="F908">
        <v>0</v>
      </c>
      <c r="G908">
        <v>20260316</v>
      </c>
      <c r="H908">
        <v>20260409</v>
      </c>
      <c r="I908">
        <v>11643.4385</v>
      </c>
      <c r="J908">
        <f t="shared" si="141"/>
        <v>25</v>
      </c>
      <c r="K908">
        <f t="shared" si="142"/>
        <v>465.73754000000002</v>
      </c>
      <c r="L908">
        <f t="shared" si="143"/>
        <v>12007.07550579216</v>
      </c>
      <c r="M908">
        <f t="shared" si="144"/>
        <v>4191.6378599999998</v>
      </c>
      <c r="N908">
        <f t="shared" si="145"/>
        <v>0</v>
      </c>
      <c r="O908">
        <f t="shared" si="146"/>
        <v>16198.713365792159</v>
      </c>
      <c r="P908">
        <f t="shared" si="147"/>
        <v>8630.5400965844328</v>
      </c>
      <c r="Q908">
        <f t="shared" si="148"/>
        <v>3012.8984034155678</v>
      </c>
      <c r="R908">
        <f t="shared" si="149"/>
        <v>0</v>
      </c>
      <c r="S908">
        <f t="shared" si="150"/>
        <v>11643.4385</v>
      </c>
    </row>
    <row r="909" spans="1:19" x14ac:dyDescent="0.3">
      <c r="A909" t="s">
        <v>13</v>
      </c>
      <c r="B909" t="s">
        <v>33</v>
      </c>
      <c r="C909" t="s">
        <v>15</v>
      </c>
      <c r="D909">
        <v>1</v>
      </c>
      <c r="E909">
        <v>30</v>
      </c>
      <c r="F909">
        <v>6</v>
      </c>
      <c r="G909">
        <v>20260331</v>
      </c>
      <c r="H909">
        <v>20260506</v>
      </c>
      <c r="I909">
        <v>9929.4305999999997</v>
      </c>
      <c r="J909">
        <f t="shared" si="141"/>
        <v>37</v>
      </c>
      <c r="K909">
        <f t="shared" si="142"/>
        <v>268.36298918918919</v>
      </c>
      <c r="L909">
        <f t="shared" si="143"/>
        <v>432.41289318157061</v>
      </c>
      <c r="M909">
        <f t="shared" si="144"/>
        <v>8050.8896756756758</v>
      </c>
      <c r="N909">
        <f t="shared" si="145"/>
        <v>1210.0413504515941</v>
      </c>
      <c r="O909">
        <f t="shared" si="146"/>
        <v>9693.3439193088416</v>
      </c>
      <c r="P909">
        <f t="shared" si="147"/>
        <v>442.94454515730865</v>
      </c>
      <c r="Q909">
        <f t="shared" si="148"/>
        <v>8246.9734869964359</v>
      </c>
      <c r="R909">
        <f t="shared" si="149"/>
        <v>1239.5125678462548</v>
      </c>
      <c r="S909">
        <f t="shared" si="150"/>
        <v>9929.4305999999997</v>
      </c>
    </row>
  </sheetData>
  <autoFilter ref="A9:S9" xr:uid="{919B7CE4-068E-4220-B194-7E4D930DC5D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4월검증</vt:lpstr>
      <vt:lpstr>4월계산내역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2024-10-08T06:13:20Z</dcterms:created>
  <dcterms:modified xsi:type="dcterms:W3CDTF">2026-06-10T02:13:26Z</dcterms:modified>
</cp:coreProperties>
</file>
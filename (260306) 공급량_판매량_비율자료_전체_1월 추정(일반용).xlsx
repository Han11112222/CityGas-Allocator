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1. 공급량_판매량_비율자료_전체\"/>
    </mc:Choice>
  </mc:AlternateContent>
  <xr:revisionPtr revIDLastSave="0" documentId="13_ncr:1_{209B32C7-D149-4CE6-BBB1-1AC16E3CF018}" xr6:coauthVersionLast="36" xr6:coauthVersionMax="47" xr10:uidLastSave="{00000000-0000-0000-0000-000000000000}"/>
  <bookViews>
    <workbookView xWindow="0" yWindow="0" windowWidth="28800" windowHeight="11400" xr2:uid="{B507BD70-4D25-4689-9D44-8F066B49CCC7}"/>
  </bookViews>
  <sheets>
    <sheet name="1월검증" sheetId="20" r:id="rId1"/>
    <sheet name="1월계산내역" sheetId="1" r:id="rId2"/>
  </sheets>
  <definedNames>
    <definedName name="_xlnm._FilterDatabase" localSheetId="1" hidden="1">'1월계산내역'!$A$9:$S$9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0" l="1"/>
  <c r="C5" i="20"/>
  <c r="D6" i="20" s="1"/>
  <c r="B5" i="20"/>
  <c r="B6" i="20" s="1"/>
  <c r="J11" i="1"/>
  <c r="K11" i="1" s="1"/>
  <c r="L11" i="1" s="1"/>
  <c r="M11" i="1"/>
  <c r="N11" i="1"/>
  <c r="O11" i="1"/>
  <c r="P11" i="1"/>
  <c r="Q11" i="1"/>
  <c r="R11" i="1"/>
  <c r="S11" i="1"/>
  <c r="J12" i="1"/>
  <c r="K12" i="1"/>
  <c r="J13" i="1"/>
  <c r="K13" i="1" s="1"/>
  <c r="J14" i="1"/>
  <c r="K14" i="1"/>
  <c r="J15" i="1"/>
  <c r="K15" i="1" s="1"/>
  <c r="J16" i="1"/>
  <c r="K16" i="1"/>
  <c r="L16" i="1"/>
  <c r="J17" i="1"/>
  <c r="K17" i="1" s="1"/>
  <c r="J18" i="1"/>
  <c r="K18" i="1" s="1"/>
  <c r="J19" i="1"/>
  <c r="K19" i="1" s="1"/>
  <c r="J20" i="1"/>
  <c r="K20" i="1"/>
  <c r="J21" i="1"/>
  <c r="K21" i="1" s="1"/>
  <c r="J22" i="1"/>
  <c r="K22" i="1"/>
  <c r="J23" i="1"/>
  <c r="K23" i="1"/>
  <c r="J24" i="1"/>
  <c r="K24" i="1"/>
  <c r="M24" i="1" s="1"/>
  <c r="L24" i="1"/>
  <c r="N24" i="1"/>
  <c r="J25" i="1"/>
  <c r="K25" i="1" s="1"/>
  <c r="J26" i="1"/>
  <c r="K26" i="1"/>
  <c r="N26" i="1" s="1"/>
  <c r="L26" i="1"/>
  <c r="M26" i="1"/>
  <c r="J27" i="1"/>
  <c r="K27" i="1" s="1"/>
  <c r="M27" i="1"/>
  <c r="J28" i="1"/>
  <c r="K28" i="1"/>
  <c r="J29" i="1"/>
  <c r="K29" i="1"/>
  <c r="L29" i="1"/>
  <c r="J30" i="1"/>
  <c r="K30" i="1" s="1"/>
  <c r="J31" i="1"/>
  <c r="K31" i="1" s="1"/>
  <c r="J32" i="1"/>
  <c r="K32" i="1"/>
  <c r="L32" i="1"/>
  <c r="M32" i="1"/>
  <c r="N32" i="1"/>
  <c r="J33" i="1"/>
  <c r="K33" i="1"/>
  <c r="J34" i="1"/>
  <c r="K34" i="1"/>
  <c r="L34" i="1"/>
  <c r="J35" i="1"/>
  <c r="K35" i="1"/>
  <c r="L35" i="1"/>
  <c r="M35" i="1"/>
  <c r="N35" i="1"/>
  <c r="O35" i="1"/>
  <c r="P35" i="1"/>
  <c r="Q35" i="1"/>
  <c r="R35" i="1"/>
  <c r="S35" i="1"/>
  <c r="J36" i="1"/>
  <c r="K36" i="1"/>
  <c r="M36" i="1" s="1"/>
  <c r="L36" i="1"/>
  <c r="N36" i="1"/>
  <c r="O36" i="1"/>
  <c r="J37" i="1"/>
  <c r="K37" i="1"/>
  <c r="J38" i="1"/>
  <c r="K38" i="1"/>
  <c r="J39" i="1"/>
  <c r="K39" i="1"/>
  <c r="J40" i="1"/>
  <c r="K40" i="1"/>
  <c r="L40" i="1"/>
  <c r="M40" i="1"/>
  <c r="N40" i="1"/>
  <c r="J41" i="1"/>
  <c r="K41" i="1" s="1"/>
  <c r="J42" i="1"/>
  <c r="K42" i="1" s="1"/>
  <c r="J43" i="1"/>
  <c r="K43" i="1"/>
  <c r="L43" i="1"/>
  <c r="M43" i="1"/>
  <c r="N43" i="1"/>
  <c r="O43" i="1"/>
  <c r="P43" i="1"/>
  <c r="Q43" i="1"/>
  <c r="R43" i="1"/>
  <c r="S43" i="1"/>
  <c r="J44" i="1"/>
  <c r="K44" i="1"/>
  <c r="L44" i="1" s="1"/>
  <c r="M44" i="1"/>
  <c r="N44" i="1"/>
  <c r="O44" i="1"/>
  <c r="J45" i="1"/>
  <c r="K45" i="1" s="1"/>
  <c r="J46" i="1"/>
  <c r="K46" i="1" s="1"/>
  <c r="J47" i="1"/>
  <c r="K47" i="1" s="1"/>
  <c r="J48" i="1"/>
  <c r="K48" i="1"/>
  <c r="N48" i="1" s="1"/>
  <c r="L48" i="1"/>
  <c r="M48" i="1"/>
  <c r="O48" i="1"/>
  <c r="P48" i="1"/>
  <c r="J49" i="1"/>
  <c r="K49" i="1" s="1"/>
  <c r="J50" i="1"/>
  <c r="K50" i="1" s="1"/>
  <c r="J51" i="1"/>
  <c r="K51" i="1"/>
  <c r="L51" i="1"/>
  <c r="M51" i="1"/>
  <c r="N51" i="1"/>
  <c r="O51" i="1"/>
  <c r="R51" i="1" s="1"/>
  <c r="P51" i="1"/>
  <c r="S51" i="1" s="1"/>
  <c r="Q51" i="1"/>
  <c r="J52" i="1"/>
  <c r="K52" i="1"/>
  <c r="L52" i="1"/>
  <c r="M52" i="1"/>
  <c r="N52" i="1"/>
  <c r="J53" i="1"/>
  <c r="K53" i="1"/>
  <c r="L53" i="1"/>
  <c r="M53" i="1"/>
  <c r="N53" i="1"/>
  <c r="O53" i="1"/>
  <c r="Q53" i="1"/>
  <c r="R53" i="1"/>
  <c r="J54" i="1"/>
  <c r="K54" i="1" s="1"/>
  <c r="J55" i="1"/>
  <c r="K55" i="1"/>
  <c r="L55" i="1" s="1"/>
  <c r="M55" i="1"/>
  <c r="N55" i="1"/>
  <c r="O55" i="1"/>
  <c r="Q55" i="1" s="1"/>
  <c r="P55" i="1"/>
  <c r="J56" i="1"/>
  <c r="K56" i="1"/>
  <c r="J57" i="1"/>
  <c r="K57" i="1"/>
  <c r="N57" i="1" s="1"/>
  <c r="L57" i="1"/>
  <c r="M57" i="1"/>
  <c r="J58" i="1"/>
  <c r="K58" i="1" s="1"/>
  <c r="L58" i="1"/>
  <c r="J59" i="1"/>
  <c r="K59" i="1"/>
  <c r="L59" i="1"/>
  <c r="M59" i="1"/>
  <c r="N59" i="1"/>
  <c r="J60" i="1"/>
  <c r="K60" i="1"/>
  <c r="L60" i="1"/>
  <c r="M60" i="1"/>
  <c r="N60" i="1"/>
  <c r="O60" i="1"/>
  <c r="J61" i="1"/>
  <c r="K61" i="1"/>
  <c r="L61" i="1"/>
  <c r="M61" i="1"/>
  <c r="N61" i="1"/>
  <c r="J62" i="1"/>
  <c r="K62" i="1"/>
  <c r="J63" i="1"/>
  <c r="K63" i="1"/>
  <c r="L63" i="1" s="1"/>
  <c r="M63" i="1"/>
  <c r="N63" i="1"/>
  <c r="O63" i="1"/>
  <c r="Q63" i="1" s="1"/>
  <c r="P63" i="1"/>
  <c r="J64" i="1"/>
  <c r="K64" i="1"/>
  <c r="N64" i="1"/>
  <c r="J65" i="1"/>
  <c r="K65" i="1"/>
  <c r="N65" i="1" s="1"/>
  <c r="L65" i="1"/>
  <c r="M65" i="1"/>
  <c r="J66" i="1"/>
  <c r="K66" i="1" s="1"/>
  <c r="M66" i="1"/>
  <c r="J67" i="1"/>
  <c r="K67" i="1"/>
  <c r="L67" i="1"/>
  <c r="M67" i="1"/>
  <c r="N67" i="1"/>
  <c r="O67" i="1"/>
  <c r="J68" i="1"/>
  <c r="K68" i="1"/>
  <c r="L68" i="1"/>
  <c r="M68" i="1"/>
  <c r="N68" i="1"/>
  <c r="J69" i="1"/>
  <c r="K69" i="1"/>
  <c r="L69" i="1"/>
  <c r="M69" i="1"/>
  <c r="N69" i="1"/>
  <c r="O69" i="1"/>
  <c r="Q69" i="1"/>
  <c r="R69" i="1"/>
  <c r="J70" i="1"/>
  <c r="K70" i="1"/>
  <c r="J71" i="1"/>
  <c r="K71" i="1"/>
  <c r="L71" i="1" s="1"/>
  <c r="M71" i="1"/>
  <c r="N71" i="1"/>
  <c r="O71" i="1"/>
  <c r="P71" i="1" s="1"/>
  <c r="J72" i="1"/>
  <c r="K72" i="1"/>
  <c r="L72" i="1"/>
  <c r="M72" i="1"/>
  <c r="N72" i="1"/>
  <c r="J73" i="1"/>
  <c r="K73" i="1"/>
  <c r="N73" i="1" s="1"/>
  <c r="L73" i="1"/>
  <c r="M73" i="1"/>
  <c r="J74" i="1"/>
  <c r="K74" i="1" s="1"/>
  <c r="N74" i="1" s="1"/>
  <c r="L74" i="1"/>
  <c r="M74" i="1"/>
  <c r="O74" i="1"/>
  <c r="P74" i="1"/>
  <c r="Q74" i="1"/>
  <c r="J75" i="1"/>
  <c r="K75" i="1"/>
  <c r="L75" i="1"/>
  <c r="M75" i="1"/>
  <c r="N75" i="1"/>
  <c r="O75" i="1"/>
  <c r="P75" i="1"/>
  <c r="Q75" i="1"/>
  <c r="J76" i="1"/>
  <c r="K76" i="1"/>
  <c r="N76" i="1" s="1"/>
  <c r="L76" i="1"/>
  <c r="M76" i="1"/>
  <c r="J77" i="1"/>
  <c r="K77" i="1"/>
  <c r="N77" i="1" s="1"/>
  <c r="L77" i="1"/>
  <c r="M77" i="1"/>
  <c r="J78" i="1"/>
  <c r="K78" i="1"/>
  <c r="J79" i="1"/>
  <c r="K79" i="1"/>
  <c r="L79" i="1" s="1"/>
  <c r="M79" i="1"/>
  <c r="N79" i="1"/>
  <c r="O79" i="1"/>
  <c r="P79" i="1"/>
  <c r="Q79" i="1"/>
  <c r="J80" i="1"/>
  <c r="K80" i="1"/>
  <c r="J81" i="1"/>
  <c r="K81" i="1"/>
  <c r="N81" i="1" s="1"/>
  <c r="L81" i="1"/>
  <c r="M81" i="1"/>
  <c r="J82" i="1"/>
  <c r="K82" i="1"/>
  <c r="J83" i="1"/>
  <c r="K83" i="1"/>
  <c r="L83" i="1"/>
  <c r="M83" i="1"/>
  <c r="N83" i="1"/>
  <c r="J84" i="1"/>
  <c r="K84" i="1"/>
  <c r="L84" i="1"/>
  <c r="J85" i="1"/>
  <c r="K85" i="1"/>
  <c r="L85" i="1" s="1"/>
  <c r="M85" i="1"/>
  <c r="N85" i="1"/>
  <c r="J86" i="1"/>
  <c r="K86" i="1"/>
  <c r="J87" i="1"/>
  <c r="K87" i="1"/>
  <c r="L87" i="1" s="1"/>
  <c r="M87" i="1"/>
  <c r="N87" i="1"/>
  <c r="O87" i="1"/>
  <c r="P87" i="1"/>
  <c r="J88" i="1"/>
  <c r="K88" i="1"/>
  <c r="N88" i="1" s="1"/>
  <c r="L88" i="1"/>
  <c r="M88" i="1"/>
  <c r="J89" i="1"/>
  <c r="K89" i="1" s="1"/>
  <c r="J90" i="1"/>
  <c r="K90" i="1"/>
  <c r="N90" i="1" s="1"/>
  <c r="L90" i="1"/>
  <c r="M90" i="1"/>
  <c r="O90" i="1"/>
  <c r="J91" i="1"/>
  <c r="K91" i="1"/>
  <c r="L91" i="1"/>
  <c r="M91" i="1"/>
  <c r="N91" i="1"/>
  <c r="O91" i="1"/>
  <c r="Q91" i="1"/>
  <c r="J92" i="1"/>
  <c r="K92" i="1"/>
  <c r="J93" i="1"/>
  <c r="K93" i="1"/>
  <c r="L93" i="1"/>
  <c r="M93" i="1"/>
  <c r="N93" i="1"/>
  <c r="J94" i="1"/>
  <c r="K94" i="1"/>
  <c r="J95" i="1"/>
  <c r="K95" i="1" s="1"/>
  <c r="J96" i="1"/>
  <c r="K96" i="1"/>
  <c r="J97" i="1"/>
  <c r="K97" i="1"/>
  <c r="M97" i="1"/>
  <c r="J98" i="1"/>
  <c r="K98" i="1"/>
  <c r="J99" i="1"/>
  <c r="K99" i="1"/>
  <c r="L99" i="1"/>
  <c r="M99" i="1"/>
  <c r="N99" i="1"/>
  <c r="J100" i="1"/>
  <c r="K100" i="1"/>
  <c r="L100" i="1"/>
  <c r="M100" i="1"/>
  <c r="N100" i="1"/>
  <c r="O100" i="1"/>
  <c r="J101" i="1"/>
  <c r="K101" i="1"/>
  <c r="L101" i="1"/>
  <c r="J102" i="1"/>
  <c r="K102" i="1" s="1"/>
  <c r="J103" i="1"/>
  <c r="K103" i="1"/>
  <c r="J104" i="1"/>
  <c r="K104" i="1"/>
  <c r="L104" i="1"/>
  <c r="J105" i="1"/>
  <c r="K105" i="1" s="1"/>
  <c r="N105" i="1" s="1"/>
  <c r="L105" i="1"/>
  <c r="M105" i="1"/>
  <c r="J106" i="1"/>
  <c r="K106" i="1" s="1"/>
  <c r="J107" i="1"/>
  <c r="K107" i="1"/>
  <c r="L107" i="1"/>
  <c r="M107" i="1"/>
  <c r="N107" i="1"/>
  <c r="O107" i="1"/>
  <c r="P107" i="1" s="1"/>
  <c r="Q107" i="1"/>
  <c r="R107" i="1"/>
  <c r="S107" i="1"/>
  <c r="J108" i="1"/>
  <c r="K108" i="1"/>
  <c r="L108" i="1" s="1"/>
  <c r="M108" i="1"/>
  <c r="N108" i="1"/>
  <c r="J109" i="1"/>
  <c r="K109" i="1"/>
  <c r="M109" i="1" s="1"/>
  <c r="L109" i="1"/>
  <c r="N109" i="1"/>
  <c r="J110" i="1"/>
  <c r="K110" i="1"/>
  <c r="J111" i="1"/>
  <c r="K111" i="1" s="1"/>
  <c r="J112" i="1"/>
  <c r="K112" i="1"/>
  <c r="J113" i="1"/>
  <c r="K113" i="1" s="1"/>
  <c r="J114" i="1"/>
  <c r="K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M117" i="1"/>
  <c r="J118" i="1"/>
  <c r="K118" i="1" s="1"/>
  <c r="J119" i="1"/>
  <c r="K119" i="1"/>
  <c r="J120" i="1"/>
  <c r="K120" i="1"/>
  <c r="L120" i="1"/>
  <c r="M120" i="1"/>
  <c r="N120" i="1"/>
  <c r="O120" i="1"/>
  <c r="J121" i="1"/>
  <c r="K121" i="1"/>
  <c r="M121" i="1"/>
  <c r="J122" i="1"/>
  <c r="K122" i="1" s="1"/>
  <c r="J123" i="1"/>
  <c r="K123" i="1"/>
  <c r="L123" i="1"/>
  <c r="M123" i="1"/>
  <c r="N123" i="1"/>
  <c r="O123" i="1" s="1"/>
  <c r="J124" i="1"/>
  <c r="K124" i="1"/>
  <c r="L124" i="1"/>
  <c r="M124" i="1"/>
  <c r="N124" i="1"/>
  <c r="J125" i="1"/>
  <c r="K125" i="1" s="1"/>
  <c r="L125" i="1"/>
  <c r="M125" i="1"/>
  <c r="N125" i="1"/>
  <c r="J126" i="1"/>
  <c r="K126" i="1"/>
  <c r="J127" i="1"/>
  <c r="K127" i="1"/>
  <c r="L127" i="1"/>
  <c r="M127" i="1"/>
  <c r="N127" i="1"/>
  <c r="J128" i="1"/>
  <c r="K128" i="1"/>
  <c r="L128" i="1"/>
  <c r="M128" i="1"/>
  <c r="N128" i="1"/>
  <c r="O128" i="1"/>
  <c r="P128" i="1" s="1"/>
  <c r="Q128" i="1"/>
  <c r="J129" i="1"/>
  <c r="K129" i="1"/>
  <c r="M129" i="1"/>
  <c r="J130" i="1"/>
  <c r="K130" i="1"/>
  <c r="J131" i="1"/>
  <c r="K131" i="1"/>
  <c r="L131" i="1"/>
  <c r="M131" i="1"/>
  <c r="N131" i="1"/>
  <c r="O131" i="1" s="1"/>
  <c r="J132" i="1"/>
  <c r="K132" i="1"/>
  <c r="J133" i="1"/>
  <c r="K133" i="1"/>
  <c r="J134" i="1"/>
  <c r="K134" i="1" s="1"/>
  <c r="J135" i="1"/>
  <c r="K135" i="1" s="1"/>
  <c r="J136" i="1"/>
  <c r="K136" i="1"/>
  <c r="M136" i="1" s="1"/>
  <c r="L136" i="1"/>
  <c r="N136" i="1"/>
  <c r="O136" i="1"/>
  <c r="Q136" i="1" s="1"/>
  <c r="J137" i="1"/>
  <c r="K137" i="1" s="1"/>
  <c r="M137" i="1"/>
  <c r="J138" i="1"/>
  <c r="K138" i="1"/>
  <c r="L138" i="1" s="1"/>
  <c r="N138" i="1"/>
  <c r="J139" i="1"/>
  <c r="K139" i="1"/>
  <c r="L139" i="1"/>
  <c r="M139" i="1"/>
  <c r="N139" i="1"/>
  <c r="J140" i="1"/>
  <c r="K140" i="1"/>
  <c r="N140" i="1" s="1"/>
  <c r="M140" i="1"/>
  <c r="J141" i="1"/>
  <c r="K141" i="1"/>
  <c r="L141" i="1"/>
  <c r="J142" i="1"/>
  <c r="K142" i="1" s="1"/>
  <c r="J143" i="1"/>
  <c r="K143" i="1"/>
  <c r="L143" i="1" s="1"/>
  <c r="M143" i="1"/>
  <c r="N143" i="1"/>
  <c r="J144" i="1"/>
  <c r="K144" i="1"/>
  <c r="J145" i="1"/>
  <c r="K145" i="1" s="1"/>
  <c r="J146" i="1"/>
  <c r="K146" i="1"/>
  <c r="L146" i="1"/>
  <c r="J147" i="1"/>
  <c r="K147" i="1"/>
  <c r="L147" i="1"/>
  <c r="M147" i="1"/>
  <c r="N147" i="1"/>
  <c r="O147" i="1"/>
  <c r="J148" i="1"/>
  <c r="K148" i="1" s="1"/>
  <c r="L148" i="1" s="1"/>
  <c r="M148" i="1"/>
  <c r="N148" i="1"/>
  <c r="J149" i="1"/>
  <c r="K149" i="1" s="1"/>
  <c r="M149" i="1" s="1"/>
  <c r="L149" i="1"/>
  <c r="N149" i="1"/>
  <c r="O149" i="1"/>
  <c r="P149" i="1"/>
  <c r="J150" i="1"/>
  <c r="K150" i="1"/>
  <c r="J151" i="1"/>
  <c r="K151" i="1" s="1"/>
  <c r="L151" i="1"/>
  <c r="M151" i="1"/>
  <c r="N151" i="1"/>
  <c r="J152" i="1"/>
  <c r="K152" i="1"/>
  <c r="L152" i="1"/>
  <c r="M152" i="1"/>
  <c r="N152" i="1"/>
  <c r="O152" i="1"/>
  <c r="J153" i="1"/>
  <c r="K153" i="1"/>
  <c r="L153" i="1"/>
  <c r="J154" i="1"/>
  <c r="K154" i="1"/>
  <c r="N154" i="1"/>
  <c r="J155" i="1"/>
  <c r="K155" i="1"/>
  <c r="L155" i="1"/>
  <c r="M155" i="1"/>
  <c r="N155" i="1"/>
  <c r="O155" i="1"/>
  <c r="R155" i="1" s="1"/>
  <c r="P155" i="1"/>
  <c r="Q155" i="1"/>
  <c r="J156" i="1"/>
  <c r="K156" i="1" s="1"/>
  <c r="L156" i="1"/>
  <c r="M156" i="1"/>
  <c r="N156" i="1"/>
  <c r="J157" i="1"/>
  <c r="K157" i="1" s="1"/>
  <c r="L157" i="1" s="1"/>
  <c r="M157" i="1"/>
  <c r="N157" i="1"/>
  <c r="O157" i="1"/>
  <c r="P157" i="1"/>
  <c r="S157" i="1" s="1"/>
  <c r="Q157" i="1"/>
  <c r="R157" i="1"/>
  <c r="J158" i="1"/>
  <c r="K158" i="1" s="1"/>
  <c r="N158" i="1"/>
  <c r="J159" i="1"/>
  <c r="K159" i="1"/>
  <c r="L159" i="1"/>
  <c r="J160" i="1"/>
  <c r="K160" i="1"/>
  <c r="N160" i="1" s="1"/>
  <c r="L160" i="1"/>
  <c r="M160" i="1"/>
  <c r="J161" i="1"/>
  <c r="K161" i="1"/>
  <c r="J162" i="1"/>
  <c r="K162" i="1" s="1"/>
  <c r="J163" i="1"/>
  <c r="K163" i="1"/>
  <c r="L163" i="1"/>
  <c r="M163" i="1"/>
  <c r="N163" i="1"/>
  <c r="O163" i="1"/>
  <c r="P163" i="1"/>
  <c r="J164" i="1"/>
  <c r="K164" i="1"/>
  <c r="L164" i="1"/>
  <c r="M164" i="1"/>
  <c r="N164" i="1"/>
  <c r="O164" i="1"/>
  <c r="R164" i="1" s="1"/>
  <c r="Q164" i="1"/>
  <c r="J165" i="1"/>
  <c r="K165" i="1"/>
  <c r="M165" i="1"/>
  <c r="J166" i="1"/>
  <c r="K166" i="1" s="1"/>
  <c r="J167" i="1"/>
  <c r="K167" i="1" s="1"/>
  <c r="J168" i="1"/>
  <c r="K168" i="1"/>
  <c r="N168" i="1" s="1"/>
  <c r="L168" i="1"/>
  <c r="M168" i="1"/>
  <c r="J169" i="1"/>
  <c r="K169" i="1"/>
  <c r="N169" i="1" s="1"/>
  <c r="L169" i="1"/>
  <c r="M169" i="1"/>
  <c r="J170" i="1"/>
  <c r="K170" i="1"/>
  <c r="L170" i="1"/>
  <c r="J171" i="1"/>
  <c r="K171" i="1"/>
  <c r="L171" i="1"/>
  <c r="M171" i="1"/>
  <c r="N171" i="1"/>
  <c r="O171" i="1"/>
  <c r="R171" i="1" s="1"/>
  <c r="P171" i="1"/>
  <c r="J172" i="1"/>
  <c r="K172" i="1" s="1"/>
  <c r="J173" i="1"/>
  <c r="K173" i="1"/>
  <c r="L173" i="1"/>
  <c r="M173" i="1"/>
  <c r="N173" i="1"/>
  <c r="J174" i="1"/>
  <c r="K174" i="1"/>
  <c r="L174" i="1" s="1"/>
  <c r="M174" i="1"/>
  <c r="N174" i="1"/>
  <c r="O174" i="1"/>
  <c r="P174" i="1"/>
  <c r="J175" i="1"/>
  <c r="K175" i="1"/>
  <c r="L175" i="1"/>
  <c r="M175" i="1"/>
  <c r="N175" i="1"/>
  <c r="J176" i="1"/>
  <c r="K176" i="1"/>
  <c r="J177" i="1"/>
  <c r="K177" i="1"/>
  <c r="J178" i="1"/>
  <c r="K178" i="1"/>
  <c r="J179" i="1"/>
  <c r="K179" i="1"/>
  <c r="L179" i="1"/>
  <c r="M179" i="1"/>
  <c r="N179" i="1"/>
  <c r="O179" i="1"/>
  <c r="J180" i="1"/>
  <c r="K180" i="1"/>
  <c r="N180" i="1" s="1"/>
  <c r="L180" i="1"/>
  <c r="M180" i="1"/>
  <c r="J181" i="1"/>
  <c r="K181" i="1" s="1"/>
  <c r="J182" i="1"/>
  <c r="K182" i="1" s="1"/>
  <c r="J183" i="1"/>
  <c r="K183" i="1" s="1"/>
  <c r="J184" i="1"/>
  <c r="K184" i="1"/>
  <c r="L184" i="1"/>
  <c r="M184" i="1"/>
  <c r="N184" i="1"/>
  <c r="O184" i="1"/>
  <c r="P184" i="1"/>
  <c r="J185" i="1"/>
  <c r="K185" i="1"/>
  <c r="N185" i="1" s="1"/>
  <c r="L185" i="1"/>
  <c r="M185" i="1"/>
  <c r="J186" i="1"/>
  <c r="K186" i="1" s="1"/>
  <c r="L186" i="1"/>
  <c r="M186" i="1"/>
  <c r="N186" i="1"/>
  <c r="O186" i="1"/>
  <c r="P186" i="1" s="1"/>
  <c r="J187" i="1"/>
  <c r="K187" i="1"/>
  <c r="J188" i="1"/>
  <c r="K188" i="1"/>
  <c r="J189" i="1"/>
  <c r="K189" i="1"/>
  <c r="L189" i="1"/>
  <c r="M189" i="1"/>
  <c r="N189" i="1"/>
  <c r="J190" i="1"/>
  <c r="K190" i="1" s="1"/>
  <c r="J191" i="1"/>
  <c r="K191" i="1" s="1"/>
  <c r="N191" i="1"/>
  <c r="J192" i="1"/>
  <c r="K192" i="1"/>
  <c r="J193" i="1"/>
  <c r="K193" i="1"/>
  <c r="M193" i="1"/>
  <c r="J194" i="1"/>
  <c r="K194" i="1"/>
  <c r="L194" i="1" s="1"/>
  <c r="N194" i="1"/>
  <c r="J195" i="1"/>
  <c r="K195" i="1"/>
  <c r="L195" i="1" s="1"/>
  <c r="M195" i="1"/>
  <c r="N195" i="1"/>
  <c r="J196" i="1"/>
  <c r="K196" i="1"/>
  <c r="N196" i="1" s="1"/>
  <c r="L196" i="1"/>
  <c r="M196" i="1"/>
  <c r="J197" i="1"/>
  <c r="K197" i="1" s="1"/>
  <c r="J198" i="1"/>
  <c r="K198" i="1" s="1"/>
  <c r="J199" i="1"/>
  <c r="K199" i="1" s="1"/>
  <c r="J200" i="1"/>
  <c r="K200" i="1"/>
  <c r="L200" i="1"/>
  <c r="J201" i="1"/>
  <c r="K201" i="1"/>
  <c r="N201" i="1" s="1"/>
  <c r="J202" i="1"/>
  <c r="K202" i="1"/>
  <c r="M202" i="1"/>
  <c r="J203" i="1"/>
  <c r="K203" i="1"/>
  <c r="L203" i="1" s="1"/>
  <c r="M203" i="1"/>
  <c r="N203" i="1"/>
  <c r="J204" i="1"/>
  <c r="K204" i="1" s="1"/>
  <c r="L204" i="1"/>
  <c r="J205" i="1"/>
  <c r="K205" i="1"/>
  <c r="J206" i="1"/>
  <c r="K206" i="1"/>
  <c r="J207" i="1"/>
  <c r="K207" i="1" s="1"/>
  <c r="J208" i="1"/>
  <c r="K208" i="1"/>
  <c r="J209" i="1"/>
  <c r="K209" i="1"/>
  <c r="M209" i="1" s="1"/>
  <c r="J210" i="1"/>
  <c r="K210" i="1"/>
  <c r="L210" i="1" s="1"/>
  <c r="N210" i="1"/>
  <c r="J211" i="1"/>
  <c r="K211" i="1"/>
  <c r="L211" i="1" s="1"/>
  <c r="M211" i="1"/>
  <c r="N211" i="1"/>
  <c r="O211" i="1"/>
  <c r="J212" i="1"/>
  <c r="K212" i="1"/>
  <c r="J213" i="1"/>
  <c r="K213" i="1"/>
  <c r="L213" i="1"/>
  <c r="M213" i="1"/>
  <c r="N213" i="1"/>
  <c r="J214" i="1"/>
  <c r="K214" i="1" s="1"/>
  <c r="M214" i="1"/>
  <c r="J215" i="1"/>
  <c r="K215" i="1"/>
  <c r="L215" i="1" s="1"/>
  <c r="J216" i="1"/>
  <c r="K216" i="1"/>
  <c r="N216" i="1" s="1"/>
  <c r="L216" i="1"/>
  <c r="M216" i="1"/>
  <c r="J217" i="1"/>
  <c r="K217" i="1"/>
  <c r="N217" i="1" s="1"/>
  <c r="J218" i="1"/>
  <c r="K218" i="1"/>
  <c r="L218" i="1"/>
  <c r="J219" i="1"/>
  <c r="K219" i="1"/>
  <c r="L219" i="1" s="1"/>
  <c r="M219" i="1"/>
  <c r="N219" i="1"/>
  <c r="O219" i="1"/>
  <c r="P219" i="1"/>
  <c r="Q219" i="1"/>
  <c r="R219" i="1"/>
  <c r="S219" i="1"/>
  <c r="J220" i="1"/>
  <c r="K220" i="1" s="1"/>
  <c r="J221" i="1"/>
  <c r="K221" i="1"/>
  <c r="L221" i="1"/>
  <c r="J222" i="1"/>
  <c r="K222" i="1" s="1"/>
  <c r="J223" i="1"/>
  <c r="K223" i="1"/>
  <c r="L223" i="1"/>
  <c r="J224" i="1"/>
  <c r="K224" i="1"/>
  <c r="L224" i="1"/>
  <c r="M224" i="1"/>
  <c r="N224" i="1"/>
  <c r="J225" i="1"/>
  <c r="K225" i="1" s="1"/>
  <c r="J226" i="1"/>
  <c r="K226" i="1" s="1"/>
  <c r="L226" i="1"/>
  <c r="J227" i="1"/>
  <c r="K227" i="1"/>
  <c r="L227" i="1" s="1"/>
  <c r="N227" i="1"/>
  <c r="J228" i="1"/>
  <c r="K228" i="1"/>
  <c r="L228" i="1"/>
  <c r="M228" i="1"/>
  <c r="N228" i="1"/>
  <c r="O228" i="1"/>
  <c r="J229" i="1"/>
  <c r="K229" i="1"/>
  <c r="L229" i="1" s="1"/>
  <c r="J230" i="1"/>
  <c r="K230" i="1" s="1"/>
  <c r="J231" i="1"/>
  <c r="K231" i="1"/>
  <c r="J232" i="1"/>
  <c r="K232" i="1"/>
  <c r="L232" i="1"/>
  <c r="M232" i="1"/>
  <c r="N232" i="1"/>
  <c r="J233" i="1"/>
  <c r="K233" i="1" s="1"/>
  <c r="J234" i="1"/>
  <c r="K234" i="1" s="1"/>
  <c r="J235" i="1"/>
  <c r="K235" i="1"/>
  <c r="L235" i="1" s="1"/>
  <c r="N235" i="1"/>
  <c r="J236" i="1"/>
  <c r="K236" i="1"/>
  <c r="L236" i="1" s="1"/>
  <c r="M236" i="1"/>
  <c r="N236" i="1"/>
  <c r="J237" i="1"/>
  <c r="K237" i="1"/>
  <c r="J238" i="1"/>
  <c r="K238" i="1"/>
  <c r="J239" i="1"/>
  <c r="K239" i="1" s="1"/>
  <c r="J240" i="1"/>
  <c r="K240" i="1"/>
  <c r="L240" i="1"/>
  <c r="M240" i="1"/>
  <c r="N240" i="1"/>
  <c r="J241" i="1"/>
  <c r="K241" i="1" s="1"/>
  <c r="J242" i="1"/>
  <c r="K242" i="1"/>
  <c r="L242" i="1"/>
  <c r="J243" i="1"/>
  <c r="K243" i="1"/>
  <c r="L243" i="1" s="1"/>
  <c r="N243" i="1"/>
  <c r="J244" i="1"/>
  <c r="K244" i="1" s="1"/>
  <c r="L244" i="1"/>
  <c r="J245" i="1"/>
  <c r="K245" i="1" s="1"/>
  <c r="L245" i="1"/>
  <c r="J246" i="1"/>
  <c r="K246" i="1"/>
  <c r="M246" i="1"/>
  <c r="J247" i="1"/>
  <c r="K247" i="1"/>
  <c r="J248" i="1"/>
  <c r="K248" i="1"/>
  <c r="L248" i="1"/>
  <c r="M248" i="1"/>
  <c r="N248" i="1"/>
  <c r="J249" i="1"/>
  <c r="K249" i="1"/>
  <c r="N249" i="1" s="1"/>
  <c r="L249" i="1"/>
  <c r="M249" i="1"/>
  <c r="O249" i="1"/>
  <c r="R249" i="1"/>
  <c r="J250" i="1"/>
  <c r="K250" i="1"/>
  <c r="L250" i="1" s="1"/>
  <c r="M250" i="1"/>
  <c r="N250" i="1"/>
  <c r="O250" i="1"/>
  <c r="P250" i="1"/>
  <c r="J251" i="1"/>
  <c r="K251" i="1"/>
  <c r="J252" i="1"/>
  <c r="K252" i="1"/>
  <c r="L252" i="1" s="1"/>
  <c r="M252" i="1"/>
  <c r="N252" i="1"/>
  <c r="O252" i="1"/>
  <c r="J253" i="1"/>
  <c r="K253" i="1"/>
  <c r="L253" i="1"/>
  <c r="M253" i="1"/>
  <c r="N253" i="1"/>
  <c r="J254" i="1"/>
  <c r="K254" i="1"/>
  <c r="M254" i="1" s="1"/>
  <c r="J255" i="1"/>
  <c r="K255" i="1"/>
  <c r="N255" i="1" s="1"/>
  <c r="L255" i="1"/>
  <c r="M255" i="1"/>
  <c r="J256" i="1"/>
  <c r="K256" i="1"/>
  <c r="L256" i="1"/>
  <c r="M256" i="1"/>
  <c r="N256" i="1"/>
  <c r="J257" i="1"/>
  <c r="K257" i="1"/>
  <c r="N257" i="1" s="1"/>
  <c r="L257" i="1"/>
  <c r="M257" i="1"/>
  <c r="O257" i="1"/>
  <c r="J258" i="1"/>
  <c r="K258" i="1"/>
  <c r="N258" i="1" s="1"/>
  <c r="M258" i="1"/>
  <c r="J259" i="1"/>
  <c r="K259" i="1"/>
  <c r="N259" i="1"/>
  <c r="J260" i="1"/>
  <c r="K260" i="1"/>
  <c r="J261" i="1"/>
  <c r="K261" i="1" s="1"/>
  <c r="J262" i="1"/>
  <c r="K262" i="1" s="1"/>
  <c r="J263" i="1"/>
  <c r="K263" i="1" s="1"/>
  <c r="L263" i="1"/>
  <c r="J264" i="1"/>
  <c r="K264" i="1"/>
  <c r="L264" i="1"/>
  <c r="M264" i="1"/>
  <c r="N264" i="1"/>
  <c r="O264" i="1"/>
  <c r="P264" i="1"/>
  <c r="Q264" i="1"/>
  <c r="R264" i="1"/>
  <c r="J265" i="1"/>
  <c r="K265" i="1"/>
  <c r="N265" i="1" s="1"/>
  <c r="M265" i="1"/>
  <c r="J266" i="1"/>
  <c r="K266" i="1"/>
  <c r="L266" i="1"/>
  <c r="M266" i="1"/>
  <c r="N266" i="1"/>
  <c r="O266" i="1"/>
  <c r="Q266" i="1" s="1"/>
  <c r="P266" i="1"/>
  <c r="J267" i="1"/>
  <c r="K267" i="1"/>
  <c r="N267" i="1"/>
  <c r="J268" i="1"/>
  <c r="K268" i="1"/>
  <c r="J269" i="1"/>
  <c r="K269" i="1"/>
  <c r="J270" i="1"/>
  <c r="K270" i="1"/>
  <c r="J271" i="1"/>
  <c r="K271" i="1"/>
  <c r="J272" i="1"/>
  <c r="K272" i="1"/>
  <c r="L272" i="1"/>
  <c r="M272" i="1"/>
  <c r="N272" i="1"/>
  <c r="O272" i="1"/>
  <c r="P272" i="1"/>
  <c r="Q272" i="1"/>
  <c r="J273" i="1"/>
  <c r="K273" i="1"/>
  <c r="L273" i="1" s="1"/>
  <c r="J274" i="1"/>
  <c r="K274" i="1"/>
  <c r="L274" i="1" s="1"/>
  <c r="M274" i="1"/>
  <c r="N274" i="1"/>
  <c r="O274" i="1"/>
  <c r="P274" i="1" s="1"/>
  <c r="J275" i="1"/>
  <c r="K275" i="1"/>
  <c r="J276" i="1"/>
  <c r="K276" i="1" s="1"/>
  <c r="N276" i="1"/>
  <c r="J277" i="1"/>
  <c r="K277" i="1" s="1"/>
  <c r="L277" i="1"/>
  <c r="J278" i="1"/>
  <c r="K278" i="1" s="1"/>
  <c r="J279" i="1"/>
  <c r="K279" i="1"/>
  <c r="J280" i="1"/>
  <c r="K280" i="1"/>
  <c r="L280" i="1"/>
  <c r="M280" i="1"/>
  <c r="N280" i="1"/>
  <c r="O280" i="1"/>
  <c r="J281" i="1"/>
  <c r="K281" i="1"/>
  <c r="N281" i="1" s="1"/>
  <c r="L281" i="1"/>
  <c r="M281" i="1"/>
  <c r="J282" i="1"/>
  <c r="K282" i="1"/>
  <c r="J283" i="1"/>
  <c r="K283" i="1"/>
  <c r="N283" i="1"/>
  <c r="J284" i="1"/>
  <c r="K284" i="1"/>
  <c r="J285" i="1"/>
  <c r="K285" i="1"/>
  <c r="L285" i="1"/>
  <c r="M285" i="1"/>
  <c r="N285" i="1"/>
  <c r="O285" i="1"/>
  <c r="J286" i="1"/>
  <c r="K286" i="1"/>
  <c r="M286" i="1"/>
  <c r="J287" i="1"/>
  <c r="K287" i="1"/>
  <c r="L287" i="1"/>
  <c r="M287" i="1"/>
  <c r="N287" i="1"/>
  <c r="J288" i="1"/>
  <c r="K288" i="1"/>
  <c r="L288" i="1"/>
  <c r="M288" i="1"/>
  <c r="N288" i="1"/>
  <c r="J289" i="1"/>
  <c r="K289" i="1" s="1"/>
  <c r="J290" i="1"/>
  <c r="K290" i="1"/>
  <c r="N290" i="1" s="1"/>
  <c r="L290" i="1"/>
  <c r="M290" i="1"/>
  <c r="J291" i="1"/>
  <c r="K291" i="1"/>
  <c r="N291" i="1"/>
  <c r="J292" i="1"/>
  <c r="K292" i="1" s="1"/>
  <c r="J293" i="1"/>
  <c r="K293" i="1"/>
  <c r="J294" i="1"/>
  <c r="K294" i="1" s="1"/>
  <c r="J295" i="1"/>
  <c r="K295" i="1" s="1"/>
  <c r="L295" i="1"/>
  <c r="J296" i="1"/>
  <c r="K296" i="1"/>
  <c r="L296" i="1"/>
  <c r="M296" i="1"/>
  <c r="N296" i="1"/>
  <c r="O296" i="1"/>
  <c r="P296" i="1"/>
  <c r="J297" i="1"/>
  <c r="K297" i="1"/>
  <c r="L297" i="1" s="1"/>
  <c r="J298" i="1"/>
  <c r="K298" i="1"/>
  <c r="L298" i="1" s="1"/>
  <c r="M298" i="1"/>
  <c r="N298" i="1"/>
  <c r="O298" i="1"/>
  <c r="J299" i="1"/>
  <c r="K299" i="1" s="1"/>
  <c r="N299" i="1"/>
  <c r="J300" i="1"/>
  <c r="K300" i="1"/>
  <c r="N300" i="1" s="1"/>
  <c r="L300" i="1"/>
  <c r="M300" i="1"/>
  <c r="J301" i="1"/>
  <c r="K301" i="1"/>
  <c r="J302" i="1"/>
  <c r="K302" i="1"/>
  <c r="L302" i="1"/>
  <c r="J303" i="1"/>
  <c r="K303" i="1"/>
  <c r="N303" i="1" s="1"/>
  <c r="L303" i="1"/>
  <c r="M303" i="1"/>
  <c r="J304" i="1"/>
  <c r="K304" i="1" s="1"/>
  <c r="L304" i="1" s="1"/>
  <c r="O304" i="1" s="1"/>
  <c r="M304" i="1"/>
  <c r="N304" i="1"/>
  <c r="J305" i="1"/>
  <c r="K305" i="1"/>
  <c r="L305" i="1"/>
  <c r="J306" i="1"/>
  <c r="K306" i="1"/>
  <c r="J307" i="1"/>
  <c r="K307" i="1" s="1"/>
  <c r="N307" i="1"/>
  <c r="J308" i="1"/>
  <c r="K308" i="1"/>
  <c r="N308" i="1" s="1"/>
  <c r="L308" i="1"/>
  <c r="M308" i="1"/>
  <c r="J309" i="1"/>
  <c r="K309" i="1"/>
  <c r="N309" i="1" s="1"/>
  <c r="L309" i="1"/>
  <c r="M309" i="1"/>
  <c r="J310" i="1"/>
  <c r="K310" i="1"/>
  <c r="L310" i="1"/>
  <c r="J311" i="1"/>
  <c r="K311" i="1" s="1"/>
  <c r="L311" i="1"/>
  <c r="J312" i="1"/>
  <c r="K312" i="1" s="1"/>
  <c r="J313" i="1"/>
  <c r="K313" i="1" s="1"/>
  <c r="N313" i="1"/>
  <c r="J314" i="1"/>
  <c r="K314" i="1"/>
  <c r="L314" i="1"/>
  <c r="M314" i="1"/>
  <c r="N314" i="1"/>
  <c r="O314" i="1"/>
  <c r="Q314" i="1"/>
  <c r="R314" i="1"/>
  <c r="J315" i="1"/>
  <c r="K315" i="1" s="1"/>
  <c r="N315" i="1"/>
  <c r="J316" i="1"/>
  <c r="K316" i="1"/>
  <c r="J317" i="1"/>
  <c r="K317" i="1"/>
  <c r="J318" i="1"/>
  <c r="K318" i="1"/>
  <c r="L318" i="1"/>
  <c r="J319" i="1"/>
  <c r="K319" i="1" s="1"/>
  <c r="J320" i="1"/>
  <c r="K320" i="1" s="1"/>
  <c r="J321" i="1"/>
  <c r="K321" i="1" s="1"/>
  <c r="N321" i="1" s="1"/>
  <c r="L321" i="1"/>
  <c r="M321" i="1"/>
  <c r="J322" i="1"/>
  <c r="K322" i="1" s="1"/>
  <c r="J323" i="1"/>
  <c r="K323" i="1" s="1"/>
  <c r="N323" i="1"/>
  <c r="J324" i="1"/>
  <c r="K324" i="1"/>
  <c r="N324" i="1" s="1"/>
  <c r="L324" i="1"/>
  <c r="M324" i="1"/>
  <c r="J325" i="1"/>
  <c r="K325" i="1"/>
  <c r="L325" i="1" s="1"/>
  <c r="M325" i="1"/>
  <c r="N325" i="1"/>
  <c r="J326" i="1"/>
  <c r="K326" i="1"/>
  <c r="L326" i="1"/>
  <c r="J327" i="1"/>
  <c r="K327" i="1" s="1"/>
  <c r="L327" i="1"/>
  <c r="M327" i="1"/>
  <c r="N327" i="1"/>
  <c r="O327" i="1"/>
  <c r="P327" i="1"/>
  <c r="J328" i="1"/>
  <c r="K328" i="1" s="1"/>
  <c r="L328" i="1"/>
  <c r="M328" i="1"/>
  <c r="N328" i="1"/>
  <c r="J329" i="1"/>
  <c r="K329" i="1"/>
  <c r="L329" i="1" s="1"/>
  <c r="M329" i="1"/>
  <c r="N329" i="1"/>
  <c r="J330" i="1"/>
  <c r="K330" i="1" s="1"/>
  <c r="N330" i="1" s="1"/>
  <c r="L330" i="1"/>
  <c r="M330" i="1"/>
  <c r="J331" i="1"/>
  <c r="K331" i="1" s="1"/>
  <c r="L331" i="1"/>
  <c r="M331" i="1"/>
  <c r="N331" i="1"/>
  <c r="J332" i="1"/>
  <c r="K332" i="1" s="1"/>
  <c r="J333" i="1"/>
  <c r="K333" i="1" s="1"/>
  <c r="N333" i="1"/>
  <c r="J334" i="1"/>
  <c r="K334" i="1"/>
  <c r="L334" i="1"/>
  <c r="J335" i="1"/>
  <c r="K335" i="1"/>
  <c r="L335" i="1" s="1"/>
  <c r="M335" i="1"/>
  <c r="N335" i="1"/>
  <c r="J336" i="1"/>
  <c r="K336" i="1"/>
  <c r="N336" i="1" s="1"/>
  <c r="L336" i="1"/>
  <c r="M336" i="1"/>
  <c r="J337" i="1"/>
  <c r="K337" i="1"/>
  <c r="J338" i="1"/>
  <c r="K338" i="1"/>
  <c r="N338" i="1" s="1"/>
  <c r="L338" i="1"/>
  <c r="M338" i="1"/>
  <c r="O338" i="1"/>
  <c r="P338" i="1"/>
  <c r="R338" i="1"/>
  <c r="J339" i="1"/>
  <c r="K339" i="1" s="1"/>
  <c r="L339" i="1" s="1"/>
  <c r="M339" i="1"/>
  <c r="N339" i="1"/>
  <c r="J340" i="1"/>
  <c r="K340" i="1"/>
  <c r="J341" i="1"/>
  <c r="K341" i="1"/>
  <c r="J342" i="1"/>
  <c r="K342" i="1" s="1"/>
  <c r="J343" i="1"/>
  <c r="K343" i="1"/>
  <c r="J344" i="1"/>
  <c r="K344" i="1" s="1"/>
  <c r="N344" i="1"/>
  <c r="J345" i="1"/>
  <c r="K345" i="1"/>
  <c r="L345" i="1"/>
  <c r="J346" i="1"/>
  <c r="K346" i="1"/>
  <c r="N346" i="1"/>
  <c r="J347" i="1"/>
  <c r="K347" i="1" s="1"/>
  <c r="L347" i="1"/>
  <c r="J348" i="1"/>
  <c r="K348" i="1"/>
  <c r="L348" i="1"/>
  <c r="M348" i="1"/>
  <c r="N348" i="1"/>
  <c r="O348" i="1"/>
  <c r="J349" i="1"/>
  <c r="K349" i="1"/>
  <c r="J350" i="1"/>
  <c r="K350" i="1"/>
  <c r="J351" i="1"/>
  <c r="K351" i="1" s="1"/>
  <c r="L351" i="1"/>
  <c r="M351" i="1"/>
  <c r="N351" i="1"/>
  <c r="J352" i="1"/>
  <c r="K352" i="1"/>
  <c r="M352" i="1"/>
  <c r="J353" i="1"/>
  <c r="K353" i="1" s="1"/>
  <c r="J354" i="1"/>
  <c r="K354" i="1"/>
  <c r="M354" i="1" s="1"/>
  <c r="L354" i="1"/>
  <c r="N354" i="1"/>
  <c r="J355" i="1"/>
  <c r="K355" i="1" s="1"/>
  <c r="N355" i="1" s="1"/>
  <c r="J356" i="1"/>
  <c r="K356" i="1"/>
  <c r="L356" i="1" s="1"/>
  <c r="M356" i="1"/>
  <c r="N356" i="1"/>
  <c r="J357" i="1"/>
  <c r="K357" i="1" s="1"/>
  <c r="J358" i="1"/>
  <c r="K358" i="1"/>
  <c r="J359" i="1"/>
  <c r="K359" i="1" s="1"/>
  <c r="J360" i="1"/>
  <c r="K360" i="1"/>
  <c r="J361" i="1"/>
  <c r="K361" i="1" s="1"/>
  <c r="M361" i="1" s="1"/>
  <c r="L361" i="1"/>
  <c r="J362" i="1"/>
  <c r="K362" i="1" s="1"/>
  <c r="M362" i="1" s="1"/>
  <c r="L362" i="1"/>
  <c r="N362" i="1"/>
  <c r="O362" i="1"/>
  <c r="P362" i="1"/>
  <c r="Q362" i="1"/>
  <c r="J363" i="1"/>
  <c r="K363" i="1" s="1"/>
  <c r="L363" i="1"/>
  <c r="M363" i="1"/>
  <c r="N363" i="1"/>
  <c r="O363" i="1"/>
  <c r="P363" i="1"/>
  <c r="Q363" i="1"/>
  <c r="R363" i="1"/>
  <c r="J364" i="1"/>
  <c r="K364" i="1" s="1"/>
  <c r="L364" i="1"/>
  <c r="M364" i="1"/>
  <c r="N364" i="1"/>
  <c r="J365" i="1"/>
  <c r="K365" i="1"/>
  <c r="L365" i="1" s="1"/>
  <c r="M365" i="1"/>
  <c r="N365" i="1"/>
  <c r="O365" i="1"/>
  <c r="P365" i="1"/>
  <c r="Q365" i="1"/>
  <c r="R365" i="1"/>
  <c r="S365" i="1"/>
  <c r="J366" i="1"/>
  <c r="K366" i="1"/>
  <c r="N366" i="1"/>
  <c r="J367" i="1"/>
  <c r="K367" i="1" s="1"/>
  <c r="J368" i="1"/>
  <c r="K368" i="1"/>
  <c r="M368" i="1"/>
  <c r="J369" i="1"/>
  <c r="K369" i="1"/>
  <c r="J370" i="1"/>
  <c r="K370" i="1"/>
  <c r="J371" i="1"/>
  <c r="K371" i="1" s="1"/>
  <c r="N371" i="1" s="1"/>
  <c r="L371" i="1"/>
  <c r="M371" i="1"/>
  <c r="O371" i="1"/>
  <c r="Q371" i="1"/>
  <c r="J372" i="1"/>
  <c r="K372" i="1"/>
  <c r="L372" i="1"/>
  <c r="M372" i="1"/>
  <c r="N372" i="1"/>
  <c r="J373" i="1"/>
  <c r="K373" i="1" s="1"/>
  <c r="M373" i="1" s="1"/>
  <c r="L373" i="1"/>
  <c r="N373" i="1"/>
  <c r="J374" i="1"/>
  <c r="K374" i="1"/>
  <c r="J375" i="1"/>
  <c r="K375" i="1"/>
  <c r="L375" i="1"/>
  <c r="M375" i="1"/>
  <c r="N375" i="1"/>
  <c r="J376" i="1"/>
  <c r="K376" i="1"/>
  <c r="J377" i="1"/>
  <c r="K377" i="1"/>
  <c r="L377" i="1"/>
  <c r="M377" i="1"/>
  <c r="N377" i="1"/>
  <c r="J378" i="1"/>
  <c r="K378" i="1" s="1"/>
  <c r="J379" i="1"/>
  <c r="K379" i="1" s="1"/>
  <c r="N379" i="1" s="1"/>
  <c r="L379" i="1"/>
  <c r="M379" i="1"/>
  <c r="J380" i="1"/>
  <c r="K380" i="1" s="1"/>
  <c r="L380" i="1"/>
  <c r="J381" i="1"/>
  <c r="K381" i="1"/>
  <c r="L381" i="1"/>
  <c r="J382" i="1"/>
  <c r="K382" i="1" s="1"/>
  <c r="N382" i="1" s="1"/>
  <c r="J383" i="1"/>
  <c r="K383" i="1" s="1"/>
  <c r="N383" i="1"/>
  <c r="J384" i="1"/>
  <c r="K384" i="1" s="1"/>
  <c r="L384" i="1"/>
  <c r="J385" i="1"/>
  <c r="K385" i="1" s="1"/>
  <c r="L385" i="1"/>
  <c r="M385" i="1"/>
  <c r="N385" i="1"/>
  <c r="J386" i="1"/>
  <c r="K386" i="1"/>
  <c r="M386" i="1" s="1"/>
  <c r="L386" i="1"/>
  <c r="N386" i="1"/>
  <c r="J387" i="1"/>
  <c r="K387" i="1"/>
  <c r="N387" i="1" s="1"/>
  <c r="L387" i="1"/>
  <c r="M387" i="1"/>
  <c r="J388" i="1"/>
  <c r="K388" i="1" s="1"/>
  <c r="M388" i="1" s="1"/>
  <c r="L388" i="1"/>
  <c r="N388" i="1"/>
  <c r="J389" i="1"/>
  <c r="K389" i="1"/>
  <c r="L389" i="1"/>
  <c r="J390" i="1"/>
  <c r="K390" i="1"/>
  <c r="N390" i="1" s="1"/>
  <c r="J391" i="1"/>
  <c r="K391" i="1" s="1"/>
  <c r="J392" i="1"/>
  <c r="K392" i="1"/>
  <c r="M392" i="1" s="1"/>
  <c r="L392" i="1"/>
  <c r="N392" i="1"/>
  <c r="O392" i="1"/>
  <c r="P392" i="1"/>
  <c r="R392" i="1"/>
  <c r="J393" i="1"/>
  <c r="K393" i="1" s="1"/>
  <c r="N393" i="1"/>
  <c r="J394" i="1"/>
  <c r="K394" i="1" s="1"/>
  <c r="M394" i="1" s="1"/>
  <c r="N394" i="1"/>
  <c r="J395" i="1"/>
  <c r="K395" i="1" s="1"/>
  <c r="N395" i="1" s="1"/>
  <c r="L395" i="1"/>
  <c r="M395" i="1"/>
  <c r="O395" i="1"/>
  <c r="P395" i="1"/>
  <c r="J396" i="1"/>
  <c r="K396" i="1" s="1"/>
  <c r="L396" i="1"/>
  <c r="M396" i="1"/>
  <c r="N396" i="1"/>
  <c r="O396" i="1"/>
  <c r="P396" i="1" s="1"/>
  <c r="J397" i="1"/>
  <c r="K397" i="1"/>
  <c r="L397" i="1"/>
  <c r="M397" i="1"/>
  <c r="N397" i="1"/>
  <c r="J398" i="1"/>
  <c r="K398" i="1"/>
  <c r="L398" i="1"/>
  <c r="J399" i="1"/>
  <c r="K399" i="1" s="1"/>
  <c r="M399" i="1" s="1"/>
  <c r="L399" i="1"/>
  <c r="N399" i="1"/>
  <c r="O399" i="1"/>
  <c r="P399" i="1"/>
  <c r="J400" i="1"/>
  <c r="K400" i="1"/>
  <c r="L400" i="1"/>
  <c r="J401" i="1"/>
  <c r="K401" i="1" s="1"/>
  <c r="N401" i="1"/>
  <c r="J402" i="1"/>
  <c r="K402" i="1" s="1"/>
  <c r="J403" i="1"/>
  <c r="K403" i="1"/>
  <c r="L403" i="1"/>
  <c r="J404" i="1"/>
  <c r="K404" i="1" s="1"/>
  <c r="M404" i="1" s="1"/>
  <c r="L404" i="1"/>
  <c r="N404" i="1"/>
  <c r="J405" i="1"/>
  <c r="K405" i="1" s="1"/>
  <c r="N405" i="1" s="1"/>
  <c r="L405" i="1"/>
  <c r="M405" i="1"/>
  <c r="J406" i="1"/>
  <c r="K406" i="1" s="1"/>
  <c r="L406" i="1"/>
  <c r="M406" i="1"/>
  <c r="N406" i="1"/>
  <c r="O406" i="1"/>
  <c r="P406" i="1"/>
  <c r="Q406" i="1"/>
  <c r="J407" i="1"/>
  <c r="K407" i="1" s="1"/>
  <c r="L407" i="1" s="1"/>
  <c r="J408" i="1"/>
  <c r="K408" i="1" s="1"/>
  <c r="L408" i="1"/>
  <c r="M408" i="1"/>
  <c r="N408" i="1"/>
  <c r="J409" i="1"/>
  <c r="K409" i="1" s="1"/>
  <c r="L409" i="1"/>
  <c r="M409" i="1"/>
  <c r="N409" i="1"/>
  <c r="J410" i="1"/>
  <c r="K410" i="1"/>
  <c r="M410" i="1" s="1"/>
  <c r="N410" i="1"/>
  <c r="J411" i="1"/>
  <c r="K411" i="1"/>
  <c r="J412" i="1"/>
  <c r="K412" i="1" s="1"/>
  <c r="L412" i="1"/>
  <c r="J413" i="1"/>
  <c r="K413" i="1" s="1"/>
  <c r="N413" i="1"/>
  <c r="J414" i="1"/>
  <c r="K414" i="1" s="1"/>
  <c r="J415" i="1"/>
  <c r="K415" i="1" s="1"/>
  <c r="M415" i="1" s="1"/>
  <c r="N415" i="1"/>
  <c r="J416" i="1"/>
  <c r="K416" i="1"/>
  <c r="N416" i="1" s="1"/>
  <c r="L416" i="1"/>
  <c r="M416" i="1"/>
  <c r="J417" i="1"/>
  <c r="K417" i="1" s="1"/>
  <c r="J418" i="1"/>
  <c r="K418" i="1" s="1"/>
  <c r="J419" i="1"/>
  <c r="K419" i="1" s="1"/>
  <c r="L419" i="1"/>
  <c r="M419" i="1"/>
  <c r="N419" i="1"/>
  <c r="J420" i="1"/>
  <c r="K420" i="1" s="1"/>
  <c r="L420" i="1"/>
  <c r="M420" i="1"/>
  <c r="N420" i="1"/>
  <c r="J421" i="1"/>
  <c r="K421" i="1"/>
  <c r="L421" i="1" s="1"/>
  <c r="M421" i="1"/>
  <c r="N421" i="1"/>
  <c r="J422" i="1"/>
  <c r="K422" i="1"/>
  <c r="J423" i="1"/>
  <c r="K423" i="1" s="1"/>
  <c r="J424" i="1"/>
  <c r="K424" i="1" s="1"/>
  <c r="N424" i="1"/>
  <c r="J425" i="1"/>
  <c r="K425" i="1" s="1"/>
  <c r="J426" i="1"/>
  <c r="K426" i="1" s="1"/>
  <c r="M426" i="1" s="1"/>
  <c r="L426" i="1"/>
  <c r="N426" i="1"/>
  <c r="J427" i="1"/>
  <c r="K427" i="1"/>
  <c r="N427" i="1" s="1"/>
  <c r="L427" i="1"/>
  <c r="M427" i="1"/>
  <c r="J428" i="1"/>
  <c r="K428" i="1" s="1"/>
  <c r="L428" i="1"/>
  <c r="M428" i="1"/>
  <c r="N428" i="1"/>
  <c r="O428" i="1"/>
  <c r="P428" i="1"/>
  <c r="Q428" i="1"/>
  <c r="J429" i="1"/>
  <c r="K429" i="1"/>
  <c r="L429" i="1"/>
  <c r="J430" i="1"/>
  <c r="K430" i="1" s="1"/>
  <c r="L430" i="1"/>
  <c r="M430" i="1"/>
  <c r="N430" i="1"/>
  <c r="J431" i="1"/>
  <c r="K431" i="1" s="1"/>
  <c r="M431" i="1" s="1"/>
  <c r="L431" i="1"/>
  <c r="N431" i="1"/>
  <c r="J432" i="1"/>
  <c r="K432" i="1"/>
  <c r="L432" i="1" s="1"/>
  <c r="M432" i="1"/>
  <c r="N432" i="1"/>
  <c r="O432" i="1"/>
  <c r="P432" i="1"/>
  <c r="R432" i="1"/>
  <c r="J433" i="1"/>
  <c r="K433" i="1" s="1"/>
  <c r="J434" i="1"/>
  <c r="K434" i="1" s="1"/>
  <c r="J435" i="1"/>
  <c r="K435" i="1" s="1"/>
  <c r="N435" i="1"/>
  <c r="J436" i="1"/>
  <c r="K436" i="1" s="1"/>
  <c r="J437" i="1"/>
  <c r="K437" i="1" s="1"/>
  <c r="N437" i="1" s="1"/>
  <c r="L437" i="1"/>
  <c r="M437" i="1"/>
  <c r="J438" i="1"/>
  <c r="K438" i="1"/>
  <c r="N438" i="1" s="1"/>
  <c r="L438" i="1"/>
  <c r="M438" i="1"/>
  <c r="J439" i="1"/>
  <c r="K439" i="1" s="1"/>
  <c r="J440" i="1"/>
  <c r="K440" i="1"/>
  <c r="N440" i="1" s="1"/>
  <c r="L440" i="1"/>
  <c r="M440" i="1"/>
  <c r="J441" i="1"/>
  <c r="K441" i="1"/>
  <c r="L441" i="1"/>
  <c r="M441" i="1"/>
  <c r="N441" i="1"/>
  <c r="O441" i="1"/>
  <c r="J442" i="1"/>
  <c r="K442" i="1"/>
  <c r="L442" i="1"/>
  <c r="J443" i="1"/>
  <c r="K443" i="1"/>
  <c r="J444" i="1"/>
  <c r="K444" i="1" s="1"/>
  <c r="J445" i="1"/>
  <c r="K445" i="1"/>
  <c r="L445" i="1"/>
  <c r="M445" i="1"/>
  <c r="N445" i="1"/>
  <c r="J446" i="1"/>
  <c r="K446" i="1"/>
  <c r="L446" i="1" s="1"/>
  <c r="M446" i="1"/>
  <c r="N446" i="1"/>
  <c r="J447" i="1"/>
  <c r="K447" i="1" s="1"/>
  <c r="L447" i="1"/>
  <c r="M447" i="1"/>
  <c r="N447" i="1"/>
  <c r="O447" i="1"/>
  <c r="P447" i="1"/>
  <c r="J448" i="1"/>
  <c r="K448" i="1" s="1"/>
  <c r="J449" i="1"/>
  <c r="K449" i="1"/>
  <c r="J450" i="1"/>
  <c r="K450" i="1"/>
  <c r="M450" i="1" s="1"/>
  <c r="L450" i="1"/>
  <c r="J451" i="1"/>
  <c r="K451" i="1" s="1"/>
  <c r="M451" i="1" s="1"/>
  <c r="L451" i="1"/>
  <c r="N451" i="1"/>
  <c r="O451" i="1"/>
  <c r="P451" i="1"/>
  <c r="J452" i="1"/>
  <c r="K452" i="1"/>
  <c r="N452" i="1" s="1"/>
  <c r="L452" i="1"/>
  <c r="M452" i="1"/>
  <c r="J453" i="1"/>
  <c r="K453" i="1"/>
  <c r="L453" i="1"/>
  <c r="J454" i="1"/>
  <c r="K454" i="1" s="1"/>
  <c r="J455" i="1"/>
  <c r="K455" i="1" s="1"/>
  <c r="N455" i="1" s="1"/>
  <c r="J456" i="1"/>
  <c r="K456" i="1" s="1"/>
  <c r="J457" i="1"/>
  <c r="K457" i="1"/>
  <c r="N457" i="1" s="1"/>
  <c r="L457" i="1"/>
  <c r="M457" i="1"/>
  <c r="O457" i="1"/>
  <c r="P457" i="1"/>
  <c r="Q457" i="1"/>
  <c r="R457" i="1"/>
  <c r="J458" i="1"/>
  <c r="K458" i="1" s="1"/>
  <c r="J459" i="1"/>
  <c r="K459" i="1"/>
  <c r="L459" i="1"/>
  <c r="J460" i="1"/>
  <c r="K460" i="1"/>
  <c r="J461" i="1"/>
  <c r="K461" i="1"/>
  <c r="N461" i="1"/>
  <c r="J462" i="1"/>
  <c r="K462" i="1" s="1"/>
  <c r="N462" i="1"/>
  <c r="J463" i="1"/>
  <c r="K463" i="1" s="1"/>
  <c r="M463" i="1" s="1"/>
  <c r="L463" i="1"/>
  <c r="N463" i="1"/>
  <c r="J464" i="1"/>
  <c r="K464" i="1" s="1"/>
  <c r="L464" i="1"/>
  <c r="J465" i="1"/>
  <c r="K465" i="1"/>
  <c r="L465" i="1"/>
  <c r="M465" i="1"/>
  <c r="N465" i="1"/>
  <c r="J466" i="1"/>
  <c r="K466" i="1"/>
  <c r="M466" i="1" s="1"/>
  <c r="L466" i="1"/>
  <c r="N466" i="1"/>
  <c r="J467" i="1"/>
  <c r="K467" i="1"/>
  <c r="N467" i="1"/>
  <c r="J468" i="1"/>
  <c r="K468" i="1" s="1"/>
  <c r="J469" i="1"/>
  <c r="K469" i="1"/>
  <c r="L469" i="1"/>
  <c r="M469" i="1"/>
  <c r="N469" i="1"/>
  <c r="J470" i="1"/>
  <c r="K470" i="1" s="1"/>
  <c r="L470" i="1"/>
  <c r="J471" i="1"/>
  <c r="K471" i="1" s="1"/>
  <c r="L471" i="1"/>
  <c r="J472" i="1"/>
  <c r="K472" i="1"/>
  <c r="L472" i="1"/>
  <c r="M472" i="1"/>
  <c r="N472" i="1"/>
  <c r="O472" i="1"/>
  <c r="P472" i="1" s="1"/>
  <c r="J473" i="1"/>
  <c r="K473" i="1" s="1"/>
  <c r="J474" i="1"/>
  <c r="K474" i="1"/>
  <c r="J475" i="1"/>
  <c r="K475" i="1"/>
  <c r="M475" i="1" s="1"/>
  <c r="J476" i="1"/>
  <c r="K476" i="1"/>
  <c r="L476" i="1"/>
  <c r="M476" i="1"/>
  <c r="N476" i="1"/>
  <c r="J477" i="1"/>
  <c r="K477" i="1"/>
  <c r="L477" i="1"/>
  <c r="J478" i="1"/>
  <c r="K478" i="1" s="1"/>
  <c r="J479" i="1"/>
  <c r="K479" i="1" s="1"/>
  <c r="J480" i="1"/>
  <c r="K480" i="1" s="1"/>
  <c r="M480" i="1" s="1"/>
  <c r="L480" i="1"/>
  <c r="N480" i="1"/>
  <c r="J481" i="1"/>
  <c r="K481" i="1"/>
  <c r="J482" i="1"/>
  <c r="K482" i="1"/>
  <c r="L482" i="1"/>
  <c r="J483" i="1"/>
  <c r="K483" i="1"/>
  <c r="L483" i="1" s="1"/>
  <c r="M483" i="1"/>
  <c r="N483" i="1"/>
  <c r="J484" i="1"/>
  <c r="K484" i="1" s="1"/>
  <c r="J485" i="1"/>
  <c r="K485" i="1" s="1"/>
  <c r="M485" i="1"/>
  <c r="J486" i="1"/>
  <c r="K486" i="1"/>
  <c r="J487" i="1"/>
  <c r="K487" i="1" s="1"/>
  <c r="L487" i="1" s="1"/>
  <c r="N487" i="1"/>
  <c r="J488" i="1"/>
  <c r="K488" i="1" s="1"/>
  <c r="L488" i="1"/>
  <c r="M488" i="1"/>
  <c r="N488" i="1"/>
  <c r="O488" i="1"/>
  <c r="J489" i="1"/>
  <c r="K489" i="1"/>
  <c r="L489" i="1" s="1"/>
  <c r="M489" i="1"/>
  <c r="N489" i="1"/>
  <c r="O489" i="1"/>
  <c r="Q489" i="1" s="1"/>
  <c r="J490" i="1"/>
  <c r="K490" i="1"/>
  <c r="L490" i="1"/>
  <c r="J491" i="1"/>
  <c r="K491" i="1" s="1"/>
  <c r="L491" i="1"/>
  <c r="M491" i="1"/>
  <c r="N491" i="1"/>
  <c r="O491" i="1"/>
  <c r="R491" i="1" s="1"/>
  <c r="J492" i="1"/>
  <c r="K492" i="1" s="1"/>
  <c r="M492" i="1" s="1"/>
  <c r="L492" i="1"/>
  <c r="O492" i="1" s="1"/>
  <c r="Q492" i="1" s="1"/>
  <c r="N492" i="1"/>
  <c r="P492" i="1"/>
  <c r="J493" i="1"/>
  <c r="K493" i="1"/>
  <c r="J494" i="1"/>
  <c r="K494" i="1"/>
  <c r="N494" i="1" s="1"/>
  <c r="L494" i="1"/>
  <c r="M494" i="1"/>
  <c r="J495" i="1"/>
  <c r="K495" i="1" s="1"/>
  <c r="J496" i="1"/>
  <c r="K496" i="1"/>
  <c r="N496" i="1" s="1"/>
  <c r="L496" i="1"/>
  <c r="M496" i="1"/>
  <c r="J497" i="1"/>
  <c r="K497" i="1" s="1"/>
  <c r="J498" i="1"/>
  <c r="K498" i="1"/>
  <c r="N498" i="1" s="1"/>
  <c r="L498" i="1"/>
  <c r="M498" i="1"/>
  <c r="J499" i="1"/>
  <c r="K499" i="1"/>
  <c r="L499" i="1"/>
  <c r="J500" i="1"/>
  <c r="K500" i="1" s="1"/>
  <c r="J501" i="1"/>
  <c r="K501" i="1"/>
  <c r="M501" i="1" s="1"/>
  <c r="J502" i="1"/>
  <c r="K502" i="1"/>
  <c r="L502" i="1" s="1"/>
  <c r="M502" i="1"/>
  <c r="N502" i="1"/>
  <c r="J503" i="1"/>
  <c r="K503" i="1"/>
  <c r="L503" i="1" s="1"/>
  <c r="M503" i="1"/>
  <c r="N503" i="1"/>
  <c r="J504" i="1"/>
  <c r="K504" i="1"/>
  <c r="N504" i="1" s="1"/>
  <c r="L504" i="1"/>
  <c r="M504" i="1"/>
  <c r="J505" i="1"/>
  <c r="K505" i="1"/>
  <c r="M505" i="1"/>
  <c r="J506" i="1"/>
  <c r="K506" i="1" s="1"/>
  <c r="J507" i="1"/>
  <c r="K507" i="1"/>
  <c r="L507" i="1"/>
  <c r="J508" i="1"/>
  <c r="K508" i="1"/>
  <c r="J509" i="1"/>
  <c r="K509" i="1" s="1"/>
  <c r="J510" i="1"/>
  <c r="K510" i="1"/>
  <c r="L510" i="1" s="1"/>
  <c r="M510" i="1"/>
  <c r="N510" i="1"/>
  <c r="J511" i="1"/>
  <c r="K511" i="1"/>
  <c r="J512" i="1"/>
  <c r="K512" i="1"/>
  <c r="N512" i="1" s="1"/>
  <c r="L512" i="1"/>
  <c r="M512" i="1"/>
  <c r="J513" i="1"/>
  <c r="K513" i="1" s="1"/>
  <c r="J514" i="1"/>
  <c r="K514" i="1"/>
  <c r="N514" i="1" s="1"/>
  <c r="L514" i="1"/>
  <c r="M514" i="1"/>
  <c r="J515" i="1"/>
  <c r="K515" i="1"/>
  <c r="L515" i="1"/>
  <c r="M515" i="1"/>
  <c r="N515" i="1"/>
  <c r="J516" i="1"/>
  <c r="K516" i="1" s="1"/>
  <c r="J517" i="1"/>
  <c r="K517" i="1"/>
  <c r="L517" i="1"/>
  <c r="J518" i="1"/>
  <c r="K518" i="1"/>
  <c r="L518" i="1" s="1"/>
  <c r="M518" i="1"/>
  <c r="N518" i="1"/>
  <c r="O518" i="1"/>
  <c r="P518" i="1"/>
  <c r="Q518" i="1"/>
  <c r="R518" i="1"/>
  <c r="S518" i="1"/>
  <c r="J519" i="1"/>
  <c r="K519" i="1"/>
  <c r="L519" i="1" s="1"/>
  <c r="M519" i="1"/>
  <c r="N519" i="1"/>
  <c r="J520" i="1"/>
  <c r="K520" i="1"/>
  <c r="J521" i="1"/>
  <c r="K521" i="1"/>
  <c r="M521" i="1" s="1"/>
  <c r="J522" i="1"/>
  <c r="K522" i="1"/>
  <c r="N522" i="1" s="1"/>
  <c r="L522" i="1"/>
  <c r="M522" i="1"/>
  <c r="J523" i="1"/>
  <c r="K523" i="1"/>
  <c r="J524" i="1"/>
  <c r="K524" i="1"/>
  <c r="J525" i="1"/>
  <c r="K525" i="1" s="1"/>
  <c r="N525" i="1"/>
  <c r="J526" i="1"/>
  <c r="K526" i="1"/>
  <c r="L526" i="1" s="1"/>
  <c r="M526" i="1"/>
  <c r="N526" i="1"/>
  <c r="J527" i="1"/>
  <c r="K527" i="1"/>
  <c r="L527" i="1"/>
  <c r="M527" i="1"/>
  <c r="N527" i="1"/>
  <c r="O527" i="1"/>
  <c r="Q527" i="1"/>
  <c r="J528" i="1"/>
  <c r="K528" i="1"/>
  <c r="L528" i="1" s="1"/>
  <c r="M528" i="1"/>
  <c r="N528" i="1"/>
  <c r="O528" i="1"/>
  <c r="J529" i="1"/>
  <c r="K529" i="1" s="1"/>
  <c r="J530" i="1"/>
  <c r="K530" i="1"/>
  <c r="N530" i="1" s="1"/>
  <c r="L530" i="1"/>
  <c r="M530" i="1"/>
  <c r="J531" i="1"/>
  <c r="K531" i="1"/>
  <c r="L531" i="1"/>
  <c r="J532" i="1"/>
  <c r="K532" i="1" s="1"/>
  <c r="J533" i="1"/>
  <c r="K533" i="1"/>
  <c r="M533" i="1" s="1"/>
  <c r="L533" i="1"/>
  <c r="N533" i="1"/>
  <c r="O533" i="1"/>
  <c r="P533" i="1"/>
  <c r="J534" i="1"/>
  <c r="K534" i="1"/>
  <c r="L534" i="1" s="1"/>
  <c r="M534" i="1"/>
  <c r="O534" i="1" s="1"/>
  <c r="R534" i="1" s="1"/>
  <c r="N534" i="1"/>
  <c r="P534" i="1"/>
  <c r="Q534" i="1"/>
  <c r="J535" i="1"/>
  <c r="K535" i="1"/>
  <c r="L535" i="1"/>
  <c r="M535" i="1"/>
  <c r="N535" i="1"/>
  <c r="J536" i="1"/>
  <c r="K536" i="1"/>
  <c r="L536" i="1"/>
  <c r="M536" i="1"/>
  <c r="N536" i="1"/>
  <c r="O536" i="1"/>
  <c r="P536" i="1" s="1"/>
  <c r="J537" i="1"/>
  <c r="K537" i="1"/>
  <c r="M537" i="1"/>
  <c r="J538" i="1"/>
  <c r="K538" i="1" s="1"/>
  <c r="J539" i="1"/>
  <c r="K539" i="1"/>
  <c r="L539" i="1"/>
  <c r="J540" i="1"/>
  <c r="K540" i="1" s="1"/>
  <c r="J541" i="1"/>
  <c r="K541" i="1" s="1"/>
  <c r="J542" i="1"/>
  <c r="K542" i="1"/>
  <c r="L542" i="1" s="1"/>
  <c r="M542" i="1"/>
  <c r="N542" i="1"/>
  <c r="J543" i="1"/>
  <c r="K543" i="1"/>
  <c r="L543" i="1"/>
  <c r="M543" i="1"/>
  <c r="N543" i="1"/>
  <c r="O543" i="1"/>
  <c r="P543" i="1"/>
  <c r="J544" i="1"/>
  <c r="K544" i="1"/>
  <c r="L544" i="1" s="1"/>
  <c r="M544" i="1"/>
  <c r="N544" i="1"/>
  <c r="J545" i="1"/>
  <c r="K545" i="1"/>
  <c r="L545" i="1"/>
  <c r="M545" i="1"/>
  <c r="N545" i="1"/>
  <c r="J546" i="1"/>
  <c r="K546" i="1" s="1"/>
  <c r="N546" i="1"/>
  <c r="J547" i="1"/>
  <c r="K547" i="1" s="1"/>
  <c r="L547" i="1"/>
  <c r="M547" i="1"/>
  <c r="N547" i="1"/>
  <c r="O547" i="1"/>
  <c r="P547" i="1" s="1"/>
  <c r="J548" i="1"/>
  <c r="K548" i="1" s="1"/>
  <c r="J549" i="1"/>
  <c r="K549" i="1"/>
  <c r="L549" i="1"/>
  <c r="J550" i="1"/>
  <c r="K550" i="1" s="1"/>
  <c r="J551" i="1"/>
  <c r="K551" i="1"/>
  <c r="L551" i="1"/>
  <c r="M551" i="1"/>
  <c r="N551" i="1"/>
  <c r="O551" i="1" s="1"/>
  <c r="J552" i="1"/>
  <c r="K552" i="1" s="1"/>
  <c r="L552" i="1"/>
  <c r="M552" i="1"/>
  <c r="N552" i="1"/>
  <c r="J553" i="1"/>
  <c r="K553" i="1"/>
  <c r="L553" i="1"/>
  <c r="M553" i="1"/>
  <c r="N553" i="1"/>
  <c r="J554" i="1"/>
  <c r="K554" i="1" s="1"/>
  <c r="J555" i="1"/>
  <c r="K555" i="1" s="1"/>
  <c r="L555" i="1"/>
  <c r="M555" i="1"/>
  <c r="N555" i="1"/>
  <c r="O555" i="1"/>
  <c r="P555" i="1" s="1"/>
  <c r="J556" i="1"/>
  <c r="K556" i="1" s="1"/>
  <c r="J557" i="1"/>
  <c r="K557" i="1" s="1"/>
  <c r="J558" i="1"/>
  <c r="K558" i="1"/>
  <c r="M558" i="1" s="1"/>
  <c r="L558" i="1"/>
  <c r="N558" i="1"/>
  <c r="J559" i="1"/>
  <c r="K559" i="1"/>
  <c r="L559" i="1"/>
  <c r="M559" i="1"/>
  <c r="N559" i="1"/>
  <c r="O559" i="1"/>
  <c r="P559" i="1"/>
  <c r="S559" i="1" s="1"/>
  <c r="Q559" i="1"/>
  <c r="R559" i="1"/>
  <c r="J560" i="1"/>
  <c r="K560" i="1"/>
  <c r="M560" i="1" s="1"/>
  <c r="J561" i="1"/>
  <c r="K561" i="1"/>
  <c r="J562" i="1"/>
  <c r="K562" i="1" s="1"/>
  <c r="J563" i="1"/>
  <c r="K563" i="1" s="1"/>
  <c r="L563" i="1"/>
  <c r="J564" i="1"/>
  <c r="K564" i="1" s="1"/>
  <c r="J565" i="1"/>
  <c r="K565" i="1"/>
  <c r="L565" i="1"/>
  <c r="J566" i="1"/>
  <c r="K566" i="1"/>
  <c r="M566" i="1" s="1"/>
  <c r="L566" i="1"/>
  <c r="N566" i="1"/>
  <c r="O566" i="1"/>
  <c r="P566" i="1"/>
  <c r="J567" i="1"/>
  <c r="K567" i="1"/>
  <c r="L567" i="1"/>
  <c r="M567" i="1"/>
  <c r="N567" i="1"/>
  <c r="J568" i="1"/>
  <c r="K568" i="1"/>
  <c r="L568" i="1"/>
  <c r="J569" i="1"/>
  <c r="K569" i="1"/>
  <c r="L569" i="1"/>
  <c r="J570" i="1"/>
  <c r="K570" i="1" s="1"/>
  <c r="N570" i="1"/>
  <c r="J571" i="1"/>
  <c r="K571" i="1" s="1"/>
  <c r="L571" i="1" s="1"/>
  <c r="J572" i="1"/>
  <c r="K572" i="1"/>
  <c r="L572" i="1"/>
  <c r="M572" i="1"/>
  <c r="N572" i="1"/>
  <c r="J573" i="1"/>
  <c r="K573" i="1"/>
  <c r="L573" i="1"/>
  <c r="J574" i="1"/>
  <c r="K574" i="1"/>
  <c r="M574" i="1" s="1"/>
  <c r="L574" i="1"/>
  <c r="N574" i="1"/>
  <c r="O574" i="1"/>
  <c r="P574" i="1" s="1"/>
  <c r="Q574" i="1"/>
  <c r="J575" i="1"/>
  <c r="K575" i="1"/>
  <c r="L575" i="1"/>
  <c r="M575" i="1"/>
  <c r="N575" i="1"/>
  <c r="O575" i="1"/>
  <c r="J576" i="1"/>
  <c r="K576" i="1"/>
  <c r="L576" i="1"/>
  <c r="J577" i="1"/>
  <c r="K577" i="1"/>
  <c r="J578" i="1"/>
  <c r="K578" i="1" s="1"/>
  <c r="N578" i="1"/>
  <c r="J579" i="1"/>
  <c r="K579" i="1" s="1"/>
  <c r="L579" i="1"/>
  <c r="O579" i="1" s="1"/>
  <c r="M579" i="1"/>
  <c r="N579" i="1"/>
  <c r="J580" i="1"/>
  <c r="K580" i="1"/>
  <c r="L580" i="1"/>
  <c r="M580" i="1"/>
  <c r="N580" i="1"/>
  <c r="O580" i="1"/>
  <c r="P580" i="1" s="1"/>
  <c r="R580" i="1"/>
  <c r="J581" i="1"/>
  <c r="K581" i="1" s="1"/>
  <c r="L581" i="1"/>
  <c r="J582" i="1"/>
  <c r="K582" i="1"/>
  <c r="M582" i="1" s="1"/>
  <c r="L582" i="1"/>
  <c r="N582" i="1"/>
  <c r="O582" i="1"/>
  <c r="P582" i="1"/>
  <c r="Q582" i="1"/>
  <c r="R582" i="1"/>
  <c r="J583" i="1"/>
  <c r="K583" i="1"/>
  <c r="L583" i="1"/>
  <c r="M583" i="1"/>
  <c r="N583" i="1"/>
  <c r="O583" i="1"/>
  <c r="Q583" i="1" s="1"/>
  <c r="P583" i="1"/>
  <c r="J584" i="1"/>
  <c r="K584" i="1"/>
  <c r="L584" i="1"/>
  <c r="M584" i="1"/>
  <c r="N584" i="1"/>
  <c r="J585" i="1"/>
  <c r="K585" i="1" s="1"/>
  <c r="J586" i="1"/>
  <c r="K586" i="1" s="1"/>
  <c r="N586" i="1"/>
  <c r="J587" i="1"/>
  <c r="K587" i="1" s="1"/>
  <c r="M587" i="1" s="1"/>
  <c r="L587" i="1"/>
  <c r="N587" i="1"/>
  <c r="O587" i="1"/>
  <c r="P587" i="1"/>
  <c r="J588" i="1"/>
  <c r="K588" i="1" s="1"/>
  <c r="J589" i="1"/>
  <c r="K589" i="1"/>
  <c r="J590" i="1"/>
  <c r="K590" i="1"/>
  <c r="J591" i="1"/>
  <c r="K591" i="1"/>
  <c r="L591" i="1"/>
  <c r="M591" i="1"/>
  <c r="N591" i="1"/>
  <c r="O591" i="1"/>
  <c r="R591" i="1" s="1"/>
  <c r="P591" i="1"/>
  <c r="Q591" i="1"/>
  <c r="J592" i="1"/>
  <c r="K592" i="1" s="1"/>
  <c r="J593" i="1"/>
  <c r="K593" i="1"/>
  <c r="N593" i="1" s="1"/>
  <c r="L593" i="1"/>
  <c r="O593" i="1" s="1"/>
  <c r="M593" i="1"/>
  <c r="P593" i="1"/>
  <c r="Q593" i="1"/>
  <c r="J594" i="1"/>
  <c r="K594" i="1" s="1"/>
  <c r="J595" i="1"/>
  <c r="K595" i="1" s="1"/>
  <c r="J596" i="1"/>
  <c r="K596" i="1"/>
  <c r="N596" i="1" s="1"/>
  <c r="L596" i="1"/>
  <c r="M596" i="1"/>
  <c r="J597" i="1"/>
  <c r="K597" i="1" s="1"/>
  <c r="J598" i="1"/>
  <c r="K598" i="1" s="1"/>
  <c r="J599" i="1"/>
  <c r="K599" i="1"/>
  <c r="L599" i="1"/>
  <c r="M599" i="1"/>
  <c r="N599" i="1"/>
  <c r="O599" i="1"/>
  <c r="Q599" i="1"/>
  <c r="J600" i="1"/>
  <c r="K600" i="1"/>
  <c r="L600" i="1"/>
  <c r="J601" i="1"/>
  <c r="K601" i="1"/>
  <c r="J602" i="1"/>
  <c r="K602" i="1" s="1"/>
  <c r="J603" i="1"/>
  <c r="K603" i="1" s="1"/>
  <c r="N603" i="1"/>
  <c r="J604" i="1"/>
  <c r="K604" i="1"/>
  <c r="L604" i="1"/>
  <c r="M604" i="1"/>
  <c r="N604" i="1"/>
  <c r="O604" i="1"/>
  <c r="J605" i="1"/>
  <c r="K605" i="1"/>
  <c r="L605" i="1"/>
  <c r="J606" i="1"/>
  <c r="K606" i="1"/>
  <c r="M606" i="1" s="1"/>
  <c r="L606" i="1"/>
  <c r="N606" i="1"/>
  <c r="J607" i="1"/>
  <c r="K607" i="1"/>
  <c r="L607" i="1"/>
  <c r="M607" i="1"/>
  <c r="N607" i="1"/>
  <c r="O607" i="1" s="1"/>
  <c r="J608" i="1"/>
  <c r="K608" i="1"/>
  <c r="L608" i="1"/>
  <c r="M608" i="1"/>
  <c r="N608" i="1"/>
  <c r="J609" i="1"/>
  <c r="K609" i="1"/>
  <c r="L609" i="1"/>
  <c r="M609" i="1"/>
  <c r="N609" i="1"/>
  <c r="J610" i="1"/>
  <c r="K610" i="1" s="1"/>
  <c r="N610" i="1"/>
  <c r="J611" i="1"/>
  <c r="K611" i="1" s="1"/>
  <c r="L611" i="1"/>
  <c r="M611" i="1"/>
  <c r="N611" i="1"/>
  <c r="J612" i="1"/>
  <c r="K612" i="1"/>
  <c r="L612" i="1" s="1"/>
  <c r="M612" i="1"/>
  <c r="N612" i="1"/>
  <c r="O612" i="1"/>
  <c r="P612" i="1"/>
  <c r="R612" i="1"/>
  <c r="J613" i="1"/>
  <c r="K613" i="1"/>
  <c r="L613" i="1"/>
  <c r="J614" i="1"/>
  <c r="K614" i="1"/>
  <c r="N614" i="1" s="1"/>
  <c r="J615" i="1"/>
  <c r="K615" i="1"/>
  <c r="L615" i="1"/>
  <c r="M615" i="1"/>
  <c r="N615" i="1"/>
  <c r="O615" i="1"/>
  <c r="P615" i="1"/>
  <c r="Q615" i="1"/>
  <c r="R615" i="1"/>
  <c r="J616" i="1"/>
  <c r="K616" i="1" s="1"/>
  <c r="L616" i="1"/>
  <c r="M616" i="1"/>
  <c r="N616" i="1"/>
  <c r="J617" i="1"/>
  <c r="K617" i="1"/>
  <c r="L617" i="1"/>
  <c r="M617" i="1"/>
  <c r="N617" i="1"/>
  <c r="J618" i="1"/>
  <c r="K618" i="1" s="1"/>
  <c r="J619" i="1"/>
  <c r="K619" i="1" s="1"/>
  <c r="L619" i="1"/>
  <c r="M619" i="1"/>
  <c r="N619" i="1"/>
  <c r="O619" i="1"/>
  <c r="P619" i="1" s="1"/>
  <c r="J620" i="1"/>
  <c r="K620" i="1"/>
  <c r="N620" i="1" s="1"/>
  <c r="L620" i="1"/>
  <c r="M620" i="1"/>
  <c r="O620" i="1"/>
  <c r="J621" i="1"/>
  <c r="K621" i="1" s="1"/>
  <c r="J622" i="1"/>
  <c r="K622" i="1" s="1"/>
  <c r="J623" i="1"/>
  <c r="K623" i="1"/>
  <c r="L623" i="1"/>
  <c r="M623" i="1"/>
  <c r="N623" i="1"/>
  <c r="O623" i="1"/>
  <c r="P623" i="1"/>
  <c r="Q623" i="1"/>
  <c r="R623" i="1"/>
  <c r="S623" i="1" s="1"/>
  <c r="J624" i="1"/>
  <c r="K624" i="1" s="1"/>
  <c r="L624" i="1" s="1"/>
  <c r="J625" i="1"/>
  <c r="K625" i="1"/>
  <c r="L625" i="1"/>
  <c r="M625" i="1"/>
  <c r="N625" i="1"/>
  <c r="O625" i="1"/>
  <c r="P625" i="1"/>
  <c r="Q625" i="1"/>
  <c r="R625" i="1"/>
  <c r="S625" i="1"/>
  <c r="J626" i="1"/>
  <c r="K626" i="1" s="1"/>
  <c r="N626" i="1"/>
  <c r="J627" i="1"/>
  <c r="K627" i="1"/>
  <c r="L627" i="1"/>
  <c r="M627" i="1"/>
  <c r="N627" i="1"/>
  <c r="O627" i="1"/>
  <c r="P627" i="1"/>
  <c r="J628" i="1"/>
  <c r="K628" i="1"/>
  <c r="L628" i="1" s="1"/>
  <c r="M628" i="1"/>
  <c r="N628" i="1"/>
  <c r="O628" i="1"/>
  <c r="J629" i="1"/>
  <c r="K629" i="1"/>
  <c r="L629" i="1"/>
  <c r="J630" i="1"/>
  <c r="K630" i="1" s="1"/>
  <c r="L630" i="1"/>
  <c r="M630" i="1"/>
  <c r="N630" i="1"/>
  <c r="O630" i="1"/>
  <c r="P630" i="1"/>
  <c r="J631" i="1"/>
  <c r="K631" i="1"/>
  <c r="L631" i="1"/>
  <c r="M631" i="1"/>
  <c r="N631" i="1"/>
  <c r="O631" i="1"/>
  <c r="P631" i="1"/>
  <c r="J632" i="1"/>
  <c r="K632" i="1"/>
  <c r="N632" i="1" s="1"/>
  <c r="L632" i="1"/>
  <c r="M632" i="1"/>
  <c r="J633" i="1"/>
  <c r="K633" i="1"/>
  <c r="N633" i="1" s="1"/>
  <c r="L633" i="1"/>
  <c r="M633" i="1"/>
  <c r="J634" i="1"/>
  <c r="K634" i="1" s="1"/>
  <c r="J635" i="1"/>
  <c r="K635" i="1"/>
  <c r="L635" i="1"/>
  <c r="M635" i="1"/>
  <c r="N635" i="1"/>
  <c r="O635" i="1"/>
  <c r="J636" i="1"/>
  <c r="K636" i="1"/>
  <c r="N636" i="1"/>
  <c r="J637" i="1"/>
  <c r="K637" i="1"/>
  <c r="J638" i="1"/>
  <c r="K638" i="1"/>
  <c r="N638" i="1" s="1"/>
  <c r="L638" i="1"/>
  <c r="M638" i="1"/>
  <c r="J639" i="1"/>
  <c r="K639" i="1"/>
  <c r="L639" i="1"/>
  <c r="M639" i="1"/>
  <c r="N639" i="1"/>
  <c r="D5" i="1"/>
  <c r="C5" i="1"/>
  <c r="B5" i="1"/>
  <c r="E17" i="20"/>
  <c r="E16" i="20"/>
  <c r="N540" i="1" l="1"/>
  <c r="M540" i="1"/>
  <c r="L540" i="1"/>
  <c r="O297" i="1"/>
  <c r="P297" i="1"/>
  <c r="L548" i="1"/>
  <c r="M548" i="1"/>
  <c r="N548" i="1"/>
  <c r="L585" i="1"/>
  <c r="N585" i="1"/>
  <c r="M585" i="1"/>
  <c r="S574" i="1"/>
  <c r="M220" i="1"/>
  <c r="N220" i="1"/>
  <c r="L220" i="1"/>
  <c r="N622" i="1"/>
  <c r="L622" i="1"/>
  <c r="M622" i="1"/>
  <c r="M550" i="1"/>
  <c r="L550" i="1"/>
  <c r="N550" i="1"/>
  <c r="S274" i="1"/>
  <c r="P629" i="1"/>
  <c r="O624" i="1"/>
  <c r="P624" i="1"/>
  <c r="O571" i="1"/>
  <c r="P571" i="1" s="1"/>
  <c r="M199" i="1"/>
  <c r="N199" i="1"/>
  <c r="L199" i="1"/>
  <c r="P607" i="1"/>
  <c r="Q607" i="1"/>
  <c r="O326" i="1"/>
  <c r="P326" i="1" s="1"/>
  <c r="O321" i="1"/>
  <c r="R321" i="1" s="1"/>
  <c r="S266" i="1"/>
  <c r="R631" i="1"/>
  <c r="S631" i="1" s="1"/>
  <c r="R628" i="1"/>
  <c r="P620" i="1"/>
  <c r="O611" i="1"/>
  <c r="P611" i="1" s="1"/>
  <c r="M605" i="1"/>
  <c r="N605" i="1"/>
  <c r="L588" i="1"/>
  <c r="N588" i="1"/>
  <c r="M588" i="1"/>
  <c r="R566" i="1"/>
  <c r="O558" i="1"/>
  <c r="P558" i="1" s="1"/>
  <c r="R476" i="1"/>
  <c r="L468" i="1"/>
  <c r="N468" i="1"/>
  <c r="M468" i="1"/>
  <c r="M464" i="1"/>
  <c r="N464" i="1"/>
  <c r="M418" i="1"/>
  <c r="N418" i="1"/>
  <c r="L418" i="1"/>
  <c r="M381" i="1"/>
  <c r="O381" i="1" s="1"/>
  <c r="P381" i="1" s="1"/>
  <c r="N381" i="1"/>
  <c r="M326" i="1"/>
  <c r="N326" i="1"/>
  <c r="L119" i="1"/>
  <c r="M119" i="1"/>
  <c r="N119" i="1"/>
  <c r="Q631" i="1"/>
  <c r="Q628" i="1"/>
  <c r="R620" i="1"/>
  <c r="S591" i="1"/>
  <c r="S587" i="1"/>
  <c r="O569" i="1"/>
  <c r="P569" i="1"/>
  <c r="M539" i="1"/>
  <c r="N539" i="1"/>
  <c r="O453" i="1"/>
  <c r="P453" i="1"/>
  <c r="R348" i="1"/>
  <c r="M343" i="1"/>
  <c r="N343" i="1"/>
  <c r="L343" i="1"/>
  <c r="L320" i="1"/>
  <c r="M320" i="1"/>
  <c r="N320" i="1"/>
  <c r="P285" i="1"/>
  <c r="Q285" i="1"/>
  <c r="R266" i="1"/>
  <c r="O253" i="1"/>
  <c r="P253" i="1"/>
  <c r="O81" i="1"/>
  <c r="Q81" i="1" s="1"/>
  <c r="P81" i="1"/>
  <c r="L634" i="1"/>
  <c r="M634" i="1"/>
  <c r="N634" i="1"/>
  <c r="P628" i="1"/>
  <c r="M600" i="1"/>
  <c r="N600" i="1"/>
  <c r="O596" i="1"/>
  <c r="R596" i="1" s="1"/>
  <c r="P596" i="1"/>
  <c r="M576" i="1"/>
  <c r="N576" i="1"/>
  <c r="N569" i="1"/>
  <c r="M569" i="1"/>
  <c r="N560" i="1"/>
  <c r="R543" i="1"/>
  <c r="O514" i="1"/>
  <c r="Q514" i="1" s="1"/>
  <c r="P514" i="1"/>
  <c r="S514" i="1" s="1"/>
  <c r="N501" i="1"/>
  <c r="O496" i="1"/>
  <c r="Q496" i="1" s="1"/>
  <c r="P496" i="1"/>
  <c r="Q491" i="1"/>
  <c r="L481" i="1"/>
  <c r="M481" i="1"/>
  <c r="N481" i="1"/>
  <c r="M458" i="1"/>
  <c r="L458" i="1"/>
  <c r="N458" i="1"/>
  <c r="M453" i="1"/>
  <c r="N453" i="1"/>
  <c r="O404" i="1"/>
  <c r="P404" i="1" s="1"/>
  <c r="Q348" i="1"/>
  <c r="P304" i="1"/>
  <c r="R285" i="1"/>
  <c r="O99" i="1"/>
  <c r="P99" i="1" s="1"/>
  <c r="Q99" i="1"/>
  <c r="O638" i="1"/>
  <c r="R638" i="1" s="1"/>
  <c r="P638" i="1"/>
  <c r="R587" i="1"/>
  <c r="R579" i="1"/>
  <c r="L560" i="1"/>
  <c r="M557" i="1"/>
  <c r="N557" i="1"/>
  <c r="L557" i="1"/>
  <c r="Q543" i="1"/>
  <c r="S543" i="1" s="1"/>
  <c r="N532" i="1"/>
  <c r="L532" i="1"/>
  <c r="M532" i="1"/>
  <c r="R514" i="1"/>
  <c r="L501" i="1"/>
  <c r="R496" i="1"/>
  <c r="P491" i="1"/>
  <c r="S491" i="1" s="1"/>
  <c r="M484" i="1"/>
  <c r="L484" i="1"/>
  <c r="N484" i="1"/>
  <c r="L467" i="1"/>
  <c r="M467" i="1"/>
  <c r="O463" i="1"/>
  <c r="P463" i="1" s="1"/>
  <c r="Q463" i="1"/>
  <c r="L448" i="1"/>
  <c r="M448" i="1"/>
  <c r="N448" i="1"/>
  <c r="M444" i="1"/>
  <c r="L444" i="1"/>
  <c r="N444" i="1"/>
  <c r="O440" i="1"/>
  <c r="Q440" i="1" s="1"/>
  <c r="P440" i="1"/>
  <c r="Q395" i="1"/>
  <c r="S395" i="1" s="1"/>
  <c r="N353" i="1"/>
  <c r="L353" i="1"/>
  <c r="M353" i="1"/>
  <c r="N271" i="1"/>
  <c r="L271" i="1"/>
  <c r="M271" i="1"/>
  <c r="M239" i="1"/>
  <c r="N239" i="1"/>
  <c r="L239" i="1"/>
  <c r="O502" i="1"/>
  <c r="P502" i="1" s="1"/>
  <c r="Q502" i="1"/>
  <c r="S492" i="1"/>
  <c r="L486" i="1"/>
  <c r="N486" i="1"/>
  <c r="M301" i="1"/>
  <c r="N301" i="1"/>
  <c r="R611" i="1"/>
  <c r="O605" i="1"/>
  <c r="P605" i="1" s="1"/>
  <c r="M597" i="1"/>
  <c r="N597" i="1"/>
  <c r="L597" i="1"/>
  <c r="O437" i="1"/>
  <c r="R437" i="1" s="1"/>
  <c r="P437" i="1"/>
  <c r="S399" i="1"/>
  <c r="S363" i="1"/>
  <c r="R607" i="1"/>
  <c r="O471" i="1"/>
  <c r="P471" i="1" s="1"/>
  <c r="M407" i="1"/>
  <c r="O407" i="1" s="1"/>
  <c r="P407" i="1" s="1"/>
  <c r="N407" i="1"/>
  <c r="R328" i="1"/>
  <c r="L12" i="1"/>
  <c r="M12" i="1"/>
  <c r="N12" i="1"/>
  <c r="L610" i="1"/>
  <c r="M610" i="1"/>
  <c r="L595" i="1"/>
  <c r="M595" i="1"/>
  <c r="N595" i="1"/>
  <c r="P579" i="1"/>
  <c r="M565" i="1"/>
  <c r="O565" i="1" s="1"/>
  <c r="P565" i="1" s="1"/>
  <c r="N565" i="1"/>
  <c r="N531" i="1"/>
  <c r="M531" i="1"/>
  <c r="O504" i="1"/>
  <c r="R504" i="1" s="1"/>
  <c r="P504" i="1"/>
  <c r="R466" i="1"/>
  <c r="N398" i="1"/>
  <c r="M398" i="1"/>
  <c r="N370" i="1"/>
  <c r="L370" i="1"/>
  <c r="M370" i="1"/>
  <c r="Q328" i="1"/>
  <c r="N244" i="1"/>
  <c r="M244" i="1"/>
  <c r="L202" i="1"/>
  <c r="N202" i="1"/>
  <c r="R136" i="1"/>
  <c r="Q633" i="1"/>
  <c r="M568" i="1"/>
  <c r="N568" i="1"/>
  <c r="O480" i="1"/>
  <c r="P480" i="1" s="1"/>
  <c r="R447" i="1"/>
  <c r="L352" i="1"/>
  <c r="N352" i="1"/>
  <c r="O328" i="1"/>
  <c r="P328" i="1"/>
  <c r="L222" i="1"/>
  <c r="M222" i="1"/>
  <c r="N222" i="1"/>
  <c r="Q151" i="1"/>
  <c r="R630" i="1"/>
  <c r="S615" i="1"/>
  <c r="Q572" i="1"/>
  <c r="N556" i="1"/>
  <c r="M556" i="1"/>
  <c r="L556" i="1"/>
  <c r="R552" i="1"/>
  <c r="N524" i="1"/>
  <c r="M524" i="1"/>
  <c r="L524" i="1"/>
  <c r="O512" i="1"/>
  <c r="P512" i="1" s="1"/>
  <c r="S512" i="1" s="1"/>
  <c r="R426" i="1"/>
  <c r="O336" i="1"/>
  <c r="P336" i="1" s="1"/>
  <c r="Q308" i="1"/>
  <c r="N284" i="1"/>
  <c r="L284" i="1"/>
  <c r="M284" i="1"/>
  <c r="L208" i="1"/>
  <c r="M208" i="1"/>
  <c r="N208" i="1"/>
  <c r="O88" i="1"/>
  <c r="Q88" i="1" s="1"/>
  <c r="P88" i="1"/>
  <c r="L594" i="1"/>
  <c r="M594" i="1"/>
  <c r="N594" i="1"/>
  <c r="O572" i="1"/>
  <c r="R572" i="1" s="1"/>
  <c r="P572" i="1"/>
  <c r="L564" i="1"/>
  <c r="M564" i="1"/>
  <c r="N564" i="1"/>
  <c r="Q552" i="1"/>
  <c r="O542" i="1"/>
  <c r="P542" i="1" s="1"/>
  <c r="Q542" i="1"/>
  <c r="R512" i="1"/>
  <c r="N499" i="1"/>
  <c r="M499" i="1"/>
  <c r="N429" i="1"/>
  <c r="M429" i="1"/>
  <c r="R356" i="1"/>
  <c r="O308" i="1"/>
  <c r="R308" i="1" s="1"/>
  <c r="P308" i="1"/>
  <c r="R606" i="1"/>
  <c r="O563" i="1"/>
  <c r="P563" i="1" s="1"/>
  <c r="O552" i="1"/>
  <c r="P552" i="1"/>
  <c r="O545" i="1"/>
  <c r="R545" i="1" s="1"/>
  <c r="P545" i="1"/>
  <c r="R536" i="1"/>
  <c r="N478" i="1"/>
  <c r="L478" i="1"/>
  <c r="M478" i="1"/>
  <c r="M470" i="1"/>
  <c r="N470" i="1"/>
  <c r="M402" i="1"/>
  <c r="L402" i="1"/>
  <c r="N402" i="1"/>
  <c r="O287" i="1"/>
  <c r="L636" i="1"/>
  <c r="M636" i="1"/>
  <c r="O606" i="1"/>
  <c r="P606" i="1" s="1"/>
  <c r="S606" i="1" s="1"/>
  <c r="Q536" i="1"/>
  <c r="O519" i="1"/>
  <c r="P519" i="1" s="1"/>
  <c r="M511" i="1"/>
  <c r="N511" i="1"/>
  <c r="L511" i="1"/>
  <c r="O503" i="1"/>
  <c r="Q503" i="1" s="1"/>
  <c r="R469" i="1"/>
  <c r="R451" i="1"/>
  <c r="S451" i="1" s="1"/>
  <c r="N425" i="1"/>
  <c r="L425" i="1"/>
  <c r="M425" i="1"/>
  <c r="L368" i="1"/>
  <c r="N368" i="1"/>
  <c r="N312" i="1"/>
  <c r="L312" i="1"/>
  <c r="M312" i="1"/>
  <c r="O608" i="1"/>
  <c r="P608" i="1"/>
  <c r="L602" i="1"/>
  <c r="M602" i="1"/>
  <c r="L562" i="1"/>
  <c r="M562" i="1"/>
  <c r="P522" i="1"/>
  <c r="O522" i="1"/>
  <c r="M376" i="1"/>
  <c r="N376" i="1"/>
  <c r="Q156" i="1"/>
  <c r="Q620" i="1"/>
  <c r="R528" i="1"/>
  <c r="R489" i="1"/>
  <c r="O464" i="1"/>
  <c r="P464" i="1" s="1"/>
  <c r="L454" i="1"/>
  <c r="M454" i="1"/>
  <c r="N454" i="1"/>
  <c r="Q579" i="1"/>
  <c r="Q504" i="1"/>
  <c r="O325" i="1"/>
  <c r="Q274" i="1"/>
  <c r="R274" i="1"/>
  <c r="O244" i="1"/>
  <c r="P244" i="1" s="1"/>
  <c r="S630" i="1"/>
  <c r="O568" i="1"/>
  <c r="P568" i="1"/>
  <c r="L546" i="1"/>
  <c r="M546" i="1"/>
  <c r="L537" i="1"/>
  <c r="N537" i="1"/>
  <c r="N508" i="1"/>
  <c r="M508" i="1"/>
  <c r="L508" i="1"/>
  <c r="N495" i="1"/>
  <c r="L495" i="1"/>
  <c r="M495" i="1"/>
  <c r="N471" i="1"/>
  <c r="M471" i="1"/>
  <c r="S457" i="1"/>
  <c r="O430" i="1"/>
  <c r="Q430" i="1" s="1"/>
  <c r="M637" i="1"/>
  <c r="N637" i="1"/>
  <c r="L637" i="1"/>
  <c r="R583" i="1"/>
  <c r="S583" i="1" s="1"/>
  <c r="L520" i="1"/>
  <c r="M520" i="1"/>
  <c r="N520" i="1"/>
  <c r="Q512" i="1"/>
  <c r="M443" i="1"/>
  <c r="N443" i="1"/>
  <c r="L443" i="1"/>
  <c r="Q336" i="1"/>
  <c r="N98" i="1"/>
  <c r="L98" i="1"/>
  <c r="M98" i="1"/>
  <c r="O499" i="1"/>
  <c r="P499" i="1"/>
  <c r="M433" i="1"/>
  <c r="N433" i="1"/>
  <c r="L433" i="1"/>
  <c r="R373" i="1"/>
  <c r="M340" i="1"/>
  <c r="L340" i="1"/>
  <c r="N340" i="1"/>
  <c r="L618" i="1"/>
  <c r="M618" i="1"/>
  <c r="N618" i="1"/>
  <c r="S555" i="1"/>
  <c r="M517" i="1"/>
  <c r="N517" i="1"/>
  <c r="O494" i="1"/>
  <c r="Q494" i="1" s="1"/>
  <c r="M439" i="1"/>
  <c r="L439" i="1"/>
  <c r="N439" i="1"/>
  <c r="R377" i="1"/>
  <c r="R336" i="1"/>
  <c r="O490" i="1"/>
  <c r="P490" i="1" s="1"/>
  <c r="M474" i="1"/>
  <c r="L474" i="1"/>
  <c r="N474" i="1"/>
  <c r="O331" i="1"/>
  <c r="R331" i="1"/>
  <c r="O248" i="1"/>
  <c r="P248" i="1" s="1"/>
  <c r="Q606" i="1"/>
  <c r="L603" i="1"/>
  <c r="M603" i="1"/>
  <c r="M598" i="1"/>
  <c r="L598" i="1"/>
  <c r="N598" i="1"/>
  <c r="R551" i="1"/>
  <c r="P551" i="1"/>
  <c r="S551" i="1" s="1"/>
  <c r="Q551" i="1"/>
  <c r="L541" i="1"/>
  <c r="M541" i="1"/>
  <c r="N541" i="1"/>
  <c r="M523" i="1"/>
  <c r="N523" i="1"/>
  <c r="L523" i="1"/>
  <c r="R515" i="1"/>
  <c r="M473" i="1"/>
  <c r="L473" i="1"/>
  <c r="N473" i="1"/>
  <c r="N414" i="1"/>
  <c r="L414" i="1"/>
  <c r="M414" i="1"/>
  <c r="O236" i="1"/>
  <c r="P236" i="1" s="1"/>
  <c r="S236" i="1" s="1"/>
  <c r="M231" i="1"/>
  <c r="N231" i="1"/>
  <c r="L231" i="1"/>
  <c r="N41" i="1"/>
  <c r="L41" i="1"/>
  <c r="M41" i="1"/>
  <c r="O419" i="1"/>
  <c r="Q419" i="1" s="1"/>
  <c r="S534" i="1"/>
  <c r="Q373" i="1"/>
  <c r="L19" i="1"/>
  <c r="M19" i="1"/>
  <c r="N19" i="1"/>
  <c r="M571" i="1"/>
  <c r="N571" i="1"/>
  <c r="L529" i="1"/>
  <c r="N529" i="1"/>
  <c r="M529" i="1"/>
  <c r="O526" i="1"/>
  <c r="P526" i="1" s="1"/>
  <c r="Q515" i="1"/>
  <c r="M455" i="1"/>
  <c r="M355" i="1"/>
  <c r="M322" i="1"/>
  <c r="N322" i="1"/>
  <c r="L322" i="1"/>
  <c r="N297" i="1"/>
  <c r="M297" i="1"/>
  <c r="N145" i="1"/>
  <c r="M145" i="1"/>
  <c r="L145" i="1"/>
  <c r="O544" i="1"/>
  <c r="Q544" i="1" s="1"/>
  <c r="L601" i="1"/>
  <c r="M601" i="1"/>
  <c r="N601" i="1"/>
  <c r="R385" i="1"/>
  <c r="O309" i="1"/>
  <c r="Q309" i="1" s="1"/>
  <c r="P309" i="1"/>
  <c r="L513" i="1"/>
  <c r="N513" i="1"/>
  <c r="M513" i="1"/>
  <c r="R599" i="1"/>
  <c r="O633" i="1"/>
  <c r="M369" i="1"/>
  <c r="N369" i="1"/>
  <c r="L369" i="1"/>
  <c r="O373" i="1"/>
  <c r="P373" i="1"/>
  <c r="M384" i="1"/>
  <c r="N384" i="1"/>
  <c r="M563" i="1"/>
  <c r="N563" i="1"/>
  <c r="O388" i="1"/>
  <c r="Q388" i="1" s="1"/>
  <c r="O629" i="1"/>
  <c r="M624" i="1"/>
  <c r="N624" i="1"/>
  <c r="R608" i="1"/>
  <c r="M589" i="1"/>
  <c r="N589" i="1"/>
  <c r="L589" i="1"/>
  <c r="R635" i="1"/>
  <c r="Q608" i="1"/>
  <c r="N602" i="1"/>
  <c r="R593" i="1"/>
  <c r="S593" i="1" s="1"/>
  <c r="L577" i="1"/>
  <c r="M577" i="1"/>
  <c r="N577" i="1"/>
  <c r="R574" i="1"/>
  <c r="N562" i="1"/>
  <c r="Q522" i="1"/>
  <c r="L506" i="1"/>
  <c r="M506" i="1"/>
  <c r="N506" i="1"/>
  <c r="P489" i="1"/>
  <c r="M486" i="1"/>
  <c r="L455" i="1"/>
  <c r="N450" i="1"/>
  <c r="L376" i="1"/>
  <c r="O372" i="1"/>
  <c r="P372" i="1"/>
  <c r="L355" i="1"/>
  <c r="L301" i="1"/>
  <c r="L291" i="1"/>
  <c r="M291" i="1"/>
  <c r="L230" i="1"/>
  <c r="M230" i="1"/>
  <c r="N230" i="1"/>
  <c r="O216" i="1"/>
  <c r="R216" i="1" s="1"/>
  <c r="P216" i="1"/>
  <c r="O240" i="1"/>
  <c r="L150" i="1"/>
  <c r="M150" i="1"/>
  <c r="N150" i="1"/>
  <c r="P136" i="1"/>
  <c r="O639" i="1"/>
  <c r="O581" i="1"/>
  <c r="P581" i="1" s="1"/>
  <c r="Q566" i="1"/>
  <c r="S566" i="1" s="1"/>
  <c r="Q528" i="1"/>
  <c r="L505" i="1"/>
  <c r="N505" i="1"/>
  <c r="Q447" i="1"/>
  <c r="S447" i="1" s="1"/>
  <c r="R440" i="1"/>
  <c r="N436" i="1"/>
  <c r="L436" i="1"/>
  <c r="M436" i="1"/>
  <c r="O426" i="1"/>
  <c r="R399" i="1"/>
  <c r="O385" i="1"/>
  <c r="P385" i="1" s="1"/>
  <c r="N360" i="1"/>
  <c r="L360" i="1"/>
  <c r="M360" i="1"/>
  <c r="O339" i="1"/>
  <c r="P339" i="1"/>
  <c r="O329" i="1"/>
  <c r="Q329" i="1" s="1"/>
  <c r="P329" i="1"/>
  <c r="L316" i="1"/>
  <c r="M316" i="1"/>
  <c r="N316" i="1"/>
  <c r="R304" i="1"/>
  <c r="R252" i="1"/>
  <c r="O203" i="1"/>
  <c r="Q203" i="1"/>
  <c r="N197" i="1"/>
  <c r="L197" i="1"/>
  <c r="M197" i="1"/>
  <c r="M178" i="1"/>
  <c r="L178" i="1"/>
  <c r="N178" i="1"/>
  <c r="N161" i="1"/>
  <c r="M161" i="1"/>
  <c r="L161" i="1"/>
  <c r="N129" i="1"/>
  <c r="L129" i="1"/>
  <c r="P67" i="1"/>
  <c r="Q67" i="1"/>
  <c r="M581" i="1"/>
  <c r="N581" i="1"/>
  <c r="P528" i="1"/>
  <c r="Q304" i="1"/>
  <c r="L292" i="1"/>
  <c r="M292" i="1"/>
  <c r="N292" i="1"/>
  <c r="R280" i="1"/>
  <c r="M226" i="1"/>
  <c r="N226" i="1"/>
  <c r="N113" i="1"/>
  <c r="M113" i="1"/>
  <c r="L113" i="1"/>
  <c r="O379" i="1"/>
  <c r="R379" i="1" s="1"/>
  <c r="P379" i="1"/>
  <c r="Q635" i="1"/>
  <c r="R547" i="1"/>
  <c r="R527" i="1"/>
  <c r="R472" i="1"/>
  <c r="O632" i="1"/>
  <c r="P632" i="1"/>
  <c r="R362" i="1"/>
  <c r="S362" i="1" s="1"/>
  <c r="M621" i="1"/>
  <c r="N621" i="1"/>
  <c r="L621" i="1"/>
  <c r="P575" i="1"/>
  <c r="O567" i="1"/>
  <c r="R567" i="1" s="1"/>
  <c r="P567" i="1"/>
  <c r="L561" i="1"/>
  <c r="M561" i="1"/>
  <c r="N561" i="1"/>
  <c r="R530" i="1"/>
  <c r="M459" i="1"/>
  <c r="N459" i="1"/>
  <c r="L456" i="1"/>
  <c r="N456" i="1"/>
  <c r="M456" i="1"/>
  <c r="R416" i="1"/>
  <c r="M412" i="1"/>
  <c r="N412" i="1"/>
  <c r="R405" i="1"/>
  <c r="L401" i="1"/>
  <c r="M401" i="1"/>
  <c r="L378" i="1"/>
  <c r="N378" i="1"/>
  <c r="M378" i="1"/>
  <c r="M358" i="1"/>
  <c r="L358" i="1"/>
  <c r="N358" i="1"/>
  <c r="L346" i="1"/>
  <c r="M346" i="1"/>
  <c r="L306" i="1"/>
  <c r="M306" i="1"/>
  <c r="N306" i="1"/>
  <c r="O295" i="1"/>
  <c r="P295" i="1" s="1"/>
  <c r="O189" i="1"/>
  <c r="P189" i="1" s="1"/>
  <c r="R189" i="1"/>
  <c r="P185" i="1"/>
  <c r="S185" i="1" s="1"/>
  <c r="O185" i="1"/>
  <c r="R185" i="1" s="1"/>
  <c r="O175" i="1"/>
  <c r="P175" i="1"/>
  <c r="O143" i="1"/>
  <c r="Q143" i="1" s="1"/>
  <c r="P131" i="1"/>
  <c r="S131" i="1" s="1"/>
  <c r="Q131" i="1"/>
  <c r="R131" i="1"/>
  <c r="O72" i="1"/>
  <c r="P72" i="1" s="1"/>
  <c r="L46" i="1"/>
  <c r="M46" i="1"/>
  <c r="N46" i="1"/>
  <c r="O24" i="1"/>
  <c r="P24" i="1" s="1"/>
  <c r="O476" i="1"/>
  <c r="Q476" i="1" s="1"/>
  <c r="P476" i="1"/>
  <c r="O446" i="1"/>
  <c r="R446" i="1" s="1"/>
  <c r="L417" i="1"/>
  <c r="M417" i="1"/>
  <c r="N417" i="1"/>
  <c r="M342" i="1"/>
  <c r="N342" i="1"/>
  <c r="L342" i="1"/>
  <c r="L238" i="1"/>
  <c r="M238" i="1"/>
  <c r="N238" i="1"/>
  <c r="O224" i="1"/>
  <c r="R224" i="1" s="1"/>
  <c r="Q632" i="1"/>
  <c r="P599" i="1"/>
  <c r="S599" i="1" s="1"/>
  <c r="M590" i="1"/>
  <c r="L590" i="1"/>
  <c r="N590" i="1"/>
  <c r="S582" i="1"/>
  <c r="R575" i="1"/>
  <c r="Q530" i="1"/>
  <c r="R522" i="1"/>
  <c r="R494" i="1"/>
  <c r="Q438" i="1"/>
  <c r="Q416" i="1"/>
  <c r="Q405" i="1"/>
  <c r="R395" i="1"/>
  <c r="O387" i="1"/>
  <c r="Q387" i="1" s="1"/>
  <c r="P387" i="1"/>
  <c r="Q375" i="1"/>
  <c r="S327" i="1"/>
  <c r="N207" i="1"/>
  <c r="M207" i="1"/>
  <c r="L207" i="1"/>
  <c r="Q180" i="1"/>
  <c r="P635" i="1"/>
  <c r="Q612" i="1"/>
  <c r="S612" i="1" s="1"/>
  <c r="Q567" i="1"/>
  <c r="R544" i="1"/>
  <c r="O530" i="1"/>
  <c r="P530" i="1"/>
  <c r="N500" i="1"/>
  <c r="L500" i="1"/>
  <c r="M500" i="1"/>
  <c r="O405" i="1"/>
  <c r="P405" i="1"/>
  <c r="O375" i="1"/>
  <c r="P375" i="1" s="1"/>
  <c r="R298" i="1"/>
  <c r="O290" i="1"/>
  <c r="Q290" i="1" s="1"/>
  <c r="P290" i="1"/>
  <c r="L279" i="1"/>
  <c r="M279" i="1"/>
  <c r="N279" i="1"/>
  <c r="L262" i="1"/>
  <c r="N262" i="1"/>
  <c r="M262" i="1"/>
  <c r="L206" i="1"/>
  <c r="N206" i="1"/>
  <c r="M206" i="1"/>
  <c r="Q185" i="1"/>
  <c r="Q175" i="1"/>
  <c r="Q168" i="1"/>
  <c r="R124" i="1"/>
  <c r="R535" i="1"/>
  <c r="R627" i="1"/>
  <c r="Q604" i="1"/>
  <c r="L570" i="1"/>
  <c r="M570" i="1"/>
  <c r="L538" i="1"/>
  <c r="N538" i="1"/>
  <c r="M538" i="1"/>
  <c r="Q535" i="1"/>
  <c r="Q533" i="1"/>
  <c r="L497" i="1"/>
  <c r="N497" i="1"/>
  <c r="M497" i="1"/>
  <c r="R488" i="1"/>
  <c r="L485" i="1"/>
  <c r="N485" i="1"/>
  <c r="Q445" i="1"/>
  <c r="R441" i="1"/>
  <c r="Q427" i="1"/>
  <c r="L349" i="1"/>
  <c r="M349" i="1"/>
  <c r="N349" i="1"/>
  <c r="M295" i="1"/>
  <c r="N295" i="1"/>
  <c r="L282" i="1"/>
  <c r="M282" i="1"/>
  <c r="N282" i="1"/>
  <c r="L278" i="1"/>
  <c r="N278" i="1"/>
  <c r="M278" i="1"/>
  <c r="Q257" i="1"/>
  <c r="L247" i="1"/>
  <c r="M247" i="1"/>
  <c r="N247" i="1"/>
  <c r="Q115" i="1"/>
  <c r="P115" i="1"/>
  <c r="S115" i="1" s="1"/>
  <c r="R115" i="1"/>
  <c r="L31" i="1"/>
  <c r="N31" i="1"/>
  <c r="M31" i="1"/>
  <c r="L554" i="1"/>
  <c r="M554" i="1"/>
  <c r="N554" i="1"/>
  <c r="R632" i="1"/>
  <c r="Q488" i="1"/>
  <c r="L475" i="1"/>
  <c r="N475" i="1"/>
  <c r="O465" i="1"/>
  <c r="O445" i="1"/>
  <c r="P445" i="1" s="1"/>
  <c r="Q441" i="1"/>
  <c r="O427" i="1"/>
  <c r="R427" i="1" s="1"/>
  <c r="P427" i="1"/>
  <c r="M423" i="1"/>
  <c r="L423" i="1"/>
  <c r="N423" i="1"/>
  <c r="O408" i="1"/>
  <c r="Q408" i="1" s="1"/>
  <c r="L390" i="1"/>
  <c r="M390" i="1"/>
  <c r="N273" i="1"/>
  <c r="M273" i="1"/>
  <c r="L269" i="1"/>
  <c r="M269" i="1"/>
  <c r="N269" i="1"/>
  <c r="O232" i="1"/>
  <c r="Q232" i="1" s="1"/>
  <c r="P232" i="1"/>
  <c r="Q179" i="1"/>
  <c r="P179" i="1"/>
  <c r="L142" i="1"/>
  <c r="M142" i="1"/>
  <c r="N142" i="1"/>
  <c r="O466" i="1"/>
  <c r="Q466" i="1" s="1"/>
  <c r="P466" i="1"/>
  <c r="L460" i="1"/>
  <c r="M460" i="1"/>
  <c r="N460" i="1"/>
  <c r="Q630" i="1"/>
  <c r="M573" i="1"/>
  <c r="O573" i="1" s="1"/>
  <c r="P573" i="1" s="1"/>
  <c r="N573" i="1"/>
  <c r="O510" i="1"/>
  <c r="M442" i="1"/>
  <c r="N442" i="1"/>
  <c r="L367" i="1"/>
  <c r="M367" i="1"/>
  <c r="N367" i="1"/>
  <c r="M350" i="1"/>
  <c r="L350" i="1"/>
  <c r="N350" i="1"/>
  <c r="L270" i="1"/>
  <c r="N270" i="1"/>
  <c r="M270" i="1"/>
  <c r="L234" i="1"/>
  <c r="M234" i="1"/>
  <c r="N234" i="1"/>
  <c r="R175" i="1"/>
  <c r="M132" i="1"/>
  <c r="N132" i="1"/>
  <c r="L132" i="1"/>
  <c r="Q587" i="1"/>
  <c r="Q575" i="1"/>
  <c r="Q547" i="1"/>
  <c r="S547" i="1" s="1"/>
  <c r="R533" i="1"/>
  <c r="S533" i="1" s="1"/>
  <c r="M479" i="1"/>
  <c r="N479" i="1"/>
  <c r="L479" i="1"/>
  <c r="Q472" i="1"/>
  <c r="S472" i="1" s="1"/>
  <c r="N449" i="1"/>
  <c r="L449" i="1"/>
  <c r="M449" i="1"/>
  <c r="O438" i="1"/>
  <c r="R438" i="1" s="1"/>
  <c r="P438" i="1"/>
  <c r="S438" i="1" s="1"/>
  <c r="O431" i="1"/>
  <c r="R431" i="1" s="1"/>
  <c r="P431" i="1"/>
  <c r="O416" i="1"/>
  <c r="P416" i="1"/>
  <c r="R387" i="1"/>
  <c r="R364" i="1"/>
  <c r="O311" i="1"/>
  <c r="P311" i="1" s="1"/>
  <c r="L172" i="1"/>
  <c r="M172" i="1"/>
  <c r="N172" i="1"/>
  <c r="N18" i="1"/>
  <c r="M18" i="1"/>
  <c r="L18" i="1"/>
  <c r="R604" i="1"/>
  <c r="Q627" i="1"/>
  <c r="S627" i="1" s="1"/>
  <c r="O616" i="1"/>
  <c r="R616" i="1" s="1"/>
  <c r="M614" i="1"/>
  <c r="L614" i="1"/>
  <c r="O609" i="1"/>
  <c r="P604" i="1"/>
  <c r="S604" i="1" s="1"/>
  <c r="L592" i="1"/>
  <c r="M592" i="1"/>
  <c r="N592" i="1"/>
  <c r="O535" i="1"/>
  <c r="P535" i="1" s="1"/>
  <c r="S535" i="1" s="1"/>
  <c r="L521" i="1"/>
  <c r="N521" i="1"/>
  <c r="L493" i="1"/>
  <c r="M493" i="1"/>
  <c r="N493" i="1"/>
  <c r="M434" i="1"/>
  <c r="L434" i="1"/>
  <c r="N434" i="1"/>
  <c r="L509" i="1"/>
  <c r="M509" i="1"/>
  <c r="N509" i="1"/>
  <c r="P488" i="1"/>
  <c r="S488" i="1" s="1"/>
  <c r="P441" i="1"/>
  <c r="O305" i="1"/>
  <c r="P305" i="1"/>
  <c r="O277" i="1"/>
  <c r="P277" i="1" s="1"/>
  <c r="M242" i="1"/>
  <c r="N242" i="1"/>
  <c r="R179" i="1"/>
  <c r="R151" i="1"/>
  <c r="N42" i="1"/>
  <c r="L42" i="1"/>
  <c r="M42" i="1"/>
  <c r="O515" i="1"/>
  <c r="P515" i="1" s="1"/>
  <c r="M490" i="1"/>
  <c r="N490" i="1"/>
  <c r="Q483" i="1"/>
  <c r="M461" i="1"/>
  <c r="L461" i="1"/>
  <c r="Q451" i="1"/>
  <c r="L424" i="1"/>
  <c r="M424" i="1"/>
  <c r="L413" i="1"/>
  <c r="M413" i="1"/>
  <c r="Q399" i="1"/>
  <c r="R372" i="1"/>
  <c r="O356" i="1"/>
  <c r="P356" i="1" s="1"/>
  <c r="R309" i="1"/>
  <c r="M305" i="1"/>
  <c r="N305" i="1"/>
  <c r="Q298" i="1"/>
  <c r="S264" i="1"/>
  <c r="L261" i="1"/>
  <c r="M261" i="1"/>
  <c r="N261" i="1"/>
  <c r="P257" i="1"/>
  <c r="R250" i="1"/>
  <c r="R211" i="1"/>
  <c r="N193" i="1"/>
  <c r="L193" i="1"/>
  <c r="P169" i="1"/>
  <c r="O169" i="1"/>
  <c r="R169" i="1" s="1"/>
  <c r="O151" i="1"/>
  <c r="P151" i="1"/>
  <c r="O61" i="1"/>
  <c r="R61" i="1" s="1"/>
  <c r="Q61" i="1"/>
  <c r="N58" i="1"/>
  <c r="M58" i="1"/>
  <c r="O58" i="1" s="1"/>
  <c r="P58" i="1" s="1"/>
  <c r="P32" i="1"/>
  <c r="S32" i="1" s="1"/>
  <c r="O32" i="1"/>
  <c r="Q32" i="1" s="1"/>
  <c r="M20" i="1"/>
  <c r="L20" i="1"/>
  <c r="N20" i="1"/>
  <c r="L626" i="1"/>
  <c r="M626" i="1"/>
  <c r="R492" i="1"/>
  <c r="O483" i="1"/>
  <c r="L435" i="1"/>
  <c r="M435" i="1"/>
  <c r="Q432" i="1"/>
  <c r="S432" i="1" s="1"/>
  <c r="O421" i="1"/>
  <c r="Q421" i="1" s="1"/>
  <c r="Q372" i="1"/>
  <c r="O364" i="1"/>
  <c r="P364" i="1" s="1"/>
  <c r="N359" i="1"/>
  <c r="L359" i="1"/>
  <c r="M359" i="1"/>
  <c r="P298" i="1"/>
  <c r="O281" i="1"/>
  <c r="R281" i="1" s="1"/>
  <c r="R257" i="1"/>
  <c r="Q211" i="1"/>
  <c r="M188" i="1"/>
  <c r="N188" i="1"/>
  <c r="L188" i="1"/>
  <c r="N80" i="1"/>
  <c r="L80" i="1"/>
  <c r="M80" i="1"/>
  <c r="P314" i="1"/>
  <c r="S314" i="1" s="1"/>
  <c r="Q580" i="1"/>
  <c r="S580" i="1" s="1"/>
  <c r="Q431" i="1"/>
  <c r="M613" i="1"/>
  <c r="N613" i="1"/>
  <c r="O553" i="1"/>
  <c r="M549" i="1"/>
  <c r="N549" i="1"/>
  <c r="P527" i="1"/>
  <c r="S527" i="1" s="1"/>
  <c r="L525" i="1"/>
  <c r="M525" i="1"/>
  <c r="N516" i="1"/>
  <c r="L516" i="1"/>
  <c r="M516" i="1"/>
  <c r="M507" i="1"/>
  <c r="O507" i="1" s="1"/>
  <c r="P507" i="1" s="1"/>
  <c r="N507" i="1"/>
  <c r="O498" i="1"/>
  <c r="Q498" i="1" s="1"/>
  <c r="P498" i="1"/>
  <c r="M482" i="1"/>
  <c r="N482" i="1"/>
  <c r="O469" i="1"/>
  <c r="P469" i="1"/>
  <c r="R428" i="1"/>
  <c r="S428" i="1" s="1"/>
  <c r="M403" i="1"/>
  <c r="N403" i="1"/>
  <c r="R371" i="1"/>
  <c r="O354" i="1"/>
  <c r="P354" i="1" s="1"/>
  <c r="L332" i="1"/>
  <c r="M332" i="1"/>
  <c r="N332" i="1"/>
  <c r="Q327" i="1"/>
  <c r="R324" i="1"/>
  <c r="R303" i="1"/>
  <c r="R296" i="1"/>
  <c r="S296" i="1" s="1"/>
  <c r="L293" i="1"/>
  <c r="M293" i="1"/>
  <c r="N293" i="1"/>
  <c r="O255" i="1"/>
  <c r="P255" i="1"/>
  <c r="N233" i="1"/>
  <c r="L233" i="1"/>
  <c r="M233" i="1"/>
  <c r="R228" i="1"/>
  <c r="M221" i="1"/>
  <c r="N221" i="1"/>
  <c r="Q213" i="1"/>
  <c r="L190" i="1"/>
  <c r="N190" i="1"/>
  <c r="M190" i="1"/>
  <c r="L182" i="1"/>
  <c r="M182" i="1"/>
  <c r="N182" i="1"/>
  <c r="L167" i="1"/>
  <c r="M167" i="1"/>
  <c r="N167" i="1"/>
  <c r="S155" i="1"/>
  <c r="R105" i="1"/>
  <c r="L95" i="1"/>
  <c r="N95" i="1"/>
  <c r="M95" i="1"/>
  <c r="R63" i="1"/>
  <c r="O52" i="1"/>
  <c r="Q52" i="1" s="1"/>
  <c r="R40" i="1"/>
  <c r="Q249" i="1"/>
  <c r="O386" i="1"/>
  <c r="P386" i="1" s="1"/>
  <c r="Q619" i="1"/>
  <c r="S619" i="1" s="1"/>
  <c r="M422" i="1"/>
  <c r="N422" i="1"/>
  <c r="L422" i="1"/>
  <c r="M411" i="1"/>
  <c r="N411" i="1"/>
  <c r="L411" i="1"/>
  <c r="M380" i="1"/>
  <c r="N380" i="1"/>
  <c r="L357" i="1"/>
  <c r="M357" i="1"/>
  <c r="N357" i="1"/>
  <c r="O347" i="1"/>
  <c r="P347" i="1"/>
  <c r="M341" i="1"/>
  <c r="N341" i="1"/>
  <c r="L341" i="1"/>
  <c r="L317" i="1"/>
  <c r="M317" i="1"/>
  <c r="N317" i="1"/>
  <c r="M310" i="1"/>
  <c r="N310" i="1"/>
  <c r="L286" i="1"/>
  <c r="N286" i="1"/>
  <c r="L283" i="1"/>
  <c r="M283" i="1"/>
  <c r="L275" i="1"/>
  <c r="M275" i="1"/>
  <c r="N275" i="1"/>
  <c r="M263" i="1"/>
  <c r="N263" i="1"/>
  <c r="R255" i="1"/>
  <c r="M245" i="1"/>
  <c r="N245" i="1"/>
  <c r="Q228" i="1"/>
  <c r="O213" i="1"/>
  <c r="R213" i="1" s="1"/>
  <c r="P213" i="1"/>
  <c r="M204" i="1"/>
  <c r="N204" i="1"/>
  <c r="N200" i="1"/>
  <c r="M200" i="1"/>
  <c r="O195" i="1"/>
  <c r="Q195" i="1" s="1"/>
  <c r="R72" i="1"/>
  <c r="O420" i="1"/>
  <c r="R420" i="1" s="1"/>
  <c r="P420" i="1"/>
  <c r="O409" i="1"/>
  <c r="R409" i="1" s="1"/>
  <c r="P409" i="1"/>
  <c r="O400" i="1"/>
  <c r="P400" i="1" s="1"/>
  <c r="M374" i="1"/>
  <c r="L374" i="1"/>
  <c r="N374" i="1"/>
  <c r="Q351" i="1"/>
  <c r="L333" i="1"/>
  <c r="M333" i="1"/>
  <c r="L307" i="1"/>
  <c r="M307" i="1"/>
  <c r="Q303" i="1"/>
  <c r="O300" i="1"/>
  <c r="P300" i="1" s="1"/>
  <c r="L294" i="1"/>
  <c r="N294" i="1"/>
  <c r="M294" i="1"/>
  <c r="P280" i="1"/>
  <c r="L276" i="1"/>
  <c r="M276" i="1"/>
  <c r="S272" i="1"/>
  <c r="M237" i="1"/>
  <c r="N237" i="1"/>
  <c r="L237" i="1"/>
  <c r="O218" i="1"/>
  <c r="P218" i="1" s="1"/>
  <c r="L214" i="1"/>
  <c r="N214" i="1"/>
  <c r="R186" i="1"/>
  <c r="S186" i="1" s="1"/>
  <c r="L183" i="1"/>
  <c r="M183" i="1"/>
  <c r="N183" i="1"/>
  <c r="O139" i="1"/>
  <c r="Q105" i="1"/>
  <c r="N96" i="1"/>
  <c r="L96" i="1"/>
  <c r="M96" i="1"/>
  <c r="P91" i="1"/>
  <c r="R91" i="1"/>
  <c r="O83" i="1"/>
  <c r="P83" i="1" s="1"/>
  <c r="S63" i="1"/>
  <c r="N50" i="1"/>
  <c r="L50" i="1"/>
  <c r="M50" i="1"/>
  <c r="L37" i="1"/>
  <c r="M37" i="1"/>
  <c r="N37" i="1"/>
  <c r="M29" i="1"/>
  <c r="N29" i="1"/>
  <c r="M629" i="1"/>
  <c r="N629" i="1"/>
  <c r="R619" i="1"/>
  <c r="O584" i="1"/>
  <c r="R584" i="1" s="1"/>
  <c r="P584" i="1"/>
  <c r="L578" i="1"/>
  <c r="M578" i="1"/>
  <c r="R555" i="1"/>
  <c r="M477" i="1"/>
  <c r="N477" i="1"/>
  <c r="Q469" i="1"/>
  <c r="O452" i="1"/>
  <c r="R406" i="1"/>
  <c r="S406" i="1" s="1"/>
  <c r="M400" i="1"/>
  <c r="N400" i="1"/>
  <c r="O397" i="1"/>
  <c r="R397" i="1" s="1"/>
  <c r="P397" i="1"/>
  <c r="Q392" i="1"/>
  <c r="S392" i="1" s="1"/>
  <c r="M383" i="1"/>
  <c r="L383" i="1"/>
  <c r="P371" i="1"/>
  <c r="S371" i="1" s="1"/>
  <c r="R354" i="1"/>
  <c r="O351" i="1"/>
  <c r="R351" i="1" s="1"/>
  <c r="P351" i="1"/>
  <c r="S351" i="1" s="1"/>
  <c r="Q338" i="1"/>
  <c r="S338" i="1" s="1"/>
  <c r="R327" i="1"/>
  <c r="O324" i="1"/>
  <c r="Q324" i="1" s="1"/>
  <c r="O303" i="1"/>
  <c r="P303" i="1"/>
  <c r="L259" i="1"/>
  <c r="M259" i="1"/>
  <c r="Q255" i="1"/>
  <c r="P252" i="1"/>
  <c r="S252" i="1" s="1"/>
  <c r="P249" i="1"/>
  <c r="N225" i="1"/>
  <c r="L225" i="1"/>
  <c r="M225" i="1"/>
  <c r="O221" i="1"/>
  <c r="P221" i="1" s="1"/>
  <c r="M218" i="1"/>
  <c r="N218" i="1"/>
  <c r="R195" i="1"/>
  <c r="O105" i="1"/>
  <c r="P105" i="1"/>
  <c r="S55" i="1"/>
  <c r="R52" i="1"/>
  <c r="O617" i="1"/>
  <c r="Q555" i="1"/>
  <c r="L586" i="1"/>
  <c r="M586" i="1"/>
  <c r="L462" i="1"/>
  <c r="M462" i="1"/>
  <c r="M391" i="1"/>
  <c r="L391" i="1"/>
  <c r="N391" i="1"/>
  <c r="M347" i="1"/>
  <c r="N347" i="1"/>
  <c r="Q236" i="1"/>
  <c r="P228" i="1"/>
  <c r="S228" i="1" s="1"/>
  <c r="N82" i="1"/>
  <c r="L82" i="1"/>
  <c r="M82" i="1"/>
  <c r="Q72" i="1"/>
  <c r="L393" i="1"/>
  <c r="M393" i="1"/>
  <c r="M366" i="1"/>
  <c r="L366" i="1"/>
  <c r="L344" i="1"/>
  <c r="M344" i="1"/>
  <c r="M334" i="1"/>
  <c r="N334" i="1"/>
  <c r="M318" i="1"/>
  <c r="N318" i="1"/>
  <c r="O318" i="1" s="1"/>
  <c r="P318" i="1" s="1"/>
  <c r="Q280" i="1"/>
  <c r="M277" i="1"/>
  <c r="N277" i="1"/>
  <c r="Q250" i="1"/>
  <c r="S250" i="1" s="1"/>
  <c r="P211" i="1"/>
  <c r="S211" i="1" s="1"/>
  <c r="M154" i="1"/>
  <c r="L154" i="1"/>
  <c r="M487" i="1"/>
  <c r="L410" i="1"/>
  <c r="R396" i="1"/>
  <c r="L394" i="1"/>
  <c r="O377" i="1"/>
  <c r="Q377" i="1" s="1"/>
  <c r="P377" i="1"/>
  <c r="P348" i="1"/>
  <c r="O345" i="1"/>
  <c r="P345" i="1"/>
  <c r="O335" i="1"/>
  <c r="M311" i="1"/>
  <c r="N311" i="1"/>
  <c r="Q296" i="1"/>
  <c r="R272" i="1"/>
  <c r="L260" i="1"/>
  <c r="M260" i="1"/>
  <c r="N260" i="1"/>
  <c r="L246" i="1"/>
  <c r="N246" i="1"/>
  <c r="M223" i="1"/>
  <c r="N223" i="1"/>
  <c r="S184" i="1"/>
  <c r="O180" i="1"/>
  <c r="P180" i="1" s="1"/>
  <c r="S180" i="1" s="1"/>
  <c r="L134" i="1"/>
  <c r="M134" i="1"/>
  <c r="N134" i="1"/>
  <c r="L118" i="1"/>
  <c r="M118" i="1"/>
  <c r="N118" i="1"/>
  <c r="N101" i="1"/>
  <c r="O101" i="1" s="1"/>
  <c r="P101" i="1" s="1"/>
  <c r="M101" i="1"/>
  <c r="Q77" i="1"/>
  <c r="Q396" i="1"/>
  <c r="S396" i="1" s="1"/>
  <c r="M389" i="1"/>
  <c r="N389" i="1"/>
  <c r="L382" i="1"/>
  <c r="M382" i="1"/>
  <c r="M345" i="1"/>
  <c r="N345" i="1"/>
  <c r="O330" i="1"/>
  <c r="P330" i="1"/>
  <c r="M302" i="1"/>
  <c r="N302" i="1"/>
  <c r="M268" i="1"/>
  <c r="L268" i="1"/>
  <c r="N268" i="1"/>
  <c r="O196" i="1"/>
  <c r="L176" i="1"/>
  <c r="M176" i="1"/>
  <c r="N176" i="1"/>
  <c r="N165" i="1"/>
  <c r="L165" i="1"/>
  <c r="Q147" i="1"/>
  <c r="P147" i="1"/>
  <c r="S147" i="1" s="1"/>
  <c r="S128" i="1"/>
  <c r="O85" i="1"/>
  <c r="P85" i="1" s="1"/>
  <c r="O77" i="1"/>
  <c r="R77" i="1" s="1"/>
  <c r="S74" i="1"/>
  <c r="Q48" i="1"/>
  <c r="S48" i="1" s="1"/>
  <c r="L319" i="1"/>
  <c r="M319" i="1"/>
  <c r="N319" i="1"/>
  <c r="Q169" i="1"/>
  <c r="L133" i="1"/>
  <c r="M133" i="1"/>
  <c r="N133" i="1"/>
  <c r="R125" i="1"/>
  <c r="O109" i="1"/>
  <c r="Q109" i="1" s="1"/>
  <c r="N106" i="1"/>
  <c r="M106" i="1"/>
  <c r="L106" i="1"/>
  <c r="N89" i="1"/>
  <c r="M89" i="1"/>
  <c r="L89" i="1"/>
  <c r="Q252" i="1"/>
  <c r="R236" i="1"/>
  <c r="N144" i="1"/>
  <c r="M144" i="1"/>
  <c r="L144" i="1"/>
  <c r="P123" i="1"/>
  <c r="Q123" i="1"/>
  <c r="O108" i="1"/>
  <c r="R108" i="1" s="1"/>
  <c r="L13" i="1"/>
  <c r="M13" i="1"/>
  <c r="N13" i="1"/>
  <c r="L415" i="1"/>
  <c r="N361" i="1"/>
  <c r="L299" i="1"/>
  <c r="M299" i="1"/>
  <c r="L258" i="1"/>
  <c r="L251" i="1"/>
  <c r="M251" i="1"/>
  <c r="N251" i="1"/>
  <c r="L191" i="1"/>
  <c r="M191" i="1"/>
  <c r="R184" i="1"/>
  <c r="R173" i="1"/>
  <c r="O170" i="1"/>
  <c r="P170" i="1"/>
  <c r="P156" i="1"/>
  <c r="S156" i="1" s="1"/>
  <c r="O156" i="1"/>
  <c r="Q125" i="1"/>
  <c r="L102" i="1"/>
  <c r="M102" i="1"/>
  <c r="N102" i="1"/>
  <c r="R67" i="1"/>
  <c r="R48" i="1"/>
  <c r="N33" i="1"/>
  <c r="M33" i="1"/>
  <c r="L33" i="1"/>
  <c r="L23" i="1"/>
  <c r="M23" i="1"/>
  <c r="N23" i="1"/>
  <c r="O361" i="1"/>
  <c r="L337" i="1"/>
  <c r="M337" i="1"/>
  <c r="N337" i="1"/>
  <c r="N289" i="1"/>
  <c r="L289" i="1"/>
  <c r="M289" i="1"/>
  <c r="N209" i="1"/>
  <c r="L209" i="1"/>
  <c r="L205" i="1"/>
  <c r="M205" i="1"/>
  <c r="N205" i="1"/>
  <c r="L187" i="1"/>
  <c r="M187" i="1"/>
  <c r="N187" i="1"/>
  <c r="Q184" i="1"/>
  <c r="M170" i="1"/>
  <c r="N170" i="1"/>
  <c r="M141" i="1"/>
  <c r="N141" i="1"/>
  <c r="L64" i="1"/>
  <c r="M64" i="1"/>
  <c r="N16" i="1"/>
  <c r="M16" i="1"/>
  <c r="L313" i="1"/>
  <c r="M313" i="1"/>
  <c r="O173" i="1"/>
  <c r="Q173" i="1" s="1"/>
  <c r="P173" i="1"/>
  <c r="L166" i="1"/>
  <c r="M166" i="1"/>
  <c r="N166" i="1"/>
  <c r="Q163" i="1"/>
  <c r="N159" i="1"/>
  <c r="M159" i="1"/>
  <c r="N153" i="1"/>
  <c r="M153" i="1"/>
  <c r="R149" i="1"/>
  <c r="L117" i="1"/>
  <c r="N117" i="1"/>
  <c r="O288" i="1"/>
  <c r="R288" i="1" s="1"/>
  <c r="P288" i="1"/>
  <c r="R163" i="1"/>
  <c r="S163" i="1" s="1"/>
  <c r="O160" i="1"/>
  <c r="R160" i="1" s="1"/>
  <c r="R156" i="1"/>
  <c r="L94" i="1"/>
  <c r="M94" i="1"/>
  <c r="N94" i="1"/>
  <c r="L192" i="1"/>
  <c r="M192" i="1"/>
  <c r="N192" i="1"/>
  <c r="R180" i="1"/>
  <c r="L135" i="1"/>
  <c r="M135" i="1"/>
  <c r="N135" i="1"/>
  <c r="Q124" i="1"/>
  <c r="L111" i="1"/>
  <c r="N111" i="1"/>
  <c r="M111" i="1"/>
  <c r="M104" i="1"/>
  <c r="N104" i="1"/>
  <c r="S71" i="1"/>
  <c r="N66" i="1"/>
  <c r="L66" i="1"/>
  <c r="O26" i="1"/>
  <c r="L323" i="1"/>
  <c r="M323" i="1"/>
  <c r="L267" i="1"/>
  <c r="M267" i="1"/>
  <c r="L265" i="1"/>
  <c r="N241" i="1"/>
  <c r="L241" i="1"/>
  <c r="M241" i="1"/>
  <c r="L212" i="1"/>
  <c r="M212" i="1"/>
  <c r="N212" i="1"/>
  <c r="L198" i="1"/>
  <c r="N198" i="1"/>
  <c r="M198" i="1"/>
  <c r="R174" i="1"/>
  <c r="L158" i="1"/>
  <c r="M158" i="1"/>
  <c r="R152" i="1"/>
  <c r="Q149" i="1"/>
  <c r="S149" i="1" s="1"/>
  <c r="Q127" i="1"/>
  <c r="P124" i="1"/>
  <c r="S124" i="1" s="1"/>
  <c r="O124" i="1"/>
  <c r="Q120" i="1"/>
  <c r="P120" i="1"/>
  <c r="L86" i="1"/>
  <c r="M86" i="1"/>
  <c r="N86" i="1"/>
  <c r="R71" i="1"/>
  <c r="O40" i="1"/>
  <c r="L21" i="1"/>
  <c r="M21" i="1"/>
  <c r="N21" i="1"/>
  <c r="L254" i="1"/>
  <c r="N254" i="1"/>
  <c r="M229" i="1"/>
  <c r="N229" i="1"/>
  <c r="M215" i="1"/>
  <c r="N215" i="1"/>
  <c r="Q174" i="1"/>
  <c r="S174" i="1" s="1"/>
  <c r="Q152" i="1"/>
  <c r="O148" i="1"/>
  <c r="P127" i="1"/>
  <c r="O127" i="1"/>
  <c r="Q71" i="1"/>
  <c r="O68" i="1"/>
  <c r="R68" i="1" s="1"/>
  <c r="O59" i="1"/>
  <c r="R59" i="1"/>
  <c r="O34" i="1"/>
  <c r="P34" i="1"/>
  <c r="L15" i="1"/>
  <c r="M15" i="1"/>
  <c r="N15" i="1"/>
  <c r="L315" i="1"/>
  <c r="M315" i="1"/>
  <c r="O256" i="1"/>
  <c r="N130" i="1"/>
  <c r="L130" i="1"/>
  <c r="M130" i="1"/>
  <c r="R116" i="1"/>
  <c r="M56" i="1"/>
  <c r="L56" i="1"/>
  <c r="N56" i="1"/>
  <c r="N25" i="1"/>
  <c r="L25" i="1"/>
  <c r="M25" i="1"/>
  <c r="L38" i="1"/>
  <c r="M38" i="1"/>
  <c r="N38" i="1"/>
  <c r="N17" i="1"/>
  <c r="L17" i="1"/>
  <c r="M17" i="1"/>
  <c r="R147" i="1"/>
  <c r="L112" i="1"/>
  <c r="M112" i="1"/>
  <c r="N112" i="1"/>
  <c r="R32" i="1"/>
  <c r="N28" i="1"/>
  <c r="L28" i="1"/>
  <c r="M28" i="1"/>
  <c r="Q186" i="1"/>
  <c r="Q171" i="1"/>
  <c r="S171" i="1" s="1"/>
  <c r="O168" i="1"/>
  <c r="R168" i="1" s="1"/>
  <c r="P168" i="1"/>
  <c r="P152" i="1"/>
  <c r="O146" i="1"/>
  <c r="P146" i="1" s="1"/>
  <c r="O125" i="1"/>
  <c r="P125" i="1" s="1"/>
  <c r="S125" i="1" s="1"/>
  <c r="N97" i="1"/>
  <c r="L97" i="1"/>
  <c r="R81" i="1"/>
  <c r="L78" i="1"/>
  <c r="M78" i="1"/>
  <c r="N78" i="1"/>
  <c r="O73" i="1"/>
  <c r="P73" i="1" s="1"/>
  <c r="N34" i="1"/>
  <c r="M34" i="1"/>
  <c r="L181" i="1"/>
  <c r="M181" i="1"/>
  <c r="N181" i="1"/>
  <c r="M146" i="1"/>
  <c r="N146" i="1"/>
  <c r="N122" i="1"/>
  <c r="L122" i="1"/>
  <c r="M122" i="1"/>
  <c r="L103" i="1"/>
  <c r="M103" i="1"/>
  <c r="N103" i="1"/>
  <c r="Q90" i="1"/>
  <c r="L70" i="1"/>
  <c r="M70" i="1"/>
  <c r="N70" i="1"/>
  <c r="L62" i="1"/>
  <c r="M62" i="1"/>
  <c r="N62" i="1"/>
  <c r="N49" i="1"/>
  <c r="L49" i="1"/>
  <c r="M49" i="1"/>
  <c r="L22" i="1"/>
  <c r="M22" i="1"/>
  <c r="N22" i="1"/>
  <c r="N137" i="1"/>
  <c r="L137" i="1"/>
  <c r="R127" i="1"/>
  <c r="P93" i="1"/>
  <c r="O93" i="1"/>
  <c r="L45" i="1"/>
  <c r="M45" i="1"/>
  <c r="N45" i="1"/>
  <c r="L30" i="1"/>
  <c r="M30" i="1"/>
  <c r="N30" i="1"/>
  <c r="L14" i="1"/>
  <c r="M14" i="1"/>
  <c r="N14" i="1"/>
  <c r="R75" i="1"/>
  <c r="S75" i="1" s="1"/>
  <c r="L27" i="1"/>
  <c r="N27" i="1"/>
  <c r="M243" i="1"/>
  <c r="M235" i="1"/>
  <c r="M227" i="1"/>
  <c r="M217" i="1"/>
  <c r="M210" i="1"/>
  <c r="M201" i="1"/>
  <c r="M194" i="1"/>
  <c r="N177" i="1"/>
  <c r="L177" i="1"/>
  <c r="M177" i="1"/>
  <c r="R128" i="1"/>
  <c r="L126" i="1"/>
  <c r="M126" i="1"/>
  <c r="N126" i="1"/>
  <c r="N121" i="1"/>
  <c r="L121" i="1"/>
  <c r="Q116" i="1"/>
  <c r="N114" i="1"/>
  <c r="L114" i="1"/>
  <c r="M114" i="1"/>
  <c r="P90" i="1"/>
  <c r="S90" i="1" s="1"/>
  <c r="R87" i="1"/>
  <c r="M84" i="1"/>
  <c r="N84" i="1"/>
  <c r="R60" i="1"/>
  <c r="P52" i="1"/>
  <c r="R44" i="1"/>
  <c r="L217" i="1"/>
  <c r="L201" i="1"/>
  <c r="L162" i="1"/>
  <c r="M162" i="1"/>
  <c r="N162" i="1"/>
  <c r="L140" i="1"/>
  <c r="M138" i="1"/>
  <c r="R90" i="1"/>
  <c r="Q87" i="1"/>
  <c r="R79" i="1"/>
  <c r="S79" i="1" s="1"/>
  <c r="Q60" i="1"/>
  <c r="Q44" i="1"/>
  <c r="R36" i="1"/>
  <c r="P164" i="1"/>
  <c r="S164" i="1" s="1"/>
  <c r="R123" i="1"/>
  <c r="O76" i="1"/>
  <c r="Q76" i="1" s="1"/>
  <c r="P60" i="1"/>
  <c r="S60" i="1" s="1"/>
  <c r="L54" i="1"/>
  <c r="M54" i="1"/>
  <c r="N54" i="1"/>
  <c r="L47" i="1"/>
  <c r="M47" i="1"/>
  <c r="N47" i="1"/>
  <c r="P44" i="1"/>
  <c r="L39" i="1"/>
  <c r="M39" i="1"/>
  <c r="N39" i="1"/>
  <c r="P36" i="1"/>
  <c r="L92" i="1"/>
  <c r="M92" i="1"/>
  <c r="N92" i="1"/>
  <c r="R76" i="1"/>
  <c r="R74" i="1"/>
  <c r="P69" i="1"/>
  <c r="S69" i="1" s="1"/>
  <c r="Q36" i="1"/>
  <c r="R120" i="1"/>
  <c r="P116" i="1"/>
  <c r="S116" i="1" s="1"/>
  <c r="Q108" i="1"/>
  <c r="R100" i="1"/>
  <c r="O65" i="1"/>
  <c r="P65" i="1" s="1"/>
  <c r="R55" i="1"/>
  <c r="Q100" i="1"/>
  <c r="O57" i="1"/>
  <c r="P57" i="1"/>
  <c r="P53" i="1"/>
  <c r="S53" i="1" s="1"/>
  <c r="L110" i="1"/>
  <c r="M110" i="1"/>
  <c r="N110" i="1"/>
  <c r="P100" i="1"/>
  <c r="S100" i="1" s="1"/>
  <c r="D6" i="1"/>
  <c r="B6" i="1"/>
  <c r="J10" i="1"/>
  <c r="K10" i="1" s="1"/>
  <c r="O19" i="1" l="1"/>
  <c r="P19" i="1"/>
  <c r="Q325" i="1"/>
  <c r="P325" i="1"/>
  <c r="R325" i="1"/>
  <c r="O562" i="1"/>
  <c r="P562" i="1" s="1"/>
  <c r="O576" i="1"/>
  <c r="P576" i="1" s="1"/>
  <c r="O389" i="1"/>
  <c r="P389" i="1" s="1"/>
  <c r="R94" i="1"/>
  <c r="Q500" i="1"/>
  <c r="O456" i="1"/>
  <c r="P456" i="1" s="1"/>
  <c r="S456" i="1" s="1"/>
  <c r="P240" i="1"/>
  <c r="Q240" i="1"/>
  <c r="R240" i="1"/>
  <c r="Q220" i="1"/>
  <c r="Q23" i="1"/>
  <c r="O176" i="1"/>
  <c r="P176" i="1"/>
  <c r="O273" i="1"/>
  <c r="P273" i="1" s="1"/>
  <c r="S72" i="1"/>
  <c r="R322" i="1"/>
  <c r="S87" i="1"/>
  <c r="O104" i="1"/>
  <c r="P104" i="1" s="1"/>
  <c r="O23" i="1"/>
  <c r="P23" i="1"/>
  <c r="Q196" i="1"/>
  <c r="R196" i="1"/>
  <c r="P196" i="1"/>
  <c r="S196" i="1" s="1"/>
  <c r="O393" i="1"/>
  <c r="R393" i="1" s="1"/>
  <c r="P139" i="1"/>
  <c r="Q139" i="1"/>
  <c r="R139" i="1"/>
  <c r="S507" i="1"/>
  <c r="R42" i="1"/>
  <c r="Q452" i="1"/>
  <c r="P452" i="1"/>
  <c r="R452" i="1"/>
  <c r="S381" i="1"/>
  <c r="O403" i="1"/>
  <c r="P403" i="1" s="1"/>
  <c r="O570" i="1"/>
  <c r="R570" i="1" s="1"/>
  <c r="P570" i="1"/>
  <c r="R226" i="1"/>
  <c r="Q414" i="1"/>
  <c r="S499" i="1"/>
  <c r="P465" i="1"/>
  <c r="R465" i="1"/>
  <c r="Q465" i="1"/>
  <c r="Q590" i="1"/>
  <c r="O450" i="1"/>
  <c r="O13" i="1"/>
  <c r="P13" i="1" s="1"/>
  <c r="S13" i="1" s="1"/>
  <c r="Q462" i="1"/>
  <c r="S385" i="1"/>
  <c r="Q460" i="1"/>
  <c r="O319" i="1"/>
  <c r="P319" i="1"/>
  <c r="R352" i="1"/>
  <c r="O47" i="1"/>
  <c r="R47" i="1" s="1"/>
  <c r="P47" i="1"/>
  <c r="R256" i="1"/>
  <c r="P256" i="1"/>
  <c r="Q256" i="1"/>
  <c r="R200" i="1"/>
  <c r="Q89" i="1"/>
  <c r="R204" i="1"/>
  <c r="S311" i="1"/>
  <c r="O594" i="1"/>
  <c r="P594" i="1" s="1"/>
  <c r="S594" i="1" s="1"/>
  <c r="S152" i="1"/>
  <c r="O64" i="1"/>
  <c r="R64" i="1" s="1"/>
  <c r="O592" i="1"/>
  <c r="R592" i="1" s="1"/>
  <c r="P592" i="1"/>
  <c r="O429" i="1"/>
  <c r="P429" i="1" s="1"/>
  <c r="O177" i="1"/>
  <c r="R177" i="1" s="1"/>
  <c r="P177" i="1"/>
  <c r="R62" i="1"/>
  <c r="Q13" i="1"/>
  <c r="S375" i="1"/>
  <c r="O293" i="1"/>
  <c r="P293" i="1"/>
  <c r="R212" i="1"/>
  <c r="Q212" i="1"/>
  <c r="Q47" i="1"/>
  <c r="R95" i="1"/>
  <c r="O636" i="1"/>
  <c r="R636" i="1" s="1"/>
  <c r="P636" i="1"/>
  <c r="S636" i="1" s="1"/>
  <c r="O398" i="1"/>
  <c r="P398" i="1" s="1"/>
  <c r="O89" i="1"/>
  <c r="P89" i="1"/>
  <c r="R335" i="1"/>
  <c r="P335" i="1"/>
  <c r="Q335" i="1"/>
  <c r="O380" i="1"/>
  <c r="P380" i="1" s="1"/>
  <c r="Q479" i="1"/>
  <c r="R539" i="1"/>
  <c r="O17" i="1"/>
  <c r="R17" i="1" s="1"/>
  <c r="P17" i="1"/>
  <c r="O286" i="1"/>
  <c r="Q286" i="1" s="1"/>
  <c r="P286" i="1"/>
  <c r="Q417" i="1"/>
  <c r="O486" i="1"/>
  <c r="P486" i="1"/>
  <c r="O153" i="1"/>
  <c r="P153" i="1" s="1"/>
  <c r="R247" i="1"/>
  <c r="R621" i="1"/>
  <c r="S244" i="1"/>
  <c r="Q181" i="1"/>
  <c r="Q293" i="1"/>
  <c r="O30" i="1"/>
  <c r="Q30" i="1" s="1"/>
  <c r="P30" i="1"/>
  <c r="R389" i="1"/>
  <c r="R86" i="1"/>
  <c r="S101" i="1"/>
  <c r="Q29" i="1"/>
  <c r="O29" i="1"/>
  <c r="P29" i="1" s="1"/>
  <c r="O358" i="1"/>
  <c r="P358" i="1"/>
  <c r="Q319" i="1"/>
  <c r="Q262" i="1"/>
  <c r="Q474" i="1"/>
  <c r="R148" i="1"/>
  <c r="Q148" i="1"/>
  <c r="P148" i="1"/>
  <c r="O524" i="1"/>
  <c r="R524" i="1" s="1"/>
  <c r="O205" i="1"/>
  <c r="P205" i="1" s="1"/>
  <c r="O95" i="1"/>
  <c r="P95" i="1" s="1"/>
  <c r="S95" i="1" s="1"/>
  <c r="O626" i="1"/>
  <c r="R626" i="1" s="1"/>
  <c r="P626" i="1"/>
  <c r="O350" i="1"/>
  <c r="R350" i="1" s="1"/>
  <c r="P350" i="1"/>
  <c r="Q315" i="1"/>
  <c r="R181" i="1"/>
  <c r="R153" i="1"/>
  <c r="R223" i="1"/>
  <c r="O590" i="1"/>
  <c r="P590" i="1" s="1"/>
  <c r="S590" i="1" s="1"/>
  <c r="R262" i="1"/>
  <c r="S437" i="1"/>
  <c r="S440" i="1"/>
  <c r="S596" i="1"/>
  <c r="S285" i="1"/>
  <c r="Q539" i="1"/>
  <c r="R54" i="1"/>
  <c r="Q114" i="1"/>
  <c r="Q194" i="1"/>
  <c r="R45" i="1"/>
  <c r="O62" i="1"/>
  <c r="Q62" i="1" s="1"/>
  <c r="O181" i="1"/>
  <c r="P181" i="1"/>
  <c r="S168" i="1"/>
  <c r="R38" i="1"/>
  <c r="O315" i="1"/>
  <c r="R315" i="1" s="1"/>
  <c r="P315" i="1"/>
  <c r="O86" i="1"/>
  <c r="Q86" i="1" s="1"/>
  <c r="O212" i="1"/>
  <c r="P212" i="1" s="1"/>
  <c r="S212" i="1" s="1"/>
  <c r="Q104" i="1"/>
  <c r="Q94" i="1"/>
  <c r="Q159" i="1"/>
  <c r="R141" i="1"/>
  <c r="P209" i="1"/>
  <c r="O209" i="1"/>
  <c r="Q209" i="1" s="1"/>
  <c r="O33" i="1"/>
  <c r="P33" i="1"/>
  <c r="R89" i="1"/>
  <c r="Q223" i="1"/>
  <c r="O462" i="1"/>
  <c r="R462" i="1" s="1"/>
  <c r="Q37" i="1"/>
  <c r="Q276" i="1"/>
  <c r="O374" i="1"/>
  <c r="R374" i="1" s="1"/>
  <c r="P374" i="1"/>
  <c r="Q204" i="1"/>
  <c r="O411" i="1"/>
  <c r="P411" i="1"/>
  <c r="R221" i="1"/>
  <c r="R20" i="1"/>
  <c r="Q413" i="1"/>
  <c r="Q509" i="1"/>
  <c r="P609" i="1"/>
  <c r="Q609" i="1"/>
  <c r="R609" i="1"/>
  <c r="R367" i="1"/>
  <c r="S466" i="1"/>
  <c r="O475" i="1"/>
  <c r="Q475" i="1" s="1"/>
  <c r="P475" i="1"/>
  <c r="P247" i="1"/>
  <c r="O247" i="1"/>
  <c r="Q616" i="1"/>
  <c r="O262" i="1"/>
  <c r="P262" i="1"/>
  <c r="R500" i="1"/>
  <c r="P143" i="1"/>
  <c r="Q459" i="1"/>
  <c r="R24" i="1"/>
  <c r="R178" i="1"/>
  <c r="Q486" i="1"/>
  <c r="R601" i="1"/>
  <c r="Q355" i="1"/>
  <c r="R414" i="1"/>
  <c r="R537" i="1"/>
  <c r="O602" i="1"/>
  <c r="R602" i="1" s="1"/>
  <c r="O12" i="1"/>
  <c r="R12" i="1" s="1"/>
  <c r="P501" i="1"/>
  <c r="S501" i="1" s="1"/>
  <c r="O501" i="1"/>
  <c r="Q501" i="1" s="1"/>
  <c r="R85" i="1"/>
  <c r="R320" i="1"/>
  <c r="Q558" i="1"/>
  <c r="S558" i="1" s="1"/>
  <c r="O119" i="1"/>
  <c r="P119" i="1" s="1"/>
  <c r="O138" i="1"/>
  <c r="Q138" i="1" s="1"/>
  <c r="O114" i="1"/>
  <c r="P114" i="1"/>
  <c r="Q201" i="1"/>
  <c r="Q45" i="1"/>
  <c r="R70" i="1"/>
  <c r="Q34" i="1"/>
  <c r="Q38" i="1"/>
  <c r="R215" i="1"/>
  <c r="S120" i="1"/>
  <c r="Q241" i="1"/>
  <c r="O94" i="1"/>
  <c r="P94" i="1"/>
  <c r="R209" i="1"/>
  <c r="Q33" i="1"/>
  <c r="P108" i="1"/>
  <c r="S108" i="1" s="1"/>
  <c r="O106" i="1"/>
  <c r="P106" i="1"/>
  <c r="S106" i="1" s="1"/>
  <c r="S348" i="1"/>
  <c r="O82" i="1"/>
  <c r="Q82" i="1" s="1"/>
  <c r="R498" i="1"/>
  <c r="S498" i="1" s="1"/>
  <c r="O225" i="1"/>
  <c r="P225" i="1" s="1"/>
  <c r="O37" i="1"/>
  <c r="R37" i="1" s="1"/>
  <c r="O276" i="1"/>
  <c r="R276" i="1" s="1"/>
  <c r="S213" i="1"/>
  <c r="R411" i="1"/>
  <c r="Q221" i="1"/>
  <c r="S221" i="1" s="1"/>
  <c r="S469" i="1"/>
  <c r="P553" i="1"/>
  <c r="Q553" i="1"/>
  <c r="R553" i="1"/>
  <c r="P281" i="1"/>
  <c r="S281" i="1" s="1"/>
  <c r="P20" i="1"/>
  <c r="O20" i="1"/>
  <c r="O223" i="1"/>
  <c r="P223" i="1" s="1"/>
  <c r="O413" i="1"/>
  <c r="R413" i="1" s="1"/>
  <c r="P413" i="1"/>
  <c r="O509" i="1"/>
  <c r="R509" i="1" s="1"/>
  <c r="P509" i="1"/>
  <c r="O614" i="1"/>
  <c r="R614" i="1" s="1"/>
  <c r="Q367" i="1"/>
  <c r="R279" i="1"/>
  <c r="R503" i="1"/>
  <c r="S387" i="1"/>
  <c r="P446" i="1"/>
  <c r="S446" i="1" s="1"/>
  <c r="S175" i="1"/>
  <c r="O178" i="1"/>
  <c r="Q178" i="1" s="1"/>
  <c r="O477" i="1"/>
  <c r="P477" i="1" s="1"/>
  <c r="S489" i="1"/>
  <c r="S373" i="1"/>
  <c r="O598" i="1"/>
  <c r="R598" i="1" s="1"/>
  <c r="P598" i="1"/>
  <c r="Q519" i="1"/>
  <c r="S519" i="1" s="1"/>
  <c r="O618" i="1"/>
  <c r="Q618" i="1" s="1"/>
  <c r="P618" i="1"/>
  <c r="R542" i="1"/>
  <c r="S542" i="1" s="1"/>
  <c r="Q637" i="1"/>
  <c r="P537" i="1"/>
  <c r="S537" i="1" s="1"/>
  <c r="O537" i="1"/>
  <c r="Q537" i="1" s="1"/>
  <c r="S608" i="1"/>
  <c r="P503" i="1"/>
  <c r="P287" i="1"/>
  <c r="Q287" i="1"/>
  <c r="S552" i="1"/>
  <c r="Q499" i="1"/>
  <c r="S480" i="1"/>
  <c r="S502" i="1"/>
  <c r="Q320" i="1"/>
  <c r="R326" i="1"/>
  <c r="S326" i="1" s="1"/>
  <c r="O539" i="1"/>
  <c r="P539" i="1" s="1"/>
  <c r="O54" i="1"/>
  <c r="Q54" i="1" s="1"/>
  <c r="P54" i="1"/>
  <c r="O140" i="1"/>
  <c r="R114" i="1"/>
  <c r="O210" i="1"/>
  <c r="Q210" i="1" s="1"/>
  <c r="O45" i="1"/>
  <c r="P45" i="1" s="1"/>
  <c r="S45" i="1" s="1"/>
  <c r="Q70" i="1"/>
  <c r="R34" i="1"/>
  <c r="S34" i="1" s="1"/>
  <c r="P38" i="1"/>
  <c r="S38" i="1" s="1"/>
  <c r="O38" i="1"/>
  <c r="O241" i="1"/>
  <c r="R241" i="1" s="1"/>
  <c r="P241" i="1"/>
  <c r="R111" i="1"/>
  <c r="R232" i="1"/>
  <c r="S232" i="1" s="1"/>
  <c r="R33" i="1"/>
  <c r="Q106" i="1"/>
  <c r="R268" i="1"/>
  <c r="Q85" i="1"/>
  <c r="S85" i="1" s="1"/>
  <c r="O246" i="1"/>
  <c r="Q246" i="1" s="1"/>
  <c r="P246" i="1"/>
  <c r="S377" i="1"/>
  <c r="R277" i="1"/>
  <c r="R82" i="1"/>
  <c r="S280" i="1"/>
  <c r="R386" i="1"/>
  <c r="Q411" i="1"/>
  <c r="R167" i="1"/>
  <c r="O310" i="1"/>
  <c r="P310" i="1" s="1"/>
  <c r="S298" i="1"/>
  <c r="Q20" i="1"/>
  <c r="O194" i="1"/>
  <c r="R434" i="1"/>
  <c r="Q614" i="1"/>
  <c r="S416" i="1"/>
  <c r="O367" i="1"/>
  <c r="P367" i="1" s="1"/>
  <c r="S367" i="1" s="1"/>
  <c r="O390" i="1"/>
  <c r="R390" i="1" s="1"/>
  <c r="P390" i="1"/>
  <c r="Q278" i="1"/>
  <c r="Q279" i="1"/>
  <c r="S530" i="1"/>
  <c r="R83" i="1"/>
  <c r="S476" i="1"/>
  <c r="O378" i="1"/>
  <c r="R378" i="1" s="1"/>
  <c r="P378" i="1"/>
  <c r="S632" i="1"/>
  <c r="Q292" i="1"/>
  <c r="R502" i="1"/>
  <c r="O589" i="1"/>
  <c r="Q589" i="1" s="1"/>
  <c r="P589" i="1"/>
  <c r="O601" i="1"/>
  <c r="Q601" i="1" s="1"/>
  <c r="P601" i="1"/>
  <c r="Q446" i="1"/>
  <c r="R88" i="1"/>
  <c r="Q546" i="1"/>
  <c r="R558" i="1"/>
  <c r="O511" i="1"/>
  <c r="R511" i="1" s="1"/>
  <c r="R287" i="1"/>
  <c r="R499" i="1"/>
  <c r="O556" i="1"/>
  <c r="P556" i="1"/>
  <c r="R568" i="1"/>
  <c r="S504" i="1"/>
  <c r="Q379" i="1"/>
  <c r="S379" i="1" s="1"/>
  <c r="O597" i="1"/>
  <c r="P597" i="1"/>
  <c r="Q526" i="1"/>
  <c r="O444" i="1"/>
  <c r="R444" i="1" s="1"/>
  <c r="P444" i="1"/>
  <c r="Q532" i="1"/>
  <c r="S99" i="1"/>
  <c r="O481" i="1"/>
  <c r="P481" i="1" s="1"/>
  <c r="O320" i="1"/>
  <c r="P320" i="1"/>
  <c r="Q326" i="1"/>
  <c r="O585" i="1"/>
  <c r="Q585" i="1" s="1"/>
  <c r="P585" i="1"/>
  <c r="R93" i="1"/>
  <c r="S93" i="1" s="1"/>
  <c r="Q93" i="1"/>
  <c r="O70" i="1"/>
  <c r="P70" i="1"/>
  <c r="O15" i="1"/>
  <c r="Q15" i="1" s="1"/>
  <c r="P15" i="1"/>
  <c r="O111" i="1"/>
  <c r="Q111" i="1" s="1"/>
  <c r="P111" i="1"/>
  <c r="P160" i="1"/>
  <c r="S123" i="1"/>
  <c r="R106" i="1"/>
  <c r="P77" i="1"/>
  <c r="S77" i="1" s="1"/>
  <c r="O268" i="1"/>
  <c r="P268" i="1" s="1"/>
  <c r="S268" i="1" s="1"/>
  <c r="Q101" i="1"/>
  <c r="R260" i="1"/>
  <c r="Q277" i="1"/>
  <c r="S277" i="1" s="1"/>
  <c r="O586" i="1"/>
  <c r="R586" i="1" s="1"/>
  <c r="S249" i="1"/>
  <c r="O383" i="1"/>
  <c r="R383" i="1" s="1"/>
  <c r="P383" i="1"/>
  <c r="O549" i="1"/>
  <c r="P549" i="1" s="1"/>
  <c r="O50" i="1"/>
  <c r="Q50" i="1" s="1"/>
  <c r="P50" i="1"/>
  <c r="Q294" i="1"/>
  <c r="Q397" i="1"/>
  <c r="O422" i="1"/>
  <c r="Q422" i="1" s="1"/>
  <c r="P422" i="1"/>
  <c r="Q167" i="1"/>
  <c r="Q233" i="1"/>
  <c r="R482" i="1"/>
  <c r="S257" i="1"/>
  <c r="O434" i="1"/>
  <c r="Q434" i="1" s="1"/>
  <c r="P434" i="1"/>
  <c r="P616" i="1"/>
  <c r="S616" i="1" s="1"/>
  <c r="O132" i="1"/>
  <c r="R132" i="1" s="1"/>
  <c r="P408" i="1"/>
  <c r="S408" i="1" s="1"/>
  <c r="R554" i="1"/>
  <c r="R278" i="1"/>
  <c r="O485" i="1"/>
  <c r="Q485" i="1" s="1"/>
  <c r="P485" i="1"/>
  <c r="P279" i="1"/>
  <c r="S279" i="1" s="1"/>
  <c r="O279" i="1"/>
  <c r="P224" i="1"/>
  <c r="O292" i="1"/>
  <c r="R292" i="1" s="1"/>
  <c r="Q197" i="1"/>
  <c r="Q339" i="1"/>
  <c r="S339" i="1" s="1"/>
  <c r="R339" i="1"/>
  <c r="O505" i="1"/>
  <c r="Q505" i="1" s="1"/>
  <c r="R589" i="1"/>
  <c r="R519" i="1"/>
  <c r="P544" i="1"/>
  <c r="S544" i="1" s="1"/>
  <c r="R419" i="1"/>
  <c r="P419" i="1"/>
  <c r="Q385" i="1"/>
  <c r="O546" i="1"/>
  <c r="R546" i="1" s="1"/>
  <c r="Q356" i="1"/>
  <c r="O208" i="1"/>
  <c r="R208" i="1" s="1"/>
  <c r="Q556" i="1"/>
  <c r="Q568" i="1"/>
  <c r="S568" i="1" s="1"/>
  <c r="R407" i="1"/>
  <c r="R597" i="1"/>
  <c r="Q444" i="1"/>
  <c r="P532" i="1"/>
  <c r="O532" i="1"/>
  <c r="S628" i="1"/>
  <c r="O343" i="1"/>
  <c r="P343" i="1"/>
  <c r="R329" i="1"/>
  <c r="S329" i="1" s="1"/>
  <c r="P321" i="1"/>
  <c r="S321" i="1" s="1"/>
  <c r="Q350" i="1"/>
  <c r="P500" i="1"/>
  <c r="O500" i="1"/>
  <c r="Q621" i="1"/>
  <c r="O316" i="1"/>
  <c r="Q316" i="1" s="1"/>
  <c r="O455" i="1"/>
  <c r="R455" i="1" s="1"/>
  <c r="P455" i="1"/>
  <c r="O414" i="1"/>
  <c r="P414" i="1" s="1"/>
  <c r="S414" i="1" s="1"/>
  <c r="O352" i="1"/>
  <c r="Q352" i="1" s="1"/>
  <c r="O227" i="1"/>
  <c r="Q227" i="1"/>
  <c r="Q28" i="1"/>
  <c r="Q229" i="1"/>
  <c r="R101" i="1"/>
  <c r="Q383" i="1"/>
  <c r="R294" i="1"/>
  <c r="O317" i="1"/>
  <c r="R317" i="1" s="1"/>
  <c r="O233" i="1"/>
  <c r="P233" i="1" s="1"/>
  <c r="S233" i="1" s="1"/>
  <c r="O278" i="1"/>
  <c r="P278" i="1"/>
  <c r="Q506" i="1"/>
  <c r="Q284" i="1"/>
  <c r="Q407" i="1"/>
  <c r="S407" i="1" s="1"/>
  <c r="R532" i="1"/>
  <c r="R634" i="1"/>
  <c r="R381" i="1"/>
  <c r="O28" i="1"/>
  <c r="P28" i="1" s="1"/>
  <c r="S28" i="1" s="1"/>
  <c r="O260" i="1"/>
  <c r="P260" i="1" s="1"/>
  <c r="S260" i="1" s="1"/>
  <c r="O341" i="1"/>
  <c r="R341" i="1" s="1"/>
  <c r="P341" i="1"/>
  <c r="Q442" i="1"/>
  <c r="O417" i="1"/>
  <c r="R417" i="1" s="1"/>
  <c r="P417" i="1"/>
  <c r="R459" i="1"/>
  <c r="O121" i="1"/>
  <c r="Q121" i="1" s="1"/>
  <c r="P121" i="1"/>
  <c r="O191" i="1"/>
  <c r="R191" i="1" s="1"/>
  <c r="P191" i="1"/>
  <c r="Q260" i="1"/>
  <c r="S400" i="1"/>
  <c r="O359" i="1"/>
  <c r="Q359" i="1" s="1"/>
  <c r="O424" i="1"/>
  <c r="R424" i="1" s="1"/>
  <c r="R442" i="1"/>
  <c r="O197" i="1"/>
  <c r="P197" i="1"/>
  <c r="O230" i="1"/>
  <c r="R230" i="1" s="1"/>
  <c r="P230" i="1"/>
  <c r="O603" i="1"/>
  <c r="R603" i="1" s="1"/>
  <c r="Q312" i="1"/>
  <c r="Q531" i="1"/>
  <c r="Q597" i="1"/>
  <c r="S496" i="1"/>
  <c r="Q267" i="1"/>
  <c r="O166" i="1"/>
  <c r="R166" i="1" s="1"/>
  <c r="P166" i="1"/>
  <c r="O289" i="1"/>
  <c r="P289" i="1" s="1"/>
  <c r="R251" i="1"/>
  <c r="P109" i="1"/>
  <c r="P617" i="1"/>
  <c r="Q617" i="1"/>
  <c r="R617" i="1"/>
  <c r="S409" i="1"/>
  <c r="S179" i="1"/>
  <c r="R282" i="1"/>
  <c r="R197" i="1"/>
  <c r="O360" i="1"/>
  <c r="Q360" i="1" s="1"/>
  <c r="O506" i="1"/>
  <c r="P506" i="1" s="1"/>
  <c r="O145" i="1"/>
  <c r="Q145" i="1" s="1"/>
  <c r="P145" i="1"/>
  <c r="O41" i="1"/>
  <c r="R41" i="1" s="1"/>
  <c r="P41" i="1"/>
  <c r="P430" i="1"/>
  <c r="O312" i="1"/>
  <c r="P312" i="1"/>
  <c r="Q634" i="1"/>
  <c r="R548" i="1"/>
  <c r="O243" i="1"/>
  <c r="Q243" i="1" s="1"/>
  <c r="R28" i="1"/>
  <c r="O254" i="1"/>
  <c r="Q254" i="1" s="1"/>
  <c r="P254" i="1"/>
  <c r="S288" i="1"/>
  <c r="S173" i="1"/>
  <c r="Q251" i="1"/>
  <c r="O394" i="1"/>
  <c r="P394" i="1"/>
  <c r="O578" i="1"/>
  <c r="R578" i="1" s="1"/>
  <c r="P578" i="1"/>
  <c r="S364" i="1"/>
  <c r="O461" i="1"/>
  <c r="R461" i="1" s="1"/>
  <c r="P461" i="1"/>
  <c r="P510" i="1"/>
  <c r="Q510" i="1"/>
  <c r="R408" i="1"/>
  <c r="O291" i="1"/>
  <c r="R291" i="1" s="1"/>
  <c r="P291" i="1"/>
  <c r="S291" i="1" s="1"/>
  <c r="R624" i="1"/>
  <c r="S624" i="1" s="1"/>
  <c r="S526" i="1"/>
  <c r="Q340" i="1"/>
  <c r="R312" i="1"/>
  <c r="O402" i="1"/>
  <c r="Q402" i="1" s="1"/>
  <c r="P402" i="1"/>
  <c r="R565" i="1"/>
  <c r="O448" i="1"/>
  <c r="R448" i="1" s="1"/>
  <c r="P448" i="1"/>
  <c r="O557" i="1"/>
  <c r="P557" i="1" s="1"/>
  <c r="S557" i="1" s="1"/>
  <c r="O634" i="1"/>
  <c r="P634" i="1" s="1"/>
  <c r="S634" i="1" s="1"/>
  <c r="Q588" i="1"/>
  <c r="O550" i="1"/>
  <c r="R550" i="1" s="1"/>
  <c r="O92" i="1"/>
  <c r="R92" i="1" s="1"/>
  <c r="Q126" i="1"/>
  <c r="O78" i="1"/>
  <c r="R78" i="1" s="1"/>
  <c r="P78" i="1"/>
  <c r="P59" i="1"/>
  <c r="Q59" i="1"/>
  <c r="O135" i="1"/>
  <c r="P135" i="1" s="1"/>
  <c r="O251" i="1"/>
  <c r="P251" i="1"/>
  <c r="R133" i="1"/>
  <c r="R143" i="1"/>
  <c r="R290" i="1"/>
  <c r="S290" i="1" s="1"/>
  <c r="R248" i="1"/>
  <c r="Q83" i="1"/>
  <c r="S300" i="1"/>
  <c r="O182" i="1"/>
  <c r="Q182" i="1" s="1"/>
  <c r="P182" i="1"/>
  <c r="O332" i="1"/>
  <c r="R332" i="1" s="1"/>
  <c r="P332" i="1"/>
  <c r="O493" i="1"/>
  <c r="P493" i="1" s="1"/>
  <c r="O497" i="1"/>
  <c r="Q497" i="1" s="1"/>
  <c r="Q561" i="1"/>
  <c r="R581" i="1"/>
  <c r="P633" i="1"/>
  <c r="R633" i="1"/>
  <c r="O523" i="1"/>
  <c r="P523" i="1"/>
  <c r="O439" i="1"/>
  <c r="Q439" i="1" s="1"/>
  <c r="Q471" i="1"/>
  <c r="S471" i="1" s="1"/>
  <c r="O202" i="1"/>
  <c r="Q202" i="1" s="1"/>
  <c r="Q638" i="1"/>
  <c r="S638" i="1" s="1"/>
  <c r="O548" i="1"/>
  <c r="P548" i="1" s="1"/>
  <c r="S548" i="1" s="1"/>
  <c r="S36" i="1"/>
  <c r="O126" i="1"/>
  <c r="P126" i="1"/>
  <c r="O229" i="1"/>
  <c r="P229" i="1" s="1"/>
  <c r="Q337" i="1"/>
  <c r="O258" i="1"/>
  <c r="P258" i="1"/>
  <c r="R300" i="1"/>
  <c r="O214" i="1"/>
  <c r="Q214" i="1" s="1"/>
  <c r="P214" i="1"/>
  <c r="Q190" i="1"/>
  <c r="R521" i="1"/>
  <c r="Q449" i="1"/>
  <c r="S427" i="1"/>
  <c r="S635" i="1"/>
  <c r="O342" i="1"/>
  <c r="Q342" i="1" s="1"/>
  <c r="P342" i="1"/>
  <c r="Q412" i="1"/>
  <c r="Q581" i="1"/>
  <c r="S581" i="1" s="1"/>
  <c r="Q437" i="1"/>
  <c r="S536" i="1"/>
  <c r="S308" i="1"/>
  <c r="Q244" i="1"/>
  <c r="S463" i="1"/>
  <c r="Q404" i="1"/>
  <c r="S404" i="1" s="1"/>
  <c r="S81" i="1"/>
  <c r="S297" i="1"/>
  <c r="R39" i="1"/>
  <c r="Q22" i="1"/>
  <c r="O97" i="1"/>
  <c r="Q97" i="1" s="1"/>
  <c r="Q26" i="1"/>
  <c r="R26" i="1"/>
  <c r="O337" i="1"/>
  <c r="P337" i="1"/>
  <c r="S303" i="1"/>
  <c r="O613" i="1"/>
  <c r="P613" i="1" s="1"/>
  <c r="Q516" i="1"/>
  <c r="R305" i="1"/>
  <c r="O234" i="1"/>
  <c r="Q234" i="1" s="1"/>
  <c r="P234" i="1"/>
  <c r="S405" i="1"/>
  <c r="O46" i="1"/>
  <c r="P46" i="1"/>
  <c r="O355" i="1"/>
  <c r="R355" i="1" s="1"/>
  <c r="P355" i="1"/>
  <c r="Q513" i="1"/>
  <c r="O529" i="1"/>
  <c r="P529" i="1" s="1"/>
  <c r="Q523" i="1"/>
  <c r="R244" i="1"/>
  <c r="Q467" i="1"/>
  <c r="O600" i="1"/>
  <c r="P600" i="1" s="1"/>
  <c r="Q622" i="1"/>
  <c r="P61" i="1"/>
  <c r="S61" i="1" s="1"/>
  <c r="P26" i="1"/>
  <c r="S26" i="1" s="1"/>
  <c r="R109" i="1"/>
  <c r="O141" i="1"/>
  <c r="P141" i="1" s="1"/>
  <c r="O165" i="1"/>
  <c r="Q165" i="1" s="1"/>
  <c r="P165" i="1"/>
  <c r="O134" i="1"/>
  <c r="R134" i="1" s="1"/>
  <c r="O154" i="1"/>
  <c r="R154" i="1" s="1"/>
  <c r="P154" i="1"/>
  <c r="O344" i="1"/>
  <c r="R344" i="1" s="1"/>
  <c r="P344" i="1"/>
  <c r="R347" i="1"/>
  <c r="S347" i="1" s="1"/>
  <c r="S91" i="1"/>
  <c r="Q354" i="1"/>
  <c r="O190" i="1"/>
  <c r="P190" i="1"/>
  <c r="O263" i="1"/>
  <c r="P263" i="1" s="1"/>
  <c r="O516" i="1"/>
  <c r="P516" i="1" s="1"/>
  <c r="S516" i="1" s="1"/>
  <c r="Q435" i="1"/>
  <c r="Q305" i="1"/>
  <c r="Q490" i="1"/>
  <c r="R404" i="1"/>
  <c r="R449" i="1"/>
  <c r="Q270" i="1"/>
  <c r="O242" i="1"/>
  <c r="P242" i="1" s="1"/>
  <c r="R430" i="1"/>
  <c r="O206" i="1"/>
  <c r="Q206" i="1" s="1"/>
  <c r="P206" i="1"/>
  <c r="O207" i="1"/>
  <c r="P207" i="1"/>
  <c r="O306" i="1"/>
  <c r="Q306" i="1" s="1"/>
  <c r="Q420" i="1"/>
  <c r="S420" i="1" s="1"/>
  <c r="Q409" i="1"/>
  <c r="S67" i="1"/>
  <c r="P426" i="1"/>
  <c r="Q426" i="1"/>
  <c r="R150" i="1"/>
  <c r="S372" i="1"/>
  <c r="R571" i="1"/>
  <c r="R388" i="1"/>
  <c r="P494" i="1"/>
  <c r="S494" i="1" s="1"/>
  <c r="O433" i="1"/>
  <c r="Q433" i="1" s="1"/>
  <c r="P433" i="1"/>
  <c r="Q495" i="1"/>
  <c r="Q425" i="1"/>
  <c r="Q470" i="1"/>
  <c r="O470" i="1"/>
  <c r="P470" i="1" s="1"/>
  <c r="S572" i="1"/>
  <c r="Q222" i="1"/>
  <c r="Q595" i="1"/>
  <c r="Q301" i="1"/>
  <c r="P467" i="1"/>
  <c r="S467" i="1" s="1"/>
  <c r="O467" i="1"/>
  <c r="R467" i="1" s="1"/>
  <c r="R453" i="1"/>
  <c r="R99" i="1"/>
  <c r="R463" i="1"/>
  <c r="Q464" i="1"/>
  <c r="S464" i="1" s="1"/>
  <c r="Q605" i="1"/>
  <c r="O199" i="1"/>
  <c r="R199" i="1" s="1"/>
  <c r="P199" i="1"/>
  <c r="P540" i="1"/>
  <c r="S540" i="1" s="1"/>
  <c r="O540" i="1"/>
  <c r="O39" i="1"/>
  <c r="P39" i="1"/>
  <c r="Q14" i="1"/>
  <c r="Q49" i="1"/>
  <c r="R146" i="1"/>
  <c r="S146" i="1" s="1"/>
  <c r="O112" i="1"/>
  <c r="P112" i="1" s="1"/>
  <c r="O130" i="1"/>
  <c r="P130" i="1"/>
  <c r="P40" i="1"/>
  <c r="Q40" i="1"/>
  <c r="Q198" i="1"/>
  <c r="O66" i="1"/>
  <c r="Q66" i="1" s="1"/>
  <c r="P66" i="1"/>
  <c r="R361" i="1"/>
  <c r="Q281" i="1"/>
  <c r="R165" i="1"/>
  <c r="Q345" i="1"/>
  <c r="S345" i="1" s="1"/>
  <c r="R311" i="1"/>
  <c r="O366" i="1"/>
  <c r="R366" i="1" s="1"/>
  <c r="P366" i="1"/>
  <c r="Q347" i="1"/>
  <c r="P324" i="1"/>
  <c r="S324" i="1" s="1"/>
  <c r="R629" i="1"/>
  <c r="Q96" i="1"/>
  <c r="O237" i="1"/>
  <c r="Q237" i="1" s="1"/>
  <c r="P195" i="1"/>
  <c r="S195" i="1" s="1"/>
  <c r="O275" i="1"/>
  <c r="Q275" i="1" s="1"/>
  <c r="P275" i="1"/>
  <c r="R357" i="1"/>
  <c r="R516" i="1"/>
  <c r="P188" i="1"/>
  <c r="O188" i="1"/>
  <c r="O435" i="1"/>
  <c r="R435" i="1" s="1"/>
  <c r="S515" i="1"/>
  <c r="R270" i="1"/>
  <c r="R375" i="1"/>
  <c r="Q349" i="1"/>
  <c r="O412" i="1"/>
  <c r="P412" i="1" s="1"/>
  <c r="Q207" i="1"/>
  <c r="R445" i="1"/>
  <c r="S445" i="1" s="1"/>
  <c r="S575" i="1"/>
  <c r="O113" i="1"/>
  <c r="P113" i="1" s="1"/>
  <c r="S113" i="1" s="1"/>
  <c r="O129" i="1"/>
  <c r="Q129" i="1" s="1"/>
  <c r="P129" i="1"/>
  <c r="S129" i="1" s="1"/>
  <c r="Q300" i="1"/>
  <c r="Q436" i="1"/>
  <c r="Q150" i="1"/>
  <c r="R577" i="1"/>
  <c r="P388" i="1"/>
  <c r="S388" i="1" s="1"/>
  <c r="P513" i="1"/>
  <c r="O513" i="1"/>
  <c r="R513" i="1" s="1"/>
  <c r="Q297" i="1"/>
  <c r="Q571" i="1"/>
  <c r="S571" i="1" s="1"/>
  <c r="Q541" i="1"/>
  <c r="R517" i="1"/>
  <c r="R433" i="1"/>
  <c r="O495" i="1"/>
  <c r="P495" i="1"/>
  <c r="O425" i="1"/>
  <c r="P425" i="1"/>
  <c r="O222" i="1"/>
  <c r="R222" i="1" s="1"/>
  <c r="P222" i="1"/>
  <c r="O595" i="1"/>
  <c r="R595" i="1" s="1"/>
  <c r="P595" i="1"/>
  <c r="R484" i="1"/>
  <c r="Q453" i="1"/>
  <c r="S453" i="1" s="1"/>
  <c r="Q569" i="1"/>
  <c r="S569" i="1" s="1"/>
  <c r="Q540" i="1"/>
  <c r="R50" i="1"/>
  <c r="O142" i="1"/>
  <c r="P142" i="1" s="1"/>
  <c r="R318" i="1"/>
  <c r="R182" i="1"/>
  <c r="R126" i="1"/>
  <c r="P267" i="1"/>
  <c r="S267" i="1" s="1"/>
  <c r="O267" i="1"/>
  <c r="R267" i="1" s="1"/>
  <c r="O201" i="1"/>
  <c r="R201" i="1" s="1"/>
  <c r="R337" i="1"/>
  <c r="R507" i="1"/>
  <c r="R573" i="1"/>
  <c r="O238" i="1"/>
  <c r="Q238" i="1" s="1"/>
  <c r="P238" i="1"/>
  <c r="P639" i="1"/>
  <c r="Q639" i="1"/>
  <c r="O217" i="1"/>
  <c r="R217" i="1" s="1"/>
  <c r="O323" i="1"/>
  <c r="R323" i="1" s="1"/>
  <c r="O410" i="1"/>
  <c r="P410" i="1"/>
  <c r="R295" i="1"/>
  <c r="R526" i="1"/>
  <c r="S607" i="1"/>
  <c r="Q313" i="1"/>
  <c r="Q18" i="1"/>
  <c r="S52" i="1"/>
  <c r="O14" i="1"/>
  <c r="R14" i="1" s="1"/>
  <c r="P14" i="1"/>
  <c r="R237" i="1"/>
  <c r="Q386" i="1"/>
  <c r="S386" i="1" s="1"/>
  <c r="S356" i="1"/>
  <c r="O270" i="1"/>
  <c r="P270" i="1"/>
  <c r="O442" i="1"/>
  <c r="P442" i="1" s="1"/>
  <c r="O349" i="1"/>
  <c r="P349" i="1" s="1"/>
  <c r="O538" i="1"/>
  <c r="P538" i="1" s="1"/>
  <c r="O215" i="1"/>
  <c r="P215" i="1" s="1"/>
  <c r="O459" i="1"/>
  <c r="P459" i="1" s="1"/>
  <c r="R207" i="1"/>
  <c r="Q456" i="1"/>
  <c r="Q584" i="1"/>
  <c r="S584" i="1" s="1"/>
  <c r="Q113" i="1"/>
  <c r="R129" i="1"/>
  <c r="O436" i="1"/>
  <c r="P436" i="1"/>
  <c r="O150" i="1"/>
  <c r="P150" i="1"/>
  <c r="O376" i="1"/>
  <c r="Q376" i="1" s="1"/>
  <c r="P376" i="1"/>
  <c r="Q577" i="1"/>
  <c r="R563" i="1"/>
  <c r="S309" i="1"/>
  <c r="R297" i="1"/>
  <c r="R19" i="1"/>
  <c r="O541" i="1"/>
  <c r="R541" i="1" s="1"/>
  <c r="P541" i="1"/>
  <c r="R474" i="1"/>
  <c r="Q517" i="1"/>
  <c r="O517" i="1"/>
  <c r="P517" i="1" s="1"/>
  <c r="R495" i="1"/>
  <c r="S522" i="1"/>
  <c r="R425" i="1"/>
  <c r="O478" i="1"/>
  <c r="Q478" i="1" s="1"/>
  <c r="O384" i="1"/>
  <c r="P384" i="1" s="1"/>
  <c r="R594" i="1"/>
  <c r="S328" i="1"/>
  <c r="O370" i="1"/>
  <c r="R370" i="1" s="1"/>
  <c r="Q610" i="1"/>
  <c r="O353" i="1"/>
  <c r="P353" i="1" s="1"/>
  <c r="O484" i="1"/>
  <c r="P484" i="1"/>
  <c r="R569" i="1"/>
  <c r="Q253" i="1"/>
  <c r="S253" i="1" s="1"/>
  <c r="R253" i="1"/>
  <c r="R468" i="1"/>
  <c r="Q611" i="1"/>
  <c r="S611" i="1" s="1"/>
  <c r="Q199" i="1"/>
  <c r="O220" i="1"/>
  <c r="P220" i="1" s="1"/>
  <c r="S220" i="1" s="1"/>
  <c r="R540" i="1"/>
  <c r="O460" i="1"/>
  <c r="R460" i="1" s="1"/>
  <c r="P460" i="1"/>
  <c r="Q247" i="1"/>
  <c r="Q358" i="1"/>
  <c r="O637" i="1"/>
  <c r="R637" i="1" s="1"/>
  <c r="P637" i="1"/>
  <c r="Q602" i="1"/>
  <c r="S545" i="1"/>
  <c r="S88" i="1"/>
  <c r="O110" i="1"/>
  <c r="Q110" i="1" s="1"/>
  <c r="R162" i="1"/>
  <c r="R73" i="1"/>
  <c r="Q73" i="1"/>
  <c r="S73" i="1" s="1"/>
  <c r="O25" i="1"/>
  <c r="P25" i="1" s="1"/>
  <c r="O265" i="1"/>
  <c r="O144" i="1"/>
  <c r="Q144" i="1" s="1"/>
  <c r="P144" i="1"/>
  <c r="Q268" i="1"/>
  <c r="O183" i="1"/>
  <c r="Q183" i="1" s="1"/>
  <c r="P183" i="1"/>
  <c r="R245" i="1"/>
  <c r="O167" i="1"/>
  <c r="P167" i="1"/>
  <c r="O482" i="1"/>
  <c r="P482" i="1" s="1"/>
  <c r="S431" i="1"/>
  <c r="O401" i="1"/>
  <c r="R401" i="1" s="1"/>
  <c r="O369" i="1"/>
  <c r="P369" i="1"/>
  <c r="O473" i="1"/>
  <c r="R473" i="1" s="1"/>
  <c r="P473" i="1"/>
  <c r="O98" i="1"/>
  <c r="Q98" i="1" s="1"/>
  <c r="P98" i="1"/>
  <c r="R556" i="1"/>
  <c r="O239" i="1"/>
  <c r="Q239" i="1" s="1"/>
  <c r="S304" i="1"/>
  <c r="R343" i="1"/>
  <c r="P76" i="1"/>
  <c r="S76" i="1" s="1"/>
  <c r="O235" i="1"/>
  <c r="Q235" i="1"/>
  <c r="O159" i="1"/>
  <c r="P159" i="1" s="1"/>
  <c r="O294" i="1"/>
  <c r="P294" i="1"/>
  <c r="Q245" i="1"/>
  <c r="R233" i="1"/>
  <c r="Q58" i="1"/>
  <c r="S58" i="1" s="1"/>
  <c r="R493" i="1"/>
  <c r="Q132" i="1"/>
  <c r="R423" i="1"/>
  <c r="P554" i="1"/>
  <c r="O554" i="1"/>
  <c r="Q554" i="1" s="1"/>
  <c r="Q321" i="1"/>
  <c r="Q291" i="1"/>
  <c r="R369" i="1"/>
  <c r="Q473" i="1"/>
  <c r="O340" i="1"/>
  <c r="P340" i="1" s="1"/>
  <c r="Q224" i="1"/>
  <c r="O284" i="1"/>
  <c r="R284" i="1" s="1"/>
  <c r="R531" i="1"/>
  <c r="S605" i="1"/>
  <c r="Q448" i="1"/>
  <c r="Q343" i="1"/>
  <c r="Q381" i="1"/>
  <c r="O162" i="1"/>
  <c r="Q162" i="1" s="1"/>
  <c r="P162" i="1"/>
  <c r="O137" i="1"/>
  <c r="Q137" i="1" s="1"/>
  <c r="P137" i="1"/>
  <c r="Q78" i="1"/>
  <c r="R170" i="1"/>
  <c r="R144" i="1"/>
  <c r="Q318" i="1"/>
  <c r="S318" i="1" s="1"/>
  <c r="S397" i="1"/>
  <c r="S83" i="1"/>
  <c r="Q24" i="1"/>
  <c r="S24" i="1" s="1"/>
  <c r="R58" i="1"/>
  <c r="O261" i="1"/>
  <c r="R261" i="1" s="1"/>
  <c r="P261" i="1"/>
  <c r="O423" i="1"/>
  <c r="Q423" i="1" s="1"/>
  <c r="P423" i="1"/>
  <c r="Q282" i="1"/>
  <c r="R561" i="1"/>
  <c r="S528" i="1"/>
  <c r="R510" i="1"/>
  <c r="Q369" i="1"/>
  <c r="R202" i="1"/>
  <c r="R501" i="1"/>
  <c r="O418" i="1"/>
  <c r="R418" i="1" s="1"/>
  <c r="P418" i="1"/>
  <c r="Q548" i="1"/>
  <c r="Q57" i="1"/>
  <c r="S57" i="1" s="1"/>
  <c r="R57" i="1"/>
  <c r="R27" i="1"/>
  <c r="O103" i="1"/>
  <c r="R103" i="1" s="1"/>
  <c r="P103" i="1"/>
  <c r="O56" i="1"/>
  <c r="P56" i="1" s="1"/>
  <c r="Q170" i="1"/>
  <c r="S170" i="1" s="1"/>
  <c r="Q189" i="1"/>
  <c r="S189" i="1" s="1"/>
  <c r="O118" i="1"/>
  <c r="R118" i="1" s="1"/>
  <c r="P118" i="1"/>
  <c r="R334" i="1"/>
  <c r="O259" i="1"/>
  <c r="R259" i="1" s="1"/>
  <c r="P259" i="1"/>
  <c r="R214" i="1"/>
  <c r="O245" i="1"/>
  <c r="P245" i="1" s="1"/>
  <c r="Q461" i="1"/>
  <c r="S305" i="1"/>
  <c r="R234" i="1"/>
  <c r="O282" i="1"/>
  <c r="P282" i="1" s="1"/>
  <c r="S282" i="1" s="1"/>
  <c r="R46" i="1"/>
  <c r="R412" i="1"/>
  <c r="P203" i="1"/>
  <c r="R203" i="1"/>
  <c r="O301" i="1"/>
  <c r="P301" i="1" s="1"/>
  <c r="Q624" i="1"/>
  <c r="O231" i="1"/>
  <c r="R231" i="1" s="1"/>
  <c r="P231" i="1"/>
  <c r="Q248" i="1"/>
  <c r="S248" i="1" s="1"/>
  <c r="O443" i="1"/>
  <c r="P443" i="1" s="1"/>
  <c r="Q565" i="1"/>
  <c r="S565" i="1" s="1"/>
  <c r="R557" i="1"/>
  <c r="Q596" i="1"/>
  <c r="R588" i="1"/>
  <c r="Q550" i="1"/>
  <c r="O27" i="1"/>
  <c r="Q27" i="1" s="1"/>
  <c r="P27" i="1"/>
  <c r="Q122" i="1"/>
  <c r="O102" i="1"/>
  <c r="P102" i="1" s="1"/>
  <c r="O334" i="1"/>
  <c r="P334" i="1" s="1"/>
  <c r="S105" i="1"/>
  <c r="R400" i="1"/>
  <c r="S255" i="1"/>
  <c r="Q507" i="1"/>
  <c r="P421" i="1"/>
  <c r="R421" i="1"/>
  <c r="O18" i="1"/>
  <c r="R18" i="1" s="1"/>
  <c r="P18" i="1"/>
  <c r="Q573" i="1"/>
  <c r="S573" i="1" s="1"/>
  <c r="O31" i="1"/>
  <c r="Q31" i="1" s="1"/>
  <c r="Q46" i="1"/>
  <c r="O561" i="1"/>
  <c r="P561" i="1"/>
  <c r="R529" i="1"/>
  <c r="R523" i="1"/>
  <c r="R471" i="1"/>
  <c r="S336" i="1"/>
  <c r="S579" i="1"/>
  <c r="O271" i="1"/>
  <c r="Q271" i="1" s="1"/>
  <c r="Q557" i="1"/>
  <c r="O588" i="1"/>
  <c r="P588" i="1"/>
  <c r="O122" i="1"/>
  <c r="R122" i="1" s="1"/>
  <c r="P122" i="1"/>
  <c r="R112" i="1"/>
  <c r="P68" i="1"/>
  <c r="O158" i="1"/>
  <c r="R158" i="1" s="1"/>
  <c r="P158" i="1"/>
  <c r="Q299" i="1"/>
  <c r="O133" i="1"/>
  <c r="Q133" i="1" s="1"/>
  <c r="P133" i="1"/>
  <c r="Q330" i="1"/>
  <c r="S330" i="1" s="1"/>
  <c r="R330" i="1"/>
  <c r="O302" i="1"/>
  <c r="P302" i="1" s="1"/>
  <c r="O487" i="1"/>
  <c r="Q288" i="1"/>
  <c r="Q400" i="1"/>
  <c r="R190" i="1"/>
  <c r="S354" i="1"/>
  <c r="O80" i="1"/>
  <c r="P80" i="1" s="1"/>
  <c r="S151" i="1"/>
  <c r="R490" i="1"/>
  <c r="S490" i="1" s="1"/>
  <c r="P521" i="1"/>
  <c r="S521" i="1" s="1"/>
  <c r="O521" i="1"/>
  <c r="Q521" i="1" s="1"/>
  <c r="O449" i="1"/>
  <c r="P449" i="1" s="1"/>
  <c r="S449" i="1" s="1"/>
  <c r="Q295" i="1"/>
  <c r="S295" i="1" s="1"/>
  <c r="R206" i="1"/>
  <c r="R342" i="1"/>
  <c r="S567" i="1"/>
  <c r="O226" i="1"/>
  <c r="P226" i="1" s="1"/>
  <c r="S136" i="1"/>
  <c r="R639" i="1"/>
  <c r="Q216" i="1"/>
  <c r="S216" i="1" s="1"/>
  <c r="Q331" i="1"/>
  <c r="P331" i="1"/>
  <c r="S331" i="1" s="1"/>
  <c r="R480" i="1"/>
  <c r="O368" i="1"/>
  <c r="Q368" i="1" s="1"/>
  <c r="P368" i="1"/>
  <c r="R470" i="1"/>
  <c r="O564" i="1"/>
  <c r="Q564" i="1" s="1"/>
  <c r="O531" i="1"/>
  <c r="P531" i="1" s="1"/>
  <c r="O560" i="1"/>
  <c r="Q560" i="1" s="1"/>
  <c r="P560" i="1"/>
  <c r="R464" i="1"/>
  <c r="R605" i="1"/>
  <c r="Q39" i="1"/>
  <c r="P22" i="1"/>
  <c r="O22" i="1"/>
  <c r="R22" i="1" s="1"/>
  <c r="Q130" i="1"/>
  <c r="O21" i="1"/>
  <c r="R21" i="1" s="1"/>
  <c r="R192" i="1"/>
  <c r="O313" i="1"/>
  <c r="R313" i="1" s="1"/>
  <c r="P361" i="1"/>
  <c r="Q361" i="1"/>
  <c r="O299" i="1"/>
  <c r="R299" i="1" s="1"/>
  <c r="P299" i="1"/>
  <c r="R345" i="1"/>
  <c r="O307" i="1"/>
  <c r="R307" i="1" s="1"/>
  <c r="P307" i="1"/>
  <c r="R80" i="1"/>
  <c r="O622" i="1"/>
  <c r="R622" i="1" s="1"/>
  <c r="P622" i="1"/>
  <c r="Q65" i="1"/>
  <c r="S65" i="1" s="1"/>
  <c r="R65" i="1"/>
  <c r="S44" i="1"/>
  <c r="R84" i="1"/>
  <c r="O49" i="1"/>
  <c r="P49" i="1"/>
  <c r="Q146" i="1"/>
  <c r="R130" i="1"/>
  <c r="S127" i="1"/>
  <c r="Q68" i="1"/>
  <c r="R198" i="1"/>
  <c r="R66" i="1"/>
  <c r="O192" i="1"/>
  <c r="Q192" i="1" s="1"/>
  <c r="O117" i="1"/>
  <c r="Q117" i="1" s="1"/>
  <c r="O187" i="1"/>
  <c r="P187" i="1" s="1"/>
  <c r="O16" i="1"/>
  <c r="P16" i="1" s="1"/>
  <c r="P415" i="1"/>
  <c r="O415" i="1"/>
  <c r="R176" i="1"/>
  <c r="Q311" i="1"/>
  <c r="Q160" i="1"/>
  <c r="Q366" i="1"/>
  <c r="R218" i="1"/>
  <c r="Q629" i="1"/>
  <c r="S629" i="1" s="1"/>
  <c r="O96" i="1"/>
  <c r="R96" i="1" s="1"/>
  <c r="P96" i="1"/>
  <c r="Q333" i="1"/>
  <c r="Q283" i="1"/>
  <c r="Q357" i="1"/>
  <c r="Q525" i="1"/>
  <c r="R188" i="1"/>
  <c r="P483" i="1"/>
  <c r="R483" i="1"/>
  <c r="S169" i="1"/>
  <c r="O479" i="1"/>
  <c r="R479" i="1" s="1"/>
  <c r="P479" i="1"/>
  <c r="O346" i="1"/>
  <c r="R346" i="1" s="1"/>
  <c r="Q84" i="1"/>
  <c r="Q177" i="1"/>
  <c r="R30" i="1"/>
  <c r="R49" i="1"/>
  <c r="Q17" i="1"/>
  <c r="O198" i="1"/>
  <c r="P198" i="1" s="1"/>
  <c r="S198" i="1" s="1"/>
  <c r="O84" i="1"/>
  <c r="P84" i="1" s="1"/>
  <c r="R23" i="1"/>
  <c r="R13" i="1"/>
  <c r="R319" i="1"/>
  <c r="Q176" i="1"/>
  <c r="O382" i="1"/>
  <c r="R382" i="1" s="1"/>
  <c r="O391" i="1"/>
  <c r="Q391" i="1" s="1"/>
  <c r="P391" i="1"/>
  <c r="Q218" i="1"/>
  <c r="S218" i="1" s="1"/>
  <c r="R29" i="1"/>
  <c r="O333" i="1"/>
  <c r="R333" i="1" s="1"/>
  <c r="P333" i="1"/>
  <c r="O200" i="1"/>
  <c r="P200" i="1" s="1"/>
  <c r="O283" i="1"/>
  <c r="R283" i="1" s="1"/>
  <c r="P283" i="1"/>
  <c r="O357" i="1"/>
  <c r="P357" i="1" s="1"/>
  <c r="S357" i="1" s="1"/>
  <c r="Q95" i="1"/>
  <c r="O204" i="1"/>
  <c r="P204" i="1" s="1"/>
  <c r="R293" i="1"/>
  <c r="R403" i="1"/>
  <c r="O525" i="1"/>
  <c r="R525" i="1" s="1"/>
  <c r="P525" i="1"/>
  <c r="S525" i="1" s="1"/>
  <c r="Q188" i="1"/>
  <c r="O193" i="1"/>
  <c r="Q193" i="1" s="1"/>
  <c r="Q364" i="1"/>
  <c r="O42" i="1"/>
  <c r="Q42" i="1" s="1"/>
  <c r="S441" i="1"/>
  <c r="Q592" i="1"/>
  <c r="O172" i="1"/>
  <c r="Q172" i="1" s="1"/>
  <c r="O269" i="1"/>
  <c r="Q269" i="1" s="1"/>
  <c r="P269" i="1"/>
  <c r="Q570" i="1"/>
  <c r="R590" i="1"/>
  <c r="R358" i="1"/>
  <c r="R456" i="1"/>
  <c r="O621" i="1"/>
  <c r="P621" i="1"/>
  <c r="R113" i="1"/>
  <c r="O161" i="1"/>
  <c r="Q161" i="1" s="1"/>
  <c r="P161" i="1"/>
  <c r="R316" i="1"/>
  <c r="R436" i="1"/>
  <c r="O577" i="1"/>
  <c r="P577" i="1"/>
  <c r="S577" i="1" s="1"/>
  <c r="Q563" i="1"/>
  <c r="S563" i="1" s="1"/>
  <c r="O322" i="1"/>
  <c r="Q322" i="1" s="1"/>
  <c r="P322" i="1"/>
  <c r="Q19" i="1"/>
  <c r="O474" i="1"/>
  <c r="P474" i="1" s="1"/>
  <c r="S474" i="1" s="1"/>
  <c r="Q545" i="1"/>
  <c r="Q480" i="1"/>
  <c r="O520" i="1"/>
  <c r="R520" i="1" s="1"/>
  <c r="P520" i="1"/>
  <c r="O508" i="1"/>
  <c r="Q508" i="1" s="1"/>
  <c r="O454" i="1"/>
  <c r="Q454" i="1" s="1"/>
  <c r="Q636" i="1"/>
  <c r="R478" i="1"/>
  <c r="Q429" i="1"/>
  <c r="Q594" i="1"/>
  <c r="O610" i="1"/>
  <c r="R610" i="1" s="1"/>
  <c r="R486" i="1"/>
  <c r="Q484" i="1"/>
  <c r="O458" i="1"/>
  <c r="R458" i="1" s="1"/>
  <c r="P458" i="1"/>
  <c r="P468" i="1"/>
  <c r="O468" i="1"/>
  <c r="Q468" i="1" s="1"/>
  <c r="S620" i="1"/>
  <c r="R220" i="1"/>
  <c r="M10" i="1"/>
  <c r="S353" i="1" l="1"/>
  <c r="S506" i="1"/>
  <c r="S340" i="1"/>
  <c r="S135" i="1"/>
  <c r="S225" i="1"/>
  <c r="S56" i="1"/>
  <c r="S18" i="1"/>
  <c r="Q346" i="1"/>
  <c r="S342" i="1"/>
  <c r="P439" i="1"/>
  <c r="S182" i="1"/>
  <c r="S59" i="1"/>
  <c r="S461" i="1"/>
  <c r="R56" i="1"/>
  <c r="P424" i="1"/>
  <c r="Q25" i="1"/>
  <c r="P194" i="1"/>
  <c r="R194" i="1"/>
  <c r="P524" i="1"/>
  <c r="S273" i="1"/>
  <c r="S622" i="1"/>
  <c r="S368" i="1"/>
  <c r="S245" i="1"/>
  <c r="Q302" i="1"/>
  <c r="S302" i="1" s="1"/>
  <c r="Q482" i="1"/>
  <c r="S482" i="1" s="1"/>
  <c r="P370" i="1"/>
  <c r="S370" i="1" s="1"/>
  <c r="R16" i="1"/>
  <c r="S639" i="1"/>
  <c r="Q353" i="1"/>
  <c r="Q187" i="1"/>
  <c r="S39" i="1"/>
  <c r="S426" i="1"/>
  <c r="S523" i="1"/>
  <c r="S78" i="1"/>
  <c r="S402" i="1"/>
  <c r="S617" i="1"/>
  <c r="R475" i="1"/>
  <c r="S475" i="1" s="1"/>
  <c r="P316" i="1"/>
  <c r="S316" i="1" s="1"/>
  <c r="S422" i="1"/>
  <c r="S70" i="1"/>
  <c r="S444" i="1"/>
  <c r="R600" i="1"/>
  <c r="S553" i="1"/>
  <c r="P82" i="1"/>
  <c r="S82" i="1" s="1"/>
  <c r="R15" i="1"/>
  <c r="S15" i="1" s="1"/>
  <c r="R481" i="1"/>
  <c r="S30" i="1"/>
  <c r="S17" i="1"/>
  <c r="S177" i="1"/>
  <c r="S570" i="1"/>
  <c r="Q273" i="1"/>
  <c r="Q458" i="1"/>
  <c r="Q562" i="1"/>
  <c r="S562" i="1" s="1"/>
  <c r="S204" i="1"/>
  <c r="Q393" i="1"/>
  <c r="S96" i="1"/>
  <c r="P117" i="1"/>
  <c r="R97" i="1"/>
  <c r="S133" i="1"/>
  <c r="S27" i="1"/>
  <c r="R145" i="1"/>
  <c r="S145" i="1" s="1"/>
  <c r="S167" i="1"/>
  <c r="S459" i="1"/>
  <c r="S14" i="1"/>
  <c r="S238" i="1"/>
  <c r="S595" i="1"/>
  <c r="S412" i="1"/>
  <c r="Q16" i="1"/>
  <c r="S16" i="1" s="1"/>
  <c r="R301" i="1"/>
  <c r="S301" i="1" s="1"/>
  <c r="R275" i="1"/>
  <c r="S275" i="1" s="1"/>
  <c r="Q418" i="1"/>
  <c r="Q158" i="1"/>
  <c r="Q341" i="1"/>
  <c r="Q103" i="1"/>
  <c r="R302" i="1"/>
  <c r="P359" i="1"/>
  <c r="Q511" i="1"/>
  <c r="R506" i="1"/>
  <c r="Q481" i="1"/>
  <c r="S481" i="1" s="1"/>
  <c r="R384" i="1"/>
  <c r="S384" i="1" s="1"/>
  <c r="Q205" i="1"/>
  <c r="S205" i="1" s="1"/>
  <c r="S139" i="1"/>
  <c r="S176" i="1"/>
  <c r="S389" i="1"/>
  <c r="P454" i="1"/>
  <c r="S454" i="1" s="1"/>
  <c r="P382" i="1"/>
  <c r="S382" i="1" s="1"/>
  <c r="P192" i="1"/>
  <c r="S192" i="1" s="1"/>
  <c r="R349" i="1"/>
  <c r="S349" i="1" s="1"/>
  <c r="R368" i="1"/>
  <c r="S421" i="1"/>
  <c r="R497" i="1"/>
  <c r="R102" i="1"/>
  <c r="S102" i="1" s="1"/>
  <c r="P284" i="1"/>
  <c r="S284" i="1" s="1"/>
  <c r="P239" i="1"/>
  <c r="P110" i="1"/>
  <c r="S215" i="1"/>
  <c r="R538" i="1"/>
  <c r="P237" i="1"/>
  <c r="S237" i="1" s="1"/>
  <c r="R117" i="1"/>
  <c r="S470" i="1"/>
  <c r="P134" i="1"/>
  <c r="S134" i="1" s="1"/>
  <c r="Q307" i="1"/>
  <c r="S307" i="1" s="1"/>
  <c r="Q529" i="1"/>
  <c r="S529" i="1" s="1"/>
  <c r="R263" i="1"/>
  <c r="R137" i="1"/>
  <c r="S109" i="1"/>
  <c r="R340" i="1"/>
  <c r="R422" i="1"/>
  <c r="R98" i="1"/>
  <c r="S98" i="1" s="1"/>
  <c r="Q289" i="1"/>
  <c r="S289" i="1" s="1"/>
  <c r="P208" i="1"/>
  <c r="S208" i="1" s="1"/>
  <c r="Q230" i="1"/>
  <c r="S230" i="1" s="1"/>
  <c r="Q317" i="1"/>
  <c r="Q598" i="1"/>
  <c r="R613" i="1"/>
  <c r="Q390" i="1"/>
  <c r="R246" i="1"/>
  <c r="S246" i="1" s="1"/>
  <c r="R477" i="1"/>
  <c r="S148" i="1"/>
  <c r="S256" i="1"/>
  <c r="R549" i="1"/>
  <c r="P393" i="1"/>
  <c r="Q389" i="1"/>
  <c r="S344" i="1"/>
  <c r="Q403" i="1"/>
  <c r="S403" i="1" s="1"/>
  <c r="S203" i="1"/>
  <c r="S333" i="1"/>
  <c r="Q166" i="1"/>
  <c r="S166" i="1" s="1"/>
  <c r="S214" i="1"/>
  <c r="P497" i="1"/>
  <c r="S497" i="1" s="1"/>
  <c r="S251" i="1"/>
  <c r="R402" i="1"/>
  <c r="Q261" i="1"/>
  <c r="S261" i="1" s="1"/>
  <c r="R25" i="1"/>
  <c r="S25" i="1" s="1"/>
  <c r="P352" i="1"/>
  <c r="S352" i="1" s="1"/>
  <c r="P292" i="1"/>
  <c r="S292" i="1" s="1"/>
  <c r="Q424" i="1"/>
  <c r="S383" i="1"/>
  <c r="S111" i="1"/>
  <c r="S320" i="1"/>
  <c r="R142" i="1"/>
  <c r="R183" i="1"/>
  <c r="S183" i="1" s="1"/>
  <c r="R110" i="1"/>
  <c r="S287" i="1"/>
  <c r="R159" i="1"/>
  <c r="S262" i="1"/>
  <c r="S33" i="1"/>
  <c r="S181" i="1"/>
  <c r="Q626" i="1"/>
  <c r="S626" i="1" s="1"/>
  <c r="S358" i="1"/>
  <c r="S89" i="1"/>
  <c r="S452" i="1"/>
  <c r="S322" i="1"/>
  <c r="P487" i="1"/>
  <c r="R487" i="1"/>
  <c r="S554" i="1"/>
  <c r="S258" i="1"/>
  <c r="S41" i="1"/>
  <c r="S398" i="1"/>
  <c r="P564" i="1"/>
  <c r="S103" i="1"/>
  <c r="R242" i="1"/>
  <c r="S460" i="1"/>
  <c r="P217" i="1"/>
  <c r="S217" i="1" s="1"/>
  <c r="R258" i="1"/>
  <c r="Q258" i="1"/>
  <c r="Q56" i="1"/>
  <c r="S468" i="1"/>
  <c r="Q370" i="1"/>
  <c r="S578" i="1"/>
  <c r="S500" i="1"/>
  <c r="Q142" i="1"/>
  <c r="S142" i="1" s="1"/>
  <c r="Q225" i="1"/>
  <c r="S429" i="1"/>
  <c r="P450" i="1"/>
  <c r="Q450" i="1"/>
  <c r="R576" i="1"/>
  <c r="S418" i="1"/>
  <c r="S199" i="1"/>
  <c r="S633" i="1"/>
  <c r="P603" i="1"/>
  <c r="S603" i="1" s="1"/>
  <c r="S601" i="1"/>
  <c r="S47" i="1"/>
  <c r="Q576" i="1"/>
  <c r="S576" i="1" s="1"/>
  <c r="S458" i="1"/>
  <c r="R391" i="1"/>
  <c r="S294" i="1"/>
  <c r="P478" i="1"/>
  <c r="S478" i="1" s="1"/>
  <c r="Q41" i="1"/>
  <c r="P132" i="1"/>
  <c r="S132" i="1" s="1"/>
  <c r="R485" i="1"/>
  <c r="R140" i="1"/>
  <c r="Q140" i="1"/>
  <c r="P12" i="1"/>
  <c r="S12" i="1" s="1"/>
  <c r="P462" i="1"/>
  <c r="S462" i="1" s="1"/>
  <c r="S592" i="1"/>
  <c r="Q134" i="1"/>
  <c r="P227" i="1"/>
  <c r="R227" i="1"/>
  <c r="S589" i="1"/>
  <c r="S114" i="1"/>
  <c r="Q524" i="1"/>
  <c r="S561" i="1"/>
  <c r="S144" i="1"/>
  <c r="S425" i="1"/>
  <c r="R187" i="1"/>
  <c r="S187" i="1" s="1"/>
  <c r="R508" i="1"/>
  <c r="S335" i="1"/>
  <c r="R119" i="1"/>
  <c r="P42" i="1"/>
  <c r="S42" i="1" s="1"/>
  <c r="R562" i="1"/>
  <c r="S162" i="1"/>
  <c r="S150" i="1"/>
  <c r="S355" i="1"/>
  <c r="S197" i="1"/>
  <c r="S556" i="1"/>
  <c r="S413" i="1"/>
  <c r="P276" i="1"/>
  <c r="S276" i="1" s="1"/>
  <c r="P602" i="1"/>
  <c r="S602" i="1" s="1"/>
  <c r="Q549" i="1"/>
  <c r="S549" i="1" s="1"/>
  <c r="R286" i="1"/>
  <c r="S286" i="1" s="1"/>
  <c r="Q153" i="1"/>
  <c r="P64" i="1"/>
  <c r="S465" i="1"/>
  <c r="Q64" i="1"/>
  <c r="R306" i="1"/>
  <c r="R564" i="1"/>
  <c r="S410" i="1"/>
  <c r="R454" i="1"/>
  <c r="S84" i="1"/>
  <c r="S361" i="1"/>
  <c r="R376" i="1"/>
  <c r="R238" i="1"/>
  <c r="S159" i="1"/>
  <c r="R265" i="1"/>
  <c r="Q265" i="1"/>
  <c r="S484" i="1"/>
  <c r="Q520" i="1"/>
  <c r="S436" i="1"/>
  <c r="Q410" i="1"/>
  <c r="R410" i="1"/>
  <c r="S495" i="1"/>
  <c r="P435" i="1"/>
  <c r="S435" i="1" s="1"/>
  <c r="Q154" i="1"/>
  <c r="S154" i="1" s="1"/>
  <c r="R560" i="1"/>
  <c r="S560" i="1" s="1"/>
  <c r="Q112" i="1"/>
  <c r="S112" i="1" s="1"/>
  <c r="S46" i="1"/>
  <c r="R443" i="1"/>
  <c r="R289" i="1"/>
  <c r="S312" i="1"/>
  <c r="R359" i="1"/>
  <c r="Q12" i="1"/>
  <c r="R618" i="1"/>
  <c r="S618" i="1" s="1"/>
  <c r="Q603" i="1"/>
  <c r="Q401" i="1"/>
  <c r="Q208" i="1"/>
  <c r="R505" i="1"/>
  <c r="Q215" i="1"/>
  <c r="R585" i="1"/>
  <c r="S503" i="1"/>
  <c r="P178" i="1"/>
  <c r="S178" i="1" s="1"/>
  <c r="S223" i="1"/>
  <c r="P37" i="1"/>
  <c r="S37" i="1" s="1"/>
  <c r="S94" i="1"/>
  <c r="S411" i="1"/>
  <c r="S486" i="1"/>
  <c r="R104" i="1"/>
  <c r="S104" i="1" s="1"/>
  <c r="S240" i="1"/>
  <c r="S19" i="1"/>
  <c r="S510" i="1"/>
  <c r="S417" i="1"/>
  <c r="P317" i="1"/>
  <c r="P511" i="1"/>
  <c r="S511" i="1" s="1"/>
  <c r="S391" i="1"/>
  <c r="P21" i="1"/>
  <c r="S21" i="1" s="1"/>
  <c r="S22" i="1"/>
  <c r="Q443" i="1"/>
  <c r="S443" i="1" s="1"/>
  <c r="S126" i="1"/>
  <c r="P243" i="1"/>
  <c r="S243" i="1" s="1"/>
  <c r="R243" i="1"/>
  <c r="Q455" i="1"/>
  <c r="S455" i="1" s="1"/>
  <c r="R210" i="1"/>
  <c r="P210" i="1"/>
  <c r="S210" i="1" s="1"/>
  <c r="P172" i="1"/>
  <c r="S172" i="1" s="1"/>
  <c r="S259" i="1"/>
  <c r="S423" i="1"/>
  <c r="R398" i="1"/>
  <c r="S222" i="1"/>
  <c r="Q92" i="1"/>
  <c r="S341" i="1"/>
  <c r="S609" i="1"/>
  <c r="P86" i="1"/>
  <c r="S86" i="1" s="1"/>
  <c r="S350" i="1"/>
  <c r="R450" i="1"/>
  <c r="P508" i="1"/>
  <c r="S479" i="1"/>
  <c r="Q231" i="1"/>
  <c r="P614" i="1"/>
  <c r="S614" i="1" s="1"/>
  <c r="S315" i="1"/>
  <c r="Q380" i="1"/>
  <c r="S520" i="1"/>
  <c r="S68" i="1"/>
  <c r="S376" i="1"/>
  <c r="S433" i="1"/>
  <c r="S585" i="1"/>
  <c r="Q374" i="1"/>
  <c r="S374" i="1" s="1"/>
  <c r="Q378" i="1"/>
  <c r="S378" i="1" s="1"/>
  <c r="S200" i="1"/>
  <c r="S473" i="1"/>
  <c r="R172" i="1"/>
  <c r="S263" i="1"/>
  <c r="S337" i="1"/>
  <c r="P550" i="1"/>
  <c r="S550" i="1" s="1"/>
  <c r="R239" i="1"/>
  <c r="P546" i="1"/>
  <c r="S546" i="1" s="1"/>
  <c r="S434" i="1"/>
  <c r="S143" i="1"/>
  <c r="R353" i="1"/>
  <c r="Q200" i="1"/>
  <c r="S40" i="1"/>
  <c r="Q118" i="1"/>
  <c r="S118" i="1" s="1"/>
  <c r="R254" i="1"/>
  <c r="S160" i="1"/>
  <c r="P138" i="1"/>
  <c r="R138" i="1"/>
  <c r="S293" i="1"/>
  <c r="S325" i="1"/>
  <c r="R271" i="1"/>
  <c r="Q334" i="1"/>
  <c r="S334" i="1" s="1"/>
  <c r="S369" i="1"/>
  <c r="S442" i="1"/>
  <c r="S130" i="1"/>
  <c r="R360" i="1"/>
  <c r="S49" i="1"/>
  <c r="S531" i="1"/>
  <c r="S588" i="1"/>
  <c r="S270" i="1"/>
  <c r="P610" i="1"/>
  <c r="S610" i="1" s="1"/>
  <c r="P193" i="1"/>
  <c r="S483" i="1"/>
  <c r="Q415" i="1"/>
  <c r="R415" i="1"/>
  <c r="P313" i="1"/>
  <c r="S313" i="1" s="1"/>
  <c r="R31" i="1"/>
  <c r="Q323" i="1"/>
  <c r="R439" i="1"/>
  <c r="Q332" i="1"/>
  <c r="S332" i="1" s="1"/>
  <c r="R135" i="1"/>
  <c r="P401" i="1"/>
  <c r="S401" i="1" s="1"/>
  <c r="P265" i="1"/>
  <c r="Q226" i="1"/>
  <c r="S226" i="1" s="1"/>
  <c r="P323" i="1"/>
  <c r="S323" i="1" s="1"/>
  <c r="Q493" i="1"/>
  <c r="S493" i="1" s="1"/>
  <c r="Q538" i="1"/>
  <c r="S538" i="1" s="1"/>
  <c r="Q21" i="1"/>
  <c r="P202" i="1"/>
  <c r="S202" i="1" s="1"/>
  <c r="Q102" i="1"/>
  <c r="R121" i="1"/>
  <c r="Q384" i="1"/>
  <c r="S224" i="1"/>
  <c r="Q600" i="1"/>
  <c r="S600" i="1" s="1"/>
  <c r="R225" i="1"/>
  <c r="Q477" i="1"/>
  <c r="S477" i="1" s="1"/>
  <c r="P62" i="1"/>
  <c r="S62" i="1" s="1"/>
  <c r="S29" i="1"/>
  <c r="R193" i="1"/>
  <c r="S234" i="1"/>
  <c r="S448" i="1"/>
  <c r="S254" i="1"/>
  <c r="S247" i="1"/>
  <c r="R235" i="1"/>
  <c r="P235" i="1"/>
  <c r="S235" i="1" s="1"/>
  <c r="S485" i="1"/>
  <c r="Q398" i="1"/>
  <c r="P271" i="1"/>
  <c r="S271" i="1" s="1"/>
  <c r="S231" i="1"/>
  <c r="S541" i="1"/>
  <c r="S513" i="1"/>
  <c r="S613" i="1"/>
  <c r="S597" i="1"/>
  <c r="S598" i="1"/>
  <c r="P346" i="1"/>
  <c r="S158" i="1"/>
  <c r="Q135" i="1"/>
  <c r="R269" i="1"/>
  <c r="S269" i="1" s="1"/>
  <c r="S66" i="1"/>
  <c r="S165" i="1"/>
  <c r="P360" i="1"/>
  <c r="S360" i="1" s="1"/>
  <c r="R273" i="1"/>
  <c r="P505" i="1"/>
  <c r="S505" i="1" s="1"/>
  <c r="Q217" i="1"/>
  <c r="Q310" i="1"/>
  <c r="S310" i="1" s="1"/>
  <c r="S380" i="1"/>
  <c r="R429" i="1"/>
  <c r="S283" i="1"/>
  <c r="P306" i="1"/>
  <c r="Q344" i="1"/>
  <c r="P92" i="1"/>
  <c r="S92" i="1" s="1"/>
  <c r="Q259" i="1"/>
  <c r="S137" i="1"/>
  <c r="Q119" i="1"/>
  <c r="S119" i="1" s="1"/>
  <c r="Q80" i="1"/>
  <c r="S80" i="1" s="1"/>
  <c r="S278" i="1"/>
  <c r="S50" i="1"/>
  <c r="Q191" i="1"/>
  <c r="S191" i="1" s="1"/>
  <c r="P140" i="1"/>
  <c r="S140" i="1" s="1"/>
  <c r="S509" i="1"/>
  <c r="S621" i="1"/>
  <c r="S299" i="1"/>
  <c r="Q578" i="1"/>
  <c r="S207" i="1"/>
  <c r="R394" i="1"/>
  <c r="Q394" i="1"/>
  <c r="S394" i="1" s="1"/>
  <c r="S390" i="1"/>
  <c r="S54" i="1"/>
  <c r="S153" i="1"/>
  <c r="S319" i="1"/>
  <c r="S23" i="1"/>
  <c r="R205" i="1"/>
  <c r="S122" i="1"/>
  <c r="S637" i="1"/>
  <c r="P201" i="1"/>
  <c r="S201" i="1" s="1"/>
  <c r="S366" i="1"/>
  <c r="S190" i="1"/>
  <c r="Q263" i="1"/>
  <c r="Q242" i="1"/>
  <c r="S242" i="1" s="1"/>
  <c r="S121" i="1"/>
  <c r="S343" i="1"/>
  <c r="S241" i="1"/>
  <c r="Q141" i="1"/>
  <c r="S141" i="1" s="1"/>
  <c r="Q382" i="1"/>
  <c r="S206" i="1"/>
  <c r="S415" i="1"/>
  <c r="Q487" i="1"/>
  <c r="P31" i="1"/>
  <c r="S31" i="1" s="1"/>
  <c r="S517" i="1"/>
  <c r="S188" i="1"/>
  <c r="P97" i="1"/>
  <c r="S97" i="1" s="1"/>
  <c r="S430" i="1"/>
  <c r="R161" i="1"/>
  <c r="S161" i="1" s="1"/>
  <c r="S532" i="1"/>
  <c r="S419" i="1"/>
  <c r="Q613" i="1"/>
  <c r="P586" i="1"/>
  <c r="R229" i="1"/>
  <c r="S229" i="1" s="1"/>
  <c r="Q586" i="1"/>
  <c r="S539" i="1"/>
  <c r="S20" i="1"/>
  <c r="R310" i="1"/>
  <c r="S209" i="1"/>
  <c r="R380" i="1"/>
  <c r="L10" i="1"/>
  <c r="N10" i="1"/>
  <c r="S439" i="1" l="1"/>
  <c r="S564" i="1"/>
  <c r="S265" i="1"/>
  <c r="S450" i="1"/>
  <c r="S524" i="1"/>
  <c r="S227" i="1"/>
  <c r="S487" i="1"/>
  <c r="S359" i="1"/>
  <c r="S393" i="1"/>
  <c r="S424" i="1"/>
  <c r="S110" i="1"/>
  <c r="S317" i="1"/>
  <c r="S194" i="1"/>
  <c r="S346" i="1"/>
  <c r="S193" i="1"/>
  <c r="S138" i="1"/>
  <c r="S64" i="1"/>
  <c r="S117" i="1"/>
  <c r="S239" i="1"/>
  <c r="S586" i="1"/>
  <c r="S306" i="1"/>
  <c r="S508" i="1"/>
  <c r="O10" i="1"/>
  <c r="P10" i="1" s="1"/>
  <c r="Q10" i="1" l="1"/>
  <c r="R10" i="1"/>
  <c r="S10" i="1" l="1"/>
</calcChain>
</file>

<file path=xl/sharedStrings.xml><?xml version="1.0" encoding="utf-8"?>
<sst xmlns="http://schemas.openxmlformats.org/spreadsheetml/2006/main" count="1939" uniqueCount="39">
  <si>
    <t>상품</t>
    <phoneticPr fontId="1" type="noConversion"/>
  </si>
  <si>
    <t>서비스</t>
    <phoneticPr fontId="1" type="noConversion"/>
  </si>
  <si>
    <t>용도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</si>
  <si>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</si>
  <si>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</si>
  <si>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</si>
  <si>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</si>
  <si>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</si>
  <si>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</si>
  <si>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</si>
  <si>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</si>
  <si>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공급량합계</t>
    <phoneticPr fontId="1" type="noConversion"/>
  </si>
  <si>
    <t>보정공급량합계</t>
    <phoneticPr fontId="1" type="noConversion"/>
  </si>
  <si>
    <t>일반용(1)</t>
  </si>
  <si>
    <t>업무용</t>
  </si>
  <si>
    <t>영업용</t>
  </si>
  <si>
    <t>일반용(1)(기타)</t>
  </si>
  <si>
    <t>총합계</t>
  </si>
  <si>
    <t>합계 : 보정공급량합계</t>
  </si>
  <si>
    <t>공급월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</si>
  <si>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</si>
  <si>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</si>
  <si>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</si>
  <si>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상품</t>
  </si>
  <si>
    <t>서비스</t>
  </si>
  <si>
    <t>일반용(1)(동절기)</t>
  </si>
  <si>
    <t>용도</t>
  </si>
  <si>
    <t>12월 공급량</t>
    <phoneticPr fontId="1" type="noConversion"/>
  </si>
  <si>
    <t>12월보정공급량</t>
    <phoneticPr fontId="1" type="noConversion"/>
  </si>
  <si>
    <t>2025년 12월</t>
    <phoneticPr fontId="1" type="noConversion"/>
  </si>
  <si>
    <t>합계 : 12월보정공급량</t>
  </si>
  <si>
    <t>2026년 1월</t>
    <phoneticPr fontId="1" type="noConversion"/>
  </si>
  <si>
    <t>1월 공급량</t>
    <phoneticPr fontId="1" type="noConversion"/>
  </si>
  <si>
    <t>1월보정공급량</t>
    <phoneticPr fontId="1" type="noConversion"/>
  </si>
  <si>
    <t>합계 : 1월보정공급량</t>
  </si>
  <si>
    <t>2026년 2월</t>
    <phoneticPr fontId="1" type="noConversion"/>
  </si>
  <si>
    <t>2월 공급량</t>
    <phoneticPr fontId="1" type="noConversion"/>
  </si>
  <si>
    <t>2월보정공급량</t>
    <phoneticPr fontId="1" type="noConversion"/>
  </si>
  <si>
    <t>합계 : 2월보정공급량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</si>
</sst>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pivotButton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4" xfId="0" applyNumberFormat="1" applyBorder="1">
      <alignment vertical="center"/>
    </xf>
    <xf numFmtId="0" fontId="0" fillId="0" borderId="5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</cellXfs>
  <cellStyles count="1">
    <cellStyle name="표준" xfId="0" builtinId="0"/>
  </cellStyles>
  <dxfs count="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087.591547222219" createdVersion="8" refreshedVersion="8" minRefreshableVersion="3" recordCount="630" xr:uid="{B66A5353-E7B1-4035-8205-6F05BF974627}">
  <cacheSource type="worksheet">
    <worksheetSource ref="A9:S639" sheet="1월계산내역"/>
  </cacheSource>
  <cacheFields count="19">
    <cacheField name="상품" numFmtId="0">
      <sharedItems count="1">
        <s v="일반용(1)"/>
      </sharedItems>
    </cacheField>
    <cacheField name="서비스" numFmtId="0">
      <sharedItems count="2">
        <s v="일반용(1)(동절기)"/>
        <s v="일반용(1)(기타)"/>
      </sharedItems>
    </cacheField>
    <cacheField name="용도" numFmtId="0">
      <sharedItems count="2">
        <s v="영업용"/>
        <s v="업무용"/>
      </sharedItems>
    </cacheField>
    <cacheField name="이전일수" numFmtId="0">
      <sharedItems containsSemiMixedTypes="0" containsString="0" containsNumber="1" containsInteger="1" minValue="0" maxValue="31"/>
    </cacheField>
    <cacheField name="당월일수" numFmtId="0">
      <sharedItems containsSemiMixedTypes="0" containsString="0" containsNumber="1" containsInteger="1" minValue="1" maxValue="31"/>
    </cacheField>
    <cacheField name="이후일수" numFmtId="0">
      <sharedItems containsSemiMixedTypes="0" containsString="0" containsNumber="1" containsInteger="1" minValue="0" maxValue="24"/>
    </cacheField>
    <cacheField name="사용기간시작일" numFmtId="0">
      <sharedItems containsSemiMixedTypes="0" containsString="0" containsNumber="1" containsInteger="1" minValue="20251126" maxValue="20260130"/>
    </cacheField>
    <cacheField name="사용기간종료일" numFmtId="0">
      <sharedItems containsSemiMixedTypes="0" containsString="0" containsNumber="1" containsInteger="1" minValue="20260101" maxValue="20260224"/>
    </cacheField>
    <cacheField name="사용열량" numFmtId="0">
      <sharedItems containsSemiMixedTypes="0" containsString="0" containsNumber="1" minValue="30.674199999999999" maxValue="25134121.494899999"/>
    </cacheField>
    <cacheField name="총일수" numFmtId="0">
      <sharedItems containsSemiMixedTypes="0" containsString="0" containsNumber="1" containsInteger="1" minValue="2" maxValue="45"/>
    </cacheField>
    <cacheField name="일평균" numFmtId="0">
      <sharedItems containsSemiMixedTypes="0" containsString="0" containsNumber="1" minValue="0.90218235294117644" maxValue="810778.11273870966"/>
    </cacheField>
    <cacheField name="12월 공급량" numFmtId="0">
      <sharedItems containsSemiMixedTypes="0" containsString="0" containsNumber="1" minValue="0" maxValue="17127334.521474883"/>
    </cacheField>
    <cacheField name="1월 공급량" numFmtId="0">
      <sharedItems containsSemiMixedTypes="0" containsString="0" containsNumber="1" minValue="2.7065470588235292" maxValue="21126268.52719355"/>
    </cacheField>
    <cacheField name="2월 공급량" numFmtId="0">
      <sharedItems containsSemiMixedTypes="0" containsString="0" containsNumber="1" minValue="0" maxValue="7732254.2031741012"/>
    </cacheField>
    <cacheField name="공급량합계" numFmtId="0">
      <sharedItems containsSemiMixedTypes="0" containsString="0" containsNumber="1" minValue="26.331540185619652" maxValue="23119832.466943305"/>
    </cacheField>
    <cacheField name="12월보정공급량" numFmtId="0">
      <sharedItems containsSemiMixedTypes="0" containsString="0" containsNumber="1" minValue="0" maxValue="20156101.697376855"/>
    </cacheField>
    <cacheField name="1월보정공급량" numFmtId="0">
      <sharedItems containsSemiMixedTypes="0" containsString="0" containsNumber="1" minValue="3.1529171938489471" maxValue="21246545.921241347"/>
    </cacheField>
    <cacheField name="2월보정공급량" numFmtId="0">
      <sharedItems containsSemiMixedTypes="0" containsString="0" containsNumber="1" minValue="0" maxValue="8546449.6358765066"/>
    </cacheField>
    <cacheField name="보정공급량합계" numFmtId="0">
      <sharedItems containsSemiMixedTypes="0" containsString="0" containsNumber="1" minValue="30.674199999999999" maxValue="25134121.4948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">
  <r>
    <x v="0"/>
    <x v="0"/>
    <x v="0"/>
    <n v="25"/>
    <n v="4"/>
    <n v="0"/>
    <n v="20251207"/>
    <n v="20260104"/>
    <n v="260008.2242"/>
    <n v="29"/>
    <n v="8965.8008344827576"/>
    <n v="189341.04296880617"/>
    <n v="35863.203337931031"/>
    <n v="0"/>
    <n v="225204.24630673719"/>
    <n v="218602.57591875797"/>
    <n v="41405.648281242036"/>
    <n v="0"/>
    <n v="260008.2242"/>
  </r>
  <r>
    <x v="0"/>
    <x v="0"/>
    <x v="1"/>
    <n v="28"/>
    <n v="6"/>
    <n v="0"/>
    <n v="20251204"/>
    <n v="20260106"/>
    <n v="1313193.6335"/>
    <n v="34"/>
    <n v="38623.342161764704"/>
    <n v="913531.55235062307"/>
    <n v="231740.05297058821"/>
    <n v="0"/>
    <n v="1145271.6053212113"/>
    <n v="1047475.3874752263"/>
    <n v="265718.24602477375"/>
    <n v="0"/>
    <n v="1313193.6335"/>
  </r>
  <r>
    <x v="0"/>
    <x v="0"/>
    <x v="0"/>
    <n v="0"/>
    <n v="25"/>
    <n v="3"/>
    <n v="20260107"/>
    <n v="20260203"/>
    <n v="2755025.7985"/>
    <n v="28"/>
    <n v="98393.77851785715"/>
    <n v="0"/>
    <n v="2459844.4629464289"/>
    <n v="243379.3673536698"/>
    <n v="2703223.8303000988"/>
    <n v="0"/>
    <n v="2506982.5442321757"/>
    <n v="248043.2542678242"/>
    <n v="2755025.7985"/>
  </r>
  <r>
    <x v="0"/>
    <x v="0"/>
    <x v="0"/>
    <n v="29"/>
    <n v="6"/>
    <n v="0"/>
    <n v="20251203"/>
    <n v="20260106"/>
    <n v="2062359.8785000001"/>
    <n v="35"/>
    <n v="58924.567957142863"/>
    <n v="1443477.6833626854"/>
    <n v="353547.40774285718"/>
    <n v="0"/>
    <n v="1797025.0911055426"/>
    <n v="1656610.4026103921"/>
    <n v="405749.47588960797"/>
    <n v="0"/>
    <n v="2062359.8785000001"/>
  </r>
  <r>
    <x v="0"/>
    <x v="0"/>
    <x v="1"/>
    <n v="0"/>
    <n v="28"/>
    <n v="3"/>
    <n v="20260104"/>
    <n v="20260203"/>
    <n v="811296.34920000006"/>
    <n v="31"/>
    <n v="26170.849974193548"/>
    <n v="0"/>
    <n v="732783.79927741934"/>
    <n v="64734.224112259923"/>
    <n v="797518.02338967926"/>
    <n v="0"/>
    <n v="745443.7438038839"/>
    <n v="65852.605396116167"/>
    <n v="811296.34920000006"/>
  </r>
  <r>
    <x v="0"/>
    <x v="0"/>
    <x v="1"/>
    <n v="0"/>
    <n v="29"/>
    <n v="2"/>
    <n v="20260103"/>
    <n v="20260202"/>
    <n v="2287347.7048999998"/>
    <n v="31"/>
    <n v="73785.409835483864"/>
    <n v="0"/>
    <n v="2139776.885229032"/>
    <n v="121673.31875515686"/>
    <n v="2261450.2039841888"/>
    <n v="0"/>
    <n v="2164281.0170234093"/>
    <n v="123066.68787659051"/>
    <n v="2287347.7048999998"/>
  </r>
  <r>
    <x v="0"/>
    <x v="0"/>
    <x v="0"/>
    <n v="0"/>
    <n v="28"/>
    <n v="4"/>
    <n v="20260104"/>
    <n v="20260204"/>
    <n v="3221943.9531999999"/>
    <n v="32"/>
    <n v="100685.7485375"/>
    <n v="0"/>
    <n v="2819200.9590499997"/>
    <n v="332064.81344265252"/>
    <n v="3151265.7724926523"/>
    <n v="0"/>
    <n v="2882431.4223683798"/>
    <n v="339512.53083161998"/>
    <n v="3221943.9531999999"/>
  </r>
  <r>
    <x v="0"/>
    <x v="0"/>
    <x v="0"/>
    <n v="0"/>
    <n v="30"/>
    <n v="3"/>
    <n v="20260102"/>
    <n v="20260203"/>
    <n v="4315791.6845000004"/>
    <n v="33"/>
    <n v="130781.56619696971"/>
    <n v="0"/>
    <n v="3923446.9859090913"/>
    <n v="323491.33575314359"/>
    <n v="4246938.3216622351"/>
    <n v="0"/>
    <n v="3987055.754964584"/>
    <n v="328735.92953541607"/>
    <n v="4315791.6845000004"/>
  </r>
  <r>
    <x v="0"/>
    <x v="0"/>
    <x v="0"/>
    <n v="26"/>
    <n v="4"/>
    <n v="0"/>
    <n v="20251206"/>
    <n v="20260104"/>
    <n v="538812.87100000004"/>
    <n v="30"/>
    <n v="17960.429033333334"/>
    <n v="394462.50092350342"/>
    <n v="71841.716133333335"/>
    <n v="0"/>
    <n v="466304.21705683676"/>
    <n v="455800.02249588678"/>
    <n v="83012.848504113295"/>
    <n v="0"/>
    <n v="538812.87100000004"/>
  </r>
  <r>
    <x v="0"/>
    <x v="0"/>
    <x v="0"/>
    <n v="26"/>
    <n v="7"/>
    <n v="0"/>
    <n v="20251206"/>
    <n v="20260107"/>
    <n v="965352.61809999996"/>
    <n v="33"/>
    <n v="29253.109639393937"/>
    <n v="642482.13484926824"/>
    <n v="204771.76747575757"/>
    <n v="0"/>
    <n v="847253.90232502576"/>
    <n v="732037.71532619884"/>
    <n v="233314.90277380112"/>
    <n v="0"/>
    <n v="965352.61809999996"/>
  </r>
  <r>
    <x v="0"/>
    <x v="0"/>
    <x v="1"/>
    <n v="0"/>
    <n v="24"/>
    <n v="6"/>
    <n v="20260108"/>
    <n v="20260206"/>
    <n v="270500.6347"/>
    <n v="30"/>
    <n v="9016.6878233333337"/>
    <n v="0"/>
    <n v="216400.50776000001"/>
    <n v="44605.986498834107"/>
    <n v="261006.49425883411"/>
    <n v="0"/>
    <n v="224272.10044985704"/>
    <n v="46228.53425014297"/>
    <n v="270500.6347"/>
  </r>
  <r>
    <x v="0"/>
    <x v="0"/>
    <x v="1"/>
    <n v="0"/>
    <n v="29"/>
    <n v="4"/>
    <n v="20260103"/>
    <n v="20260204"/>
    <n v="525862.41500000004"/>
    <n v="33"/>
    <n v="15935.224696969699"/>
    <n v="0"/>
    <n v="462121.51621212129"/>
    <n v="52554.879841760172"/>
    <n v="514676.39605388144"/>
    <n v="0"/>
    <n v="472165.30309528095"/>
    <n v="53697.111904719146"/>
    <n v="525862.41500000004"/>
  </r>
  <r>
    <x v="0"/>
    <x v="0"/>
    <x v="1"/>
    <n v="25"/>
    <n v="6"/>
    <n v="0"/>
    <n v="20251207"/>
    <n v="20260106"/>
    <n v="421849.56060000003"/>
    <n v="31"/>
    <n v="13608.050341935485"/>
    <n v="287376.72095107689"/>
    <n v="81648.302051612904"/>
    <n v="0"/>
    <n v="369025.02300268982"/>
    <n v="328513.61263649852"/>
    <n v="93335.947963501458"/>
    <n v="0"/>
    <n v="421849.56059999997"/>
  </r>
  <r>
    <x v="0"/>
    <x v="0"/>
    <x v="1"/>
    <n v="27"/>
    <n v="5"/>
    <n v="0"/>
    <n v="20251205"/>
    <n v="20260105"/>
    <n v="1694072.0433"/>
    <n v="32"/>
    <n v="52939.751353125001"/>
    <n v="1207428.2436579783"/>
    <n v="264698.75676562497"/>
    <n v="0"/>
    <n v="1472127.0004236032"/>
    <n v="1389466.0116166738"/>
    <n v="304606.03168332617"/>
    <n v="0"/>
    <n v="1694072.0433"/>
  </r>
  <r>
    <x v="0"/>
    <x v="0"/>
    <x v="1"/>
    <n v="30"/>
    <n v="3"/>
    <n v="0"/>
    <n v="20251202"/>
    <n v="20260103"/>
    <n v="788428.18429999996"/>
    <n v="33"/>
    <n v="23891.76316060606"/>
    <n v="605459.53746301262"/>
    <n v="71675.289481818181"/>
    <n v="0"/>
    <n v="677134.82694483083"/>
    <n v="704972.39957792568"/>
    <n v="83455.784722074241"/>
    <n v="0"/>
    <n v="788428.18429999996"/>
  </r>
  <r>
    <x v="0"/>
    <x v="0"/>
    <x v="1"/>
    <n v="0"/>
    <n v="26"/>
    <n v="6"/>
    <n v="20260106"/>
    <n v="20260206"/>
    <n v="141026.5864"/>
    <n v="32"/>
    <n v="4407.080825"/>
    <n v="0"/>
    <n v="114584.10145"/>
    <n v="21802.039909877592"/>
    <n v="136386.1413598776"/>
    <n v="0"/>
    <n v="118482.74701580935"/>
    <n v="22543.839384190636"/>
    <n v="141026.58639999997"/>
  </r>
  <r>
    <x v="0"/>
    <x v="0"/>
    <x v="1"/>
    <n v="29"/>
    <n v="1"/>
    <n v="0"/>
    <n v="20251203"/>
    <n v="20260101"/>
    <n v="1419289.8112999999"/>
    <n v="30"/>
    <n v="47309.660376666667"/>
    <n v="1158946.7912748274"/>
    <n v="47309.660376666667"/>
    <n v="0"/>
    <n v="1206256.451651494"/>
    <n v="1363624.9326941811"/>
    <n v="55664.878605818943"/>
    <n v="0"/>
    <n v="1419289.8112999999"/>
  </r>
  <r>
    <x v="0"/>
    <x v="0"/>
    <x v="0"/>
    <n v="0"/>
    <n v="23"/>
    <n v="7"/>
    <n v="20260109"/>
    <n v="20260207"/>
    <n v="304096.79460000002"/>
    <n v="30"/>
    <n v="10136.55982"/>
    <n v="0"/>
    <n v="233140.87586"/>
    <n v="58503.721383852448"/>
    <n v="291644.59724385245"/>
    <n v="0"/>
    <n v="243095.17031780697"/>
    <n v="61001.624282193065"/>
    <n v="304096.79460000002"/>
  </r>
  <r>
    <x v="0"/>
    <x v="0"/>
    <x v="1"/>
    <n v="0"/>
    <n v="29"/>
    <n v="5"/>
    <n v="20260103"/>
    <n v="20260205"/>
    <n v="44887.727500000001"/>
    <n v="34"/>
    <n v="1320.2272794117648"/>
    <n v="0"/>
    <n v="38286.59110294118"/>
    <n v="5442.6896508159716"/>
    <n v="43729.28075375715"/>
    <n v="0"/>
    <n v="39300.85376913246"/>
    <n v="5586.8737308675436"/>
    <n v="44887.727500000001"/>
  </r>
  <r>
    <x v="0"/>
    <x v="0"/>
    <x v="0"/>
    <n v="0"/>
    <n v="25"/>
    <n v="6"/>
    <n v="20260107"/>
    <n v="20260206"/>
    <n v="841502.40179999999"/>
    <n v="31"/>
    <n v="27145.238767741936"/>
    <n v="0"/>
    <n v="678630.96919354843"/>
    <n v="134288.79625266825"/>
    <n v="812919.76544621668"/>
    <n v="0"/>
    <n v="702491.94912706944"/>
    <n v="139010.45267293064"/>
    <n v="841502.40180000011"/>
  </r>
  <r>
    <x v="0"/>
    <x v="0"/>
    <x v="0"/>
    <n v="14"/>
    <n v="16"/>
    <n v="0"/>
    <n v="20251218"/>
    <n v="20260116"/>
    <n v="271131.56430000003"/>
    <n v="30"/>
    <n v="9037.7188100000003"/>
    <n v="106881.49745856298"/>
    <n v="144603.50096"/>
    <n v="0"/>
    <n v="251484.99841856299"/>
    <n v="115231.31710796957"/>
    <n v="155900.24719203045"/>
    <n v="0"/>
    <n v="271131.56430000003"/>
  </r>
  <r>
    <x v="0"/>
    <x v="0"/>
    <x v="1"/>
    <n v="25"/>
    <n v="8"/>
    <n v="0"/>
    <n v="20251207"/>
    <n v="20260108"/>
    <n v="134217.7311"/>
    <n v="33"/>
    <n v="4067.2039727272727"/>
    <n v="85891.785505793086"/>
    <n v="32537.631781818181"/>
    <n v="0"/>
    <n v="118429.41728761127"/>
    <n v="97342.373497613778"/>
    <n v="36875.357602386219"/>
    <n v="0"/>
    <n v="134217.7311"/>
  </r>
  <r>
    <x v="0"/>
    <x v="0"/>
    <x v="1"/>
    <n v="28"/>
    <n v="1"/>
    <n v="0"/>
    <n v="20251204"/>
    <n v="20260101"/>
    <n v="737819.55339999998"/>
    <n v="29"/>
    <n v="25442.053565517239"/>
    <n v="601763.52919823886"/>
    <n v="25442.053565517239"/>
    <n v="0"/>
    <n v="627205.58276375604"/>
    <n v="707890.53950861807"/>
    <n v="29929.013891382016"/>
    <n v="0"/>
    <n v="737819.55340000009"/>
  </r>
  <r>
    <x v="0"/>
    <x v="0"/>
    <x v="1"/>
    <n v="0"/>
    <n v="25"/>
    <n v="1"/>
    <n v="20260107"/>
    <n v="20260201"/>
    <n v="96484.479699999996"/>
    <n v="26"/>
    <n v="3710.9415269230767"/>
    <n v="0"/>
    <n v="92773.538173076915"/>
    <n v="3059.7009103412202"/>
    <n v="95833.239083418128"/>
    <n v="0"/>
    <n v="93403.986405654388"/>
    <n v="3080.4932943456079"/>
    <n v="96484.479699999996"/>
  </r>
  <r>
    <x v="0"/>
    <x v="0"/>
    <x v="0"/>
    <n v="15"/>
    <n v="16"/>
    <n v="0"/>
    <n v="20251217"/>
    <n v="20260116"/>
    <n v="1328540.2653000001"/>
    <n v="31"/>
    <n v="42856.137590322585"/>
    <n v="543025.16454021563"/>
    <n v="685698.20144516136"/>
    <n v="0"/>
    <n v="1228723.365985377"/>
    <n v="587138.501744273"/>
    <n v="741401.76355572708"/>
    <n v="0"/>
    <n v="1328540.2653000001"/>
  </r>
  <r>
    <x v="0"/>
    <x v="0"/>
    <x v="1"/>
    <n v="27"/>
    <n v="2"/>
    <n v="0"/>
    <n v="20251205"/>
    <n v="20260102"/>
    <n v="252791.98190000001"/>
    <n v="29"/>
    <n v="8716.964893103448"/>
    <n v="198812.9778075896"/>
    <n v="17433.929786206896"/>
    <n v="0"/>
    <n v="216246.9075937965"/>
    <n v="232411.77063131821"/>
    <n v="20380.211268681807"/>
    <n v="0"/>
    <n v="252791.98190000001"/>
  </r>
  <r>
    <x v="0"/>
    <x v="0"/>
    <x v="0"/>
    <n v="0"/>
    <n v="28"/>
    <n v="7"/>
    <n v="20260104"/>
    <n v="20260207"/>
    <n v="52401.704400000002"/>
    <n v="35"/>
    <n v="1497.1915542857143"/>
    <n v="0"/>
    <n v="41921.363519999999"/>
    <n v="8641.1247114988582"/>
    <n v="50562.488231498857"/>
    <n v="0"/>
    <n v="43446.257809984039"/>
    <n v="8955.4465900159576"/>
    <n v="52401.704399999995"/>
  </r>
  <r>
    <x v="0"/>
    <x v="0"/>
    <x v="1"/>
    <n v="0"/>
    <n v="12"/>
    <n v="19"/>
    <n v="20260120"/>
    <n v="20260219"/>
    <n v="284363.28169999999"/>
    <n v="31"/>
    <n v="9173.0090870967742"/>
    <n v="0"/>
    <n v="110076.10904516128"/>
    <n v="143701.16504502427"/>
    <n v="253777.27409018556"/>
    <n v="0"/>
    <n v="123342.81592813302"/>
    <n v="161020.46577186699"/>
    <n v="284363.28169999999"/>
  </r>
  <r>
    <x v="0"/>
    <x v="0"/>
    <x v="1"/>
    <n v="26"/>
    <n v="4"/>
    <n v="0"/>
    <n v="20251206"/>
    <n v="20260104"/>
    <n v="24765.778200000001"/>
    <n v="30"/>
    <n v="825.52593999999999"/>
    <n v="18130.915818617817"/>
    <n v="3302.10376"/>
    <n v="0"/>
    <n v="21433.019578617816"/>
    <n v="20950.209002501986"/>
    <n v="3815.5691974980155"/>
    <n v="0"/>
    <n v="24765.778200000001"/>
  </r>
  <r>
    <x v="0"/>
    <x v="0"/>
    <x v="0"/>
    <n v="0"/>
    <n v="22"/>
    <n v="0"/>
    <n v="20260106"/>
    <n v="20260127"/>
    <n v="1343.7307000000001"/>
    <n v="22"/>
    <n v="61.078668181818188"/>
    <n v="0"/>
    <n v="1343.7307000000001"/>
    <n v="0"/>
    <n v="1343.7307000000001"/>
    <n v="0"/>
    <n v="1343.7307000000001"/>
    <n v="0"/>
    <n v="1343.7307000000001"/>
  </r>
  <r>
    <x v="0"/>
    <x v="0"/>
    <x v="0"/>
    <n v="13"/>
    <n v="15"/>
    <n v="0"/>
    <n v="20251219"/>
    <n v="20260115"/>
    <n v="125.91840000000001"/>
    <n v="28"/>
    <n v="4.4970857142857144"/>
    <n v="49.384446062847566"/>
    <n v="67.456285714285713"/>
    <n v="0"/>
    <n v="116.84073177713327"/>
    <n v="53.221255452091071"/>
    <n v="72.697144547908934"/>
    <n v="0"/>
    <n v="125.91840000000001"/>
  </r>
  <r>
    <x v="0"/>
    <x v="0"/>
    <x v="0"/>
    <n v="28"/>
    <n v="10"/>
    <n v="0"/>
    <n v="20251204"/>
    <n v="20260110"/>
    <n v="4789.2936"/>
    <n v="38"/>
    <n v="126.03404210526315"/>
    <n v="2980.9971817359751"/>
    <n v="1260.3404210526314"/>
    <n v="0"/>
    <n v="4241.3376027886061"/>
    <n v="3366.1245722857207"/>
    <n v="1423.1690277142793"/>
    <n v="0"/>
    <n v="4789.2936"/>
  </r>
  <r>
    <x v="0"/>
    <x v="0"/>
    <x v="0"/>
    <n v="0"/>
    <n v="19"/>
    <n v="0"/>
    <n v="20260106"/>
    <n v="20260124"/>
    <n v="419.80709999999999"/>
    <n v="19"/>
    <n v="22.095110526315789"/>
    <n v="0"/>
    <n v="419.80709999999999"/>
    <n v="0"/>
    <n v="419.80709999999999"/>
    <n v="0"/>
    <n v="419.80709999999999"/>
    <n v="0"/>
    <n v="419.80709999999999"/>
  </r>
  <r>
    <x v="0"/>
    <x v="0"/>
    <x v="0"/>
    <n v="0"/>
    <n v="13"/>
    <n v="0"/>
    <n v="20260108"/>
    <n v="20260120"/>
    <n v="2728.1682000000001"/>
    <n v="13"/>
    <n v="209.85909230769232"/>
    <n v="0"/>
    <n v="2728.1682000000001"/>
    <n v="0"/>
    <n v="2728.1682000000001"/>
    <n v="0"/>
    <n v="2728.1682000000001"/>
    <n v="0"/>
    <n v="2728.1682000000001"/>
  </r>
  <r>
    <x v="0"/>
    <x v="0"/>
    <x v="0"/>
    <n v="0"/>
    <n v="23"/>
    <n v="9"/>
    <n v="20260109"/>
    <n v="20260209"/>
    <n v="7106.9318000000003"/>
    <n v="32"/>
    <n v="222.09161875000001"/>
    <n v="0"/>
    <n v="5108.10723125"/>
    <n v="1648.0468119064342"/>
    <n v="6756.1540431564345"/>
    <n v="0"/>
    <n v="5373.3188272036577"/>
    <n v="1733.6129727963425"/>
    <n v="7106.9318000000003"/>
  </r>
  <r>
    <x v="0"/>
    <x v="0"/>
    <x v="0"/>
    <n v="0"/>
    <n v="15"/>
    <n v="0"/>
    <n v="20260102"/>
    <n v="20260116"/>
    <n v="2349.3150999999998"/>
    <n v="15"/>
    <n v="156.62100666666666"/>
    <n v="0"/>
    <n v="2349.3150999999998"/>
    <n v="0"/>
    <n v="2349.3150999999998"/>
    <n v="0"/>
    <n v="2349.3150999999998"/>
    <n v="0"/>
    <n v="2349.3150999999998"/>
  </r>
  <r>
    <x v="0"/>
    <x v="0"/>
    <x v="0"/>
    <n v="0"/>
    <n v="24"/>
    <n v="8"/>
    <n v="20260108"/>
    <n v="20260208"/>
    <n v="24215.0425"/>
    <n v="32"/>
    <n v="756.72007812499999"/>
    <n v="0"/>
    <n v="18161.281875000001"/>
    <n v="4991.3739575030186"/>
    <n v="23152.65583250302"/>
    <n v="0"/>
    <n v="18994.633515876038"/>
    <n v="5220.4089841239611"/>
    <n v="24215.0425"/>
  </r>
  <r>
    <x v="0"/>
    <x v="0"/>
    <x v="0"/>
    <n v="0"/>
    <n v="27"/>
    <n v="9"/>
    <n v="20260105"/>
    <n v="20260209"/>
    <n v="1723.4376"/>
    <n v="36"/>
    <n v="47.873266666666666"/>
    <n v="0"/>
    <n v="1292.5781999999999"/>
    <n v="355.24701449611354"/>
    <n v="1647.8252144961134"/>
    <n v="0"/>
    <n v="1351.8896611261764"/>
    <n v="371.54793887382357"/>
    <n v="1723.4376"/>
  </r>
  <r>
    <x v="0"/>
    <x v="0"/>
    <x v="0"/>
    <n v="28"/>
    <n v="14"/>
    <n v="0"/>
    <n v="20251204"/>
    <n v="20260114"/>
    <n v="5839.0276999999996"/>
    <n v="42"/>
    <n v="139.02446904761905"/>
    <n v="3288.2508844488298"/>
    <n v="1946.3425666666667"/>
    <n v="0"/>
    <n v="5234.5934511154965"/>
    <n v="3667.9425399798029"/>
    <n v="2171.0851600201972"/>
    <n v="0"/>
    <n v="5839.0277000000006"/>
  </r>
  <r>
    <x v="0"/>
    <x v="0"/>
    <x v="0"/>
    <n v="0"/>
    <n v="15"/>
    <n v="0"/>
    <n v="20260117"/>
    <n v="20260131"/>
    <n v="1008.4621"/>
    <n v="15"/>
    <n v="67.230806666666666"/>
    <n v="0"/>
    <n v="1008.4621"/>
    <n v="0"/>
    <n v="1008.4621"/>
    <n v="0"/>
    <n v="1008.4621"/>
    <n v="0"/>
    <n v="1008.4621"/>
  </r>
  <r>
    <x v="0"/>
    <x v="0"/>
    <x v="0"/>
    <n v="29"/>
    <n v="13"/>
    <n v="0"/>
    <n v="20251203"/>
    <n v="20260113"/>
    <n v="21383.775399999999"/>
    <n v="42"/>
    <n v="509.13750952380951"/>
    <n v="12472.363535953382"/>
    <n v="6618.7876238095232"/>
    <n v="0"/>
    <n v="19091.151159762907"/>
    <n v="13970.148700204894"/>
    <n v="7413.6266997951025"/>
    <n v="0"/>
    <n v="21383.775399999999"/>
  </r>
  <r>
    <x v="0"/>
    <x v="0"/>
    <x v="0"/>
    <n v="0"/>
    <n v="16"/>
    <n v="23"/>
    <n v="20260116"/>
    <n v="20260223"/>
    <n v="1473.4754"/>
    <n v="39"/>
    <n v="37.78142051282051"/>
    <n v="0"/>
    <n v="604.50272820512816"/>
    <n v="716.47490418878942"/>
    <n v="1320.9776323939177"/>
    <n v="0"/>
    <n v="674.28840383084423"/>
    <n v="799.18699616915569"/>
    <n v="1473.4753999999998"/>
  </r>
  <r>
    <x v="0"/>
    <x v="0"/>
    <x v="1"/>
    <n v="0"/>
    <n v="16"/>
    <n v="0"/>
    <n v="20260116"/>
    <n v="20260131"/>
    <n v="30601.284500000002"/>
    <n v="16"/>
    <n v="1912.5802812500001"/>
    <n v="0"/>
    <n v="30601.284500000002"/>
    <n v="0"/>
    <n v="30601.284500000002"/>
    <n v="0"/>
    <n v="30601.284500000002"/>
    <n v="0"/>
    <n v="30601.284500000002"/>
  </r>
  <r>
    <x v="0"/>
    <x v="0"/>
    <x v="1"/>
    <n v="23"/>
    <n v="5"/>
    <n v="0"/>
    <n v="20251209"/>
    <n v="20260105"/>
    <n v="36072.769800000002"/>
    <n v="28"/>
    <n v="1288.3132071428572"/>
    <n v="25030.237136534564"/>
    <n v="6441.566035714286"/>
    <n v="0"/>
    <n v="31471.803172248852"/>
    <n v="28689.489995978016"/>
    <n v="7383.2798040219859"/>
    <n v="0"/>
    <n v="36072.769800000002"/>
  </r>
  <r>
    <x v="0"/>
    <x v="0"/>
    <x v="0"/>
    <n v="21"/>
    <n v="1"/>
    <n v="0"/>
    <n v="20251211"/>
    <n v="20260101"/>
    <n v="7854.0891000000001"/>
    <n v="22"/>
    <n v="357.00405000000001"/>
    <n v="6332.9798589028615"/>
    <n v="357.00405000000001"/>
    <n v="0"/>
    <n v="6689.983908902861"/>
    <n v="7434.9637843128521"/>
    <n v="419.12531568714849"/>
    <n v="0"/>
    <n v="7854.0891000000011"/>
  </r>
  <r>
    <x v="0"/>
    <x v="0"/>
    <x v="0"/>
    <n v="27"/>
    <n v="9"/>
    <n v="0"/>
    <n v="20251205"/>
    <n v="20260109"/>
    <n v="1890.2438"/>
    <n v="36"/>
    <n v="52.506772222222224"/>
    <n v="1197.5530323431515"/>
    <n v="472.56095000000005"/>
    <n v="0"/>
    <n v="1670.1139823431515"/>
    <n v="1355.3968282942828"/>
    <n v="534.84697170571712"/>
    <n v="0"/>
    <n v="1890.2438"/>
  </r>
  <r>
    <x v="0"/>
    <x v="0"/>
    <x v="0"/>
    <n v="0"/>
    <n v="18"/>
    <n v="0"/>
    <n v="20260103"/>
    <n v="20260120"/>
    <n v="5118.6328999999996"/>
    <n v="18"/>
    <n v="284.36849444444442"/>
    <n v="0"/>
    <n v="5118.6328999999996"/>
    <n v="0"/>
    <n v="5118.6328999999996"/>
    <n v="0"/>
    <n v="5118.6328999999996"/>
    <n v="0"/>
    <n v="5118.6328999999996"/>
  </r>
  <r>
    <x v="0"/>
    <x v="0"/>
    <x v="0"/>
    <n v="0"/>
    <n v="23"/>
    <n v="0"/>
    <n v="20260104"/>
    <n v="20260126"/>
    <n v="9404.3436000000002"/>
    <n v="23"/>
    <n v="408.88450434782607"/>
    <n v="0"/>
    <n v="9404.3436000000002"/>
    <n v="0"/>
    <n v="9404.3436000000002"/>
    <n v="0"/>
    <n v="9404.3436000000002"/>
    <n v="0"/>
    <n v="9404.3436000000002"/>
  </r>
  <r>
    <x v="0"/>
    <x v="0"/>
    <x v="0"/>
    <n v="0"/>
    <n v="27"/>
    <n v="0"/>
    <n v="20260103"/>
    <n v="20260129"/>
    <n v="3022.8247000000001"/>
    <n v="27"/>
    <n v="111.95647037037037"/>
    <n v="0"/>
    <n v="3022.8247000000001"/>
    <n v="0"/>
    <n v="3022.8247000000001"/>
    <n v="0"/>
    <n v="3022.8247000000001"/>
    <n v="0"/>
    <n v="3022.8247000000001"/>
  </r>
  <r>
    <x v="0"/>
    <x v="0"/>
    <x v="0"/>
    <n v="0"/>
    <n v="24"/>
    <n v="0"/>
    <n v="20260106"/>
    <n v="20260129"/>
    <n v="5459.1626999999999"/>
    <n v="24"/>
    <n v="227.4651125"/>
    <n v="0"/>
    <n v="5459.1626999999999"/>
    <n v="0"/>
    <n v="5459.1626999999999"/>
    <n v="0"/>
    <n v="5459.1626999999999"/>
    <n v="0"/>
    <n v="5459.1626999999999"/>
  </r>
  <r>
    <x v="0"/>
    <x v="0"/>
    <x v="0"/>
    <n v="16"/>
    <n v="19"/>
    <n v="0"/>
    <n v="20251216"/>
    <n v="20260119"/>
    <n v="123978.9139"/>
    <n v="35"/>
    <n v="3542.2546828571431"/>
    <n v="47875.732847157451"/>
    <n v="67302.838974285725"/>
    <n v="0"/>
    <n v="115178.57182144318"/>
    <n v="51533.729466265948"/>
    <n v="72445.184433734044"/>
    <n v="0"/>
    <n v="123978.91389999999"/>
  </r>
  <r>
    <x v="0"/>
    <x v="0"/>
    <x v="0"/>
    <n v="27"/>
    <n v="12"/>
    <n v="0"/>
    <n v="20251205"/>
    <n v="20260112"/>
    <n v="30120.009900000001"/>
    <n v="39"/>
    <n v="772.30794615384616"/>
    <n v="17614.484449832871"/>
    <n v="9267.695353846153"/>
    <n v="0"/>
    <n v="26882.179803679024"/>
    <n v="19736.064928029115"/>
    <n v="10383.944971970888"/>
    <n v="0"/>
    <n v="30120.009900000005"/>
  </r>
  <r>
    <x v="0"/>
    <x v="0"/>
    <x v="0"/>
    <n v="31"/>
    <n v="2"/>
    <n v="0"/>
    <n v="20251128"/>
    <n v="20260102"/>
    <n v="26975.035400000001"/>
    <n v="33"/>
    <n v="817.42531515151518"/>
    <n v="21405.503431946254"/>
    <n v="1634.8506303030304"/>
    <n v="0"/>
    <n v="23040.354062249284"/>
    <n v="25060.99564579358"/>
    <n v="1914.0397542064222"/>
    <n v="0"/>
    <n v="26975.035400000004"/>
  </r>
  <r>
    <x v="0"/>
    <x v="0"/>
    <x v="0"/>
    <n v="20"/>
    <n v="1"/>
    <n v="0"/>
    <n v="20251212"/>
    <n v="20260101"/>
    <n v="8526.0967000000001"/>
    <n v="21"/>
    <n v="406.00460476190477"/>
    <n v="6859.2498749336182"/>
    <n v="406.00460476190477"/>
    <n v="0"/>
    <n v="7265.2544796955226"/>
    <n v="8049.6323819888912"/>
    <n v="476.46431801110884"/>
    <n v="0"/>
    <n v="8526.0967000000001"/>
  </r>
  <r>
    <x v="0"/>
    <x v="0"/>
    <x v="0"/>
    <n v="2"/>
    <n v="31"/>
    <n v="1"/>
    <n v="20251230"/>
    <n v="20260201"/>
    <n v="11672.561"/>
    <n v="34"/>
    <n v="343.31061764705879"/>
    <n v="580.00655252172294"/>
    <n v="10642.629147058822"/>
    <n v="283.0623446162121"/>
    <n v="11505.698044196757"/>
    <n v="588.41817668978797"/>
    <n v="10796.975328418212"/>
    <n v="287.16749489199918"/>
    <n v="11672.560999999998"/>
  </r>
  <r>
    <x v="0"/>
    <x v="0"/>
    <x v="0"/>
    <n v="31"/>
    <n v="5"/>
    <n v="0"/>
    <n v="20251129"/>
    <n v="20260105"/>
    <n v="1552.8659"/>
    <n v="36"/>
    <n v="43.13516388888889"/>
    <n v="1129.5587273193637"/>
    <n v="215.67581944444444"/>
    <n v="0"/>
    <n v="1345.2345467638081"/>
    <n v="1303.9014154976271"/>
    <n v="248.9644845023729"/>
    <n v="0"/>
    <n v="1552.8659"/>
  </r>
  <r>
    <x v="0"/>
    <x v="0"/>
    <x v="0"/>
    <n v="1"/>
    <n v="31"/>
    <n v="4"/>
    <n v="20251231"/>
    <n v="20260204"/>
    <n v="5167.2740999999996"/>
    <n v="36"/>
    <n v="143.53539166666667"/>
    <n v="121.2480235187853"/>
    <n v="4449.5971416666671"/>
    <n v="473.3843046164356"/>
    <n v="5044.2294698018877"/>
    <n v="124.20564436165843"/>
    <n v="4558.1368181632743"/>
    <n v="484.93163747506691"/>
    <n v="5167.2740999999996"/>
  </r>
  <r>
    <x v="0"/>
    <x v="0"/>
    <x v="0"/>
    <n v="17"/>
    <n v="1"/>
    <n v="0"/>
    <n v="20251215"/>
    <n v="20260101"/>
    <n v="11128.8169"/>
    <n v="18"/>
    <n v="618.26760555555552"/>
    <n v="8878.5303279602431"/>
    <n v="618.26760555555552"/>
    <n v="0"/>
    <n v="9496.7979335157979"/>
    <n v="10404.300381316745"/>
    <n v="724.51651868325553"/>
    <n v="0"/>
    <n v="11128.816900000002"/>
  </r>
  <r>
    <x v="0"/>
    <x v="0"/>
    <x v="0"/>
    <n v="10"/>
    <n v="1"/>
    <n v="0"/>
    <n v="20251222"/>
    <n v="20260101"/>
    <n v="1595.8303000000001"/>
    <n v="11"/>
    <n v="145.07548181818183"/>
    <n v="1225.4897713547666"/>
    <n v="145.07548181818183"/>
    <n v="0"/>
    <n v="1370.5652531729484"/>
    <n v="1426.9103239998942"/>
    <n v="168.919976000106"/>
    <n v="0"/>
    <n v="1595.8303000000003"/>
  </r>
  <r>
    <x v="0"/>
    <x v="0"/>
    <x v="0"/>
    <n v="16"/>
    <n v="3"/>
    <n v="0"/>
    <n v="20251216"/>
    <n v="20260103"/>
    <n v="209.92830000000001"/>
    <n v="19"/>
    <n v="11.048857894736843"/>
    <n v="149.33205435357476"/>
    <n v="33.14657368421053"/>
    <n v="0"/>
    <n v="182.47862803778528"/>
    <n v="171.79559405423745"/>
    <n v="38.132705945762581"/>
    <n v="0"/>
    <n v="209.92830000000004"/>
  </r>
  <r>
    <x v="0"/>
    <x v="0"/>
    <x v="0"/>
    <n v="31"/>
    <n v="1"/>
    <n v="0"/>
    <n v="20251126"/>
    <n v="20260101"/>
    <n v="91613.7166"/>
    <n v="32"/>
    <n v="2862.92864375"/>
    <n v="74970.064877240511"/>
    <n v="2862.92864375"/>
    <n v="0"/>
    <n v="77832.993520990509"/>
    <n v="88243.892036541569"/>
    <n v="3369.8245634584323"/>
    <n v="0"/>
    <n v="91613.7166"/>
  </r>
  <r>
    <x v="0"/>
    <x v="0"/>
    <x v="0"/>
    <n v="31"/>
    <n v="2"/>
    <n v="0"/>
    <n v="20251126"/>
    <n v="20260102"/>
    <n v="53841.066099999996"/>
    <n v="33"/>
    <n v="1631.5474575757576"/>
    <n v="42724.508349790529"/>
    <n v="3263.0949151515151"/>
    <n v="0"/>
    <n v="45987.603264942045"/>
    <n v="50020.721125614691"/>
    <n v="3820.3449743853052"/>
    <n v="0"/>
    <n v="53841.066099999996"/>
  </r>
  <r>
    <x v="0"/>
    <x v="0"/>
    <x v="0"/>
    <n v="19"/>
    <n v="5"/>
    <n v="0"/>
    <n v="20251213"/>
    <n v="20260105"/>
    <n v="461.85309999999998"/>
    <n v="24"/>
    <n v="19.243879166666666"/>
    <n v="308.86015948605882"/>
    <n v="96.219395833333323"/>
    <n v="0"/>
    <n v="405.07955531939217"/>
    <n v="352.14816509971058"/>
    <n v="109.70493490028935"/>
    <n v="0"/>
    <n v="461.85309999999993"/>
  </r>
  <r>
    <x v="0"/>
    <x v="0"/>
    <x v="0"/>
    <n v="31"/>
    <n v="4"/>
    <n v="0"/>
    <n v="20251128"/>
    <n v="20260104"/>
    <n v="1509.8017"/>
    <n v="35"/>
    <n v="43.137191428571427"/>
    <n v="1129.6118214758922"/>
    <n v="172.54876571428571"/>
    <n v="0"/>
    <n v="1302.1605871901779"/>
    <n v="1309.7384955295956"/>
    <n v="200.06320447040426"/>
    <n v="0"/>
    <n v="1509.8017"/>
  </r>
  <r>
    <x v="0"/>
    <x v="0"/>
    <x v="0"/>
    <n v="21"/>
    <n v="5"/>
    <n v="0"/>
    <n v="20251211"/>
    <n v="20260105"/>
    <n v="5962.2434000000003"/>
    <n v="26"/>
    <n v="229.31705384615387"/>
    <n v="4067.9098271031812"/>
    <n v="1146.5852692307694"/>
    <n v="0"/>
    <n v="5214.4950963339506"/>
    <n v="4651.2400664625729"/>
    <n v="1311.0033335374276"/>
    <n v="0"/>
    <n v="5962.2434000000003"/>
  </r>
  <r>
    <x v="0"/>
    <x v="0"/>
    <x v="0"/>
    <n v="22"/>
    <n v="5"/>
    <n v="0"/>
    <n v="20251210"/>
    <n v="20260105"/>
    <n v="22171.5556"/>
    <n v="27"/>
    <n v="821.16872592592597"/>
    <n v="15260.569845755705"/>
    <n v="4105.8436296296295"/>
    <n v="0"/>
    <n v="19366.413475385336"/>
    <n v="17470.998089186662"/>
    <n v="4700.5575108133362"/>
    <n v="0"/>
    <n v="22171.5556"/>
  </r>
  <r>
    <x v="0"/>
    <x v="1"/>
    <x v="0"/>
    <n v="31"/>
    <n v="3"/>
    <n v="0"/>
    <n v="20251129"/>
    <n v="20260103"/>
    <n v="574.50620000000004"/>
    <n v="34"/>
    <n v="16.89724117647059"/>
    <n v="442.47951132553607"/>
    <n v="50.691723529411775"/>
    <n v="0"/>
    <n v="493.17123485494784"/>
    <n v="515.45427766941532"/>
    <n v="59.051922330584745"/>
    <n v="0"/>
    <n v="574.50620000000004"/>
  </r>
  <r>
    <x v="0"/>
    <x v="1"/>
    <x v="0"/>
    <n v="31"/>
    <n v="4"/>
    <n v="0"/>
    <n v="20251126"/>
    <n v="20260104"/>
    <n v="1245.0253"/>
    <n v="35"/>
    <n v="35.572151428571431"/>
    <n v="931.50994393274902"/>
    <n v="142.28860571428572"/>
    <n v="0"/>
    <n v="1073.7985496470346"/>
    <n v="1080.0475077742221"/>
    <n v="164.97779222577805"/>
    <n v="0"/>
    <n v="1245.0253000000002"/>
  </r>
  <r>
    <x v="0"/>
    <x v="0"/>
    <x v="0"/>
    <n v="17"/>
    <n v="3"/>
    <n v="0"/>
    <n v="20251215"/>
    <n v="20260103"/>
    <n v="3905.1253000000002"/>
    <n v="20"/>
    <n v="195.25626500000001"/>
    <n v="2803.9455002158734"/>
    <n v="585.76879500000007"/>
    <n v="0"/>
    <n v="3389.7142952158733"/>
    <n v="3230.2895049793065"/>
    <n v="674.83579502069358"/>
    <n v="0"/>
    <n v="3905.1253000000002"/>
  </r>
  <r>
    <x v="0"/>
    <x v="0"/>
    <x v="1"/>
    <n v="15"/>
    <n v="17"/>
    <n v="0"/>
    <n v="20251217"/>
    <n v="20260117"/>
    <n v="203506.973"/>
    <n v="32"/>
    <n v="6359.5929062499999"/>
    <n v="80581.666442685135"/>
    <n v="108113.07940625001"/>
    <n v="0"/>
    <n v="188694.74584893516"/>
    <n v="86907.194703636051"/>
    <n v="116599.77829636392"/>
    <n v="0"/>
    <n v="203506.97299999997"/>
  </r>
  <r>
    <x v="0"/>
    <x v="0"/>
    <x v="0"/>
    <n v="2"/>
    <n v="31"/>
    <n v="3"/>
    <n v="20251230"/>
    <n v="20260203"/>
    <n v="33979.984299999996"/>
    <n v="36"/>
    <n v="943.88845277777773"/>
    <n v="1594.653527504707"/>
    <n v="29260.54203611111"/>
    <n v="2334.7306908007208"/>
    <n v="33189.926254416539"/>
    <n v="1632.6129022760049"/>
    <n v="29957.064422950891"/>
    <n v="2390.3069747730983"/>
    <n v="33979.984299999989"/>
  </r>
  <r>
    <x v="0"/>
    <x v="0"/>
    <x v="0"/>
    <n v="5"/>
    <n v="31"/>
    <n v="4"/>
    <n v="20251227"/>
    <n v="20260204"/>
    <n v="38650.438900000001"/>
    <n v="40"/>
    <n v="966.26097249999998"/>
    <n v="4081.127022352769"/>
    <n v="29954.090147499999"/>
    <n v="3186.7595387705246"/>
    <n v="37221.97670862329"/>
    <n v="4237.7478191275459"/>
    <n v="31103.633751477391"/>
    <n v="3309.0573293950665"/>
    <n v="38650.438900000001"/>
  </r>
  <r>
    <x v="0"/>
    <x v="0"/>
    <x v="0"/>
    <n v="0"/>
    <n v="11"/>
    <n v="3"/>
    <n v="20260121"/>
    <n v="20260203"/>
    <n v="10729.272800000001"/>
    <n v="14"/>
    <n v="766.37662857142857"/>
    <n v="0"/>
    <n v="8430.1429142857141"/>
    <n v="1895.6509428337658"/>
    <n v="10325.793857119479"/>
    <n v="0"/>
    <n v="8759.5495631548965"/>
    <n v="1969.7232368451048"/>
    <n v="10729.272800000001"/>
  </r>
  <r>
    <x v="0"/>
    <x v="0"/>
    <x v="0"/>
    <n v="0"/>
    <n v="16"/>
    <n v="1"/>
    <n v="20260116"/>
    <n v="20260201"/>
    <n v="4118.8550999999998"/>
    <n v="17"/>
    <n v="242.28559411764704"/>
    <n v="0"/>
    <n v="3876.5695058823526"/>
    <n v="199.7664063165646"/>
    <n v="4076.335912198917"/>
    <n v="0"/>
    <n v="3917.0049828388255"/>
    <n v="201.85011716117444"/>
    <n v="4118.8550999999998"/>
  </r>
  <r>
    <x v="0"/>
    <x v="0"/>
    <x v="0"/>
    <n v="0"/>
    <n v="12"/>
    <n v="3"/>
    <n v="20260120"/>
    <n v="20260203"/>
    <n v="8162.2790999999997"/>
    <n v="15"/>
    <n v="544.15193999999997"/>
    <n v="0"/>
    <n v="6529.8232799999996"/>
    <n v="1345.9728541417569"/>
    <n v="7875.7961341417567"/>
    <n v="0"/>
    <n v="6767.3463326441815"/>
    <n v="1394.9327673558175"/>
    <n v="8162.2790999999988"/>
  </r>
  <r>
    <x v="0"/>
    <x v="0"/>
    <x v="0"/>
    <n v="0"/>
    <n v="16"/>
    <n v="3"/>
    <n v="20260116"/>
    <n v="20260203"/>
    <n v="14171.8109"/>
    <n v="19"/>
    <n v="745.88478421052639"/>
    <n v="0"/>
    <n v="11934.156547368422"/>
    <n v="1844.9638750984709"/>
    <n v="13779.120422466893"/>
    <n v="0"/>
    <n v="12274.267489856431"/>
    <n v="1897.543410143571"/>
    <n v="14171.810900000002"/>
  </r>
  <r>
    <x v="0"/>
    <x v="0"/>
    <x v="0"/>
    <n v="0"/>
    <n v="22"/>
    <n v="4"/>
    <n v="20260110"/>
    <n v="20260204"/>
    <n v="588.65689999999995"/>
    <n v="26"/>
    <n v="22.640649999999997"/>
    <n v="0"/>
    <n v="498.09429999999992"/>
    <n v="74.66958658672813"/>
    <n v="572.76388658672806"/>
    <n v="0"/>
    <n v="511.91538679747487"/>
    <n v="76.74151320252507"/>
    <n v="588.65689999999995"/>
  </r>
  <r>
    <x v="0"/>
    <x v="0"/>
    <x v="0"/>
    <n v="0"/>
    <n v="9"/>
    <n v="3"/>
    <n v="20260123"/>
    <n v="20260203"/>
    <n v="1683.616"/>
    <n v="12"/>
    <n v="140.30133333333333"/>
    <n v="0"/>
    <n v="1262.712"/>
    <n v="347.03870773034583"/>
    <n v="1609.7507077303458"/>
    <n v="0"/>
    <n v="1320.6530156395618"/>
    <n v="362.96298436043827"/>
    <n v="1683.616"/>
  </r>
  <r>
    <x v="0"/>
    <x v="0"/>
    <x v="0"/>
    <n v="0"/>
    <n v="20"/>
    <n v="2"/>
    <n v="20260112"/>
    <n v="20260202"/>
    <n v="3992.7676999999999"/>
    <n v="22"/>
    <n v="181.48944090909092"/>
    <n v="0"/>
    <n v="3629.7888181818184"/>
    <n v="299.27898542087445"/>
    <n v="3929.0678036026929"/>
    <n v="0"/>
    <n v="3688.6366628156716"/>
    <n v="304.13103718432848"/>
    <n v="3992.7676999999999"/>
  </r>
  <r>
    <x v="0"/>
    <x v="0"/>
    <x v="0"/>
    <n v="0"/>
    <n v="19"/>
    <n v="4"/>
    <n v="20260113"/>
    <n v="20260204"/>
    <n v="12193.6073"/>
    <n v="23"/>
    <n v="530.15683913043472"/>
    <n v="0"/>
    <n v="10072.97994347826"/>
    <n v="1748.4741826756781"/>
    <n v="11821.454126153938"/>
    <n v="0"/>
    <n v="10390.089109241506"/>
    <n v="1803.5181907584938"/>
    <n v="12193.6073"/>
  </r>
  <r>
    <x v="0"/>
    <x v="0"/>
    <x v="0"/>
    <n v="0"/>
    <n v="24"/>
    <n v="5"/>
    <n v="20260108"/>
    <n v="20260205"/>
    <n v="1497569.5427000001"/>
    <n v="29"/>
    <n v="51640.329058620693"/>
    <n v="0"/>
    <n v="1239367.8974068966"/>
    <n v="212889.31755547051"/>
    <n v="1452257.214962367"/>
    <n v="0"/>
    <n v="1278037.7995263073"/>
    <n v="219531.74317369307"/>
    <n v="1497569.5427000003"/>
  </r>
  <r>
    <x v="0"/>
    <x v="0"/>
    <x v="1"/>
    <n v="0"/>
    <n v="16"/>
    <n v="15"/>
    <n v="20260116"/>
    <n v="20260215"/>
    <n v="8929899.3244000003"/>
    <n v="31"/>
    <n v="288061.26852903224"/>
    <n v="0"/>
    <n v="4608980.2964645158"/>
    <n v="3562632.2288744994"/>
    <n v="8171612.5253390148"/>
    <n v="0"/>
    <n v="5036671.7594534848"/>
    <n v="3893227.5649465155"/>
    <n v="8929899.3244000003"/>
  </r>
  <r>
    <x v="0"/>
    <x v="0"/>
    <x v="0"/>
    <n v="0"/>
    <n v="24"/>
    <n v="2"/>
    <n v="20260108"/>
    <n v="20260202"/>
    <n v="252457.6042"/>
    <n v="26"/>
    <n v="9709.9078538461545"/>
    <n v="0"/>
    <n v="233037.78849230771"/>
    <n v="16011.793063404031"/>
    <n v="249049.58155571175"/>
    <n v="0"/>
    <n v="236226.70394920433"/>
    <n v="16230.900250795677"/>
    <n v="252457.6042"/>
  </r>
  <r>
    <x v="0"/>
    <x v="0"/>
    <x v="1"/>
    <n v="30"/>
    <n v="1"/>
    <n v="0"/>
    <n v="20251202"/>
    <n v="20260101"/>
    <n v="4239861.2869999995"/>
    <n v="31"/>
    <n v="136769.71893548386"/>
    <n v="3465986.5916536106"/>
    <n v="136769.71893548386"/>
    <n v="0"/>
    <n v="3602756.3105890946"/>
    <n v="4078905.4558092933"/>
    <n v="160955.83119070594"/>
    <n v="0"/>
    <n v="4239861.2869999995"/>
  </r>
  <r>
    <x v="0"/>
    <x v="0"/>
    <x v="0"/>
    <n v="0"/>
    <n v="25"/>
    <n v="4"/>
    <n v="20260107"/>
    <n v="20260204"/>
    <n v="3331772.2475000001"/>
    <n v="29"/>
    <n v="114888.69818965517"/>
    <n v="0"/>
    <n v="2872217.4547413792"/>
    <n v="378906.59487730841"/>
    <n v="3251124.0496186875"/>
    <n v="0"/>
    <n v="2943466.4006791115"/>
    <n v="388305.84682088881"/>
    <n v="3331772.2475000005"/>
  </r>
  <r>
    <x v="0"/>
    <x v="0"/>
    <x v="0"/>
    <n v="0"/>
    <n v="29"/>
    <n v="3"/>
    <n v="20260103"/>
    <n v="20260203"/>
    <n v="8432206.4626000002"/>
    <n v="32"/>
    <n v="263506.45195625001"/>
    <n v="0"/>
    <n v="7641687.10673125"/>
    <n v="651789.51897942612"/>
    <n v="8293476.6257106764"/>
    <n v="0"/>
    <n v="7769514.0789071359"/>
    <n v="662692.38369286456"/>
    <n v="8432206.4626000002"/>
  </r>
  <r>
    <x v="0"/>
    <x v="0"/>
    <x v="0"/>
    <n v="0"/>
    <n v="27"/>
    <n v="4"/>
    <n v="20260105"/>
    <n v="20260204"/>
    <n v="1258834.7069000001"/>
    <n v="31"/>
    <n v="40607.571190322582"/>
    <n v="0"/>
    <n v="1096404.4221387098"/>
    <n v="133925.06633301248"/>
    <n v="1230329.4884717222"/>
    <n v="0"/>
    <n v="1121806.761781577"/>
    <n v="137027.9451184232"/>
    <n v="1258834.7069000001"/>
  </r>
  <r>
    <x v="0"/>
    <x v="0"/>
    <x v="1"/>
    <n v="30"/>
    <n v="2"/>
    <n v="0"/>
    <n v="20251202"/>
    <n v="20260102"/>
    <n v="3984453.0046999999"/>
    <n v="32"/>
    <n v="124514.156396875"/>
    <n v="3155408.9596850323"/>
    <n v="249028.31279375"/>
    <n v="0"/>
    <n v="3404437.2724787821"/>
    <n v="3692997.6099457378"/>
    <n v="291455.39475426258"/>
    <n v="0"/>
    <n v="3984453.0047000004"/>
  </r>
  <r>
    <x v="0"/>
    <x v="0"/>
    <x v="0"/>
    <n v="25"/>
    <n v="2"/>
    <n v="0"/>
    <n v="20251207"/>
    <n v="20260102"/>
    <n v="98913.319600000003"/>
    <n v="27"/>
    <n v="3663.4562814814817"/>
    <n v="77365.38497917066"/>
    <n v="7326.9125629629634"/>
    <n v="0"/>
    <n v="84692.29754213363"/>
    <n v="90356.11587481985"/>
    <n v="8557.2037251801394"/>
    <n v="0"/>
    <n v="98913.319599999988"/>
  </r>
  <r>
    <x v="0"/>
    <x v="0"/>
    <x v="0"/>
    <n v="0"/>
    <n v="26"/>
    <n v="1"/>
    <n v="20260106"/>
    <n v="20260201"/>
    <n v="1274834.4262000001"/>
    <n v="27"/>
    <n v="47216.089859259264"/>
    <n v="0"/>
    <n v="1227618.3363407408"/>
    <n v="38930.042976158984"/>
    <n v="1266548.3793168997"/>
    <n v="0"/>
    <n v="1235649.6940492867"/>
    <n v="39184.732150713491"/>
    <n v="1274834.4262000001"/>
  </r>
  <r>
    <x v="0"/>
    <x v="0"/>
    <x v="1"/>
    <n v="0"/>
    <n v="10"/>
    <n v="0"/>
    <n v="20260111"/>
    <n v="20260120"/>
    <n v="58970.124400000001"/>
    <n v="10"/>
    <n v="5897.0124400000004"/>
    <n v="0"/>
    <n v="58970.124400000001"/>
    <n v="0"/>
    <n v="58970.124400000001"/>
    <n v="0"/>
    <n v="58970.124400000001"/>
    <n v="0"/>
    <n v="58970.124400000001"/>
  </r>
  <r>
    <x v="0"/>
    <x v="0"/>
    <x v="0"/>
    <n v="0"/>
    <n v="30"/>
    <n v="4"/>
    <n v="20260102"/>
    <n v="20260204"/>
    <n v="1263707.2727000001"/>
    <n v="34"/>
    <n v="37167.860961764709"/>
    <n v="0"/>
    <n v="1115035.8288529413"/>
    <n v="122580.79217372126"/>
    <n v="1237616.6210266626"/>
    <n v="0"/>
    <n v="1138542.3097127087"/>
    <n v="125164.96298729135"/>
    <n v="1263707.2727000001"/>
  </r>
  <r>
    <x v="0"/>
    <x v="0"/>
    <x v="0"/>
    <n v="0"/>
    <n v="16"/>
    <n v="15"/>
    <n v="20260116"/>
    <n v="20260215"/>
    <n v="5726166.0832000002"/>
    <n v="31"/>
    <n v="184715.0349419355"/>
    <n v="0"/>
    <n v="2955440.5590709681"/>
    <n v="2284485.311066715"/>
    <n v="5239925.8701376831"/>
    <n v="0"/>
    <n v="3229691.3944359198"/>
    <n v="2496474.6887640804"/>
    <n v="5726166.0832000002"/>
  </r>
  <r>
    <x v="0"/>
    <x v="0"/>
    <x v="0"/>
    <n v="24"/>
    <n v="6"/>
    <n v="0"/>
    <n v="20251208"/>
    <n v="20260106"/>
    <n v="342237.72379999998"/>
    <n v="30"/>
    <n v="11407.924126666667"/>
    <n v="231277.58026777735"/>
    <n v="68447.544760000004"/>
    <n v="0"/>
    <n v="299725.12502777734"/>
    <n v="264081.67359836923"/>
    <n v="78156.050201630744"/>
    <n v="0"/>
    <n v="342237.72379999998"/>
  </r>
  <r>
    <x v="0"/>
    <x v="0"/>
    <x v="1"/>
    <n v="0"/>
    <n v="29"/>
    <n v="1"/>
    <n v="20260103"/>
    <n v="20260201"/>
    <n v="619436.54370000004"/>
    <n v="30"/>
    <n v="20647.88479"/>
    <n v="0"/>
    <n v="598788.65891"/>
    <n v="17024.34582443185"/>
    <n v="615813.00473443186"/>
    <n v="0"/>
    <n v="602312.02399163938"/>
    <n v="17124.519708360687"/>
    <n v="619436.54370000004"/>
  </r>
  <r>
    <x v="0"/>
    <x v="0"/>
    <x v="0"/>
    <n v="0"/>
    <n v="23"/>
    <n v="5"/>
    <n v="20260109"/>
    <n v="20260205"/>
    <n v="162710.11439999999"/>
    <n v="28"/>
    <n v="5811.0755142857142"/>
    <n v="0"/>
    <n v="133654.73682857142"/>
    <n v="23956.39073281757"/>
    <n v="157611.127561389"/>
    <n v="0"/>
    <n v="137978.69386479945"/>
    <n v="24731.420535200534"/>
    <n v="162710.11439999999"/>
  </r>
  <r>
    <x v="0"/>
    <x v="0"/>
    <x v="0"/>
    <n v="29"/>
    <n v="8"/>
    <n v="0"/>
    <n v="20251203"/>
    <n v="20260108"/>
    <n v="139564.97630000001"/>
    <n v="37"/>
    <n v="3772.0263864864869"/>
    <n v="92403.493122063854"/>
    <n v="30176.211091891895"/>
    <n v="0"/>
    <n v="122579.70421395575"/>
    <n v="105207.39473402814"/>
    <n v="34357.581565971865"/>
    <n v="0"/>
    <n v="139564.97630000001"/>
  </r>
  <r>
    <x v="0"/>
    <x v="0"/>
    <x v="1"/>
    <n v="24"/>
    <n v="6"/>
    <n v="0"/>
    <n v="20251208"/>
    <n v="20260106"/>
    <n v="51068.974199999997"/>
    <n v="30"/>
    <n v="1702.2991399999999"/>
    <n v="34511.416943141638"/>
    <n v="10213.794839999999"/>
    <n v="0"/>
    <n v="44725.21178314164"/>
    <n v="39406.468772475921"/>
    <n v="11662.505427524075"/>
    <n v="0"/>
    <n v="51068.974199999997"/>
  </r>
  <r>
    <x v="0"/>
    <x v="0"/>
    <x v="1"/>
    <n v="0"/>
    <n v="24"/>
    <n v="1"/>
    <n v="20260108"/>
    <n v="20260201"/>
    <n v="61714.6682"/>
    <n v="25"/>
    <n v="2468.5867280000002"/>
    <n v="0"/>
    <n v="59246.081472000005"/>
    <n v="2035.369461932894"/>
    <n v="61281.450933932902"/>
    <n v="0"/>
    <n v="59664.910090600424"/>
    <n v="2049.7581093995741"/>
    <n v="61714.6682"/>
  </r>
  <r>
    <x v="0"/>
    <x v="0"/>
    <x v="1"/>
    <n v="0"/>
    <n v="15"/>
    <n v="15"/>
    <n v="20260117"/>
    <n v="20260215"/>
    <n v="1089138.7305999999"/>
    <n v="30"/>
    <n v="36304.624353333333"/>
    <n v="0"/>
    <n v="544569.36529999995"/>
    <n v="449001.78853906499"/>
    <n v="993571.15383906499"/>
    <n v="0"/>
    <n v="596949.28234858927"/>
    <n v="492189.44825141062"/>
    <n v="1089138.7305999999"/>
  </r>
  <r>
    <x v="0"/>
    <x v="0"/>
    <x v="0"/>
    <n v="25"/>
    <n v="6"/>
    <n v="0"/>
    <n v="20251207"/>
    <n v="20260106"/>
    <n v="802685.75760000001"/>
    <n v="31"/>
    <n v="25893.088954838709"/>
    <n v="546813.89414067566"/>
    <n v="155358.53372903226"/>
    <n v="0"/>
    <n v="702172.42786970793"/>
    <n v="625088.23682544043"/>
    <n v="177597.52077455961"/>
    <n v="0"/>
    <n v="802685.75760000001"/>
  </r>
  <r>
    <x v="0"/>
    <x v="0"/>
    <x v="1"/>
    <n v="24"/>
    <n v="5"/>
    <n v="0"/>
    <n v="20251208"/>
    <n v="20260105"/>
    <n v="5922.0671000000002"/>
    <n v="29"/>
    <n v="204.2092103448276"/>
    <n v="4140.0180709954766"/>
    <n v="1021.046051724138"/>
    <n v="0"/>
    <n v="5161.0641227196147"/>
    <n v="4750.4670022833079"/>
    <n v="1171.6000977166923"/>
    <n v="0"/>
    <n v="5922.0671000000002"/>
  </r>
  <r>
    <x v="0"/>
    <x v="0"/>
    <x v="0"/>
    <n v="0"/>
    <n v="15"/>
    <n v="16"/>
    <n v="20260117"/>
    <n v="20260216"/>
    <n v="25045.553500000002"/>
    <n v="31"/>
    <n v="807.9210806451614"/>
    <n v="0"/>
    <n v="12118.816209677421"/>
    <n v="10658.198079379672"/>
    <n v="22777.014289057093"/>
    <n v="0"/>
    <n v="13325.822949585026"/>
    <n v="11719.730550414975"/>
    <n v="25045.553500000002"/>
  </r>
  <r>
    <x v="0"/>
    <x v="0"/>
    <x v="1"/>
    <n v="0"/>
    <n v="14"/>
    <n v="19"/>
    <n v="20260118"/>
    <n v="20260219"/>
    <n v="217247.66680000001"/>
    <n v="33"/>
    <n v="6583.2626303030302"/>
    <n v="0"/>
    <n v="92165.67682424243"/>
    <n v="103131.09916163064"/>
    <n v="195296.77598587307"/>
    <n v="0"/>
    <n v="102524.87860095479"/>
    <n v="114722.7881990452"/>
    <n v="217247.66680000001"/>
  </r>
  <r>
    <x v="0"/>
    <x v="0"/>
    <x v="0"/>
    <n v="0"/>
    <n v="15"/>
    <n v="20"/>
    <n v="20260117"/>
    <n v="20260220"/>
    <n v="582079.64370000002"/>
    <n v="35"/>
    <n v="16630.846962857144"/>
    <n v="0"/>
    <n v="249462.70444285715"/>
    <n v="274245.32142488979"/>
    <n v="523708.02586774691"/>
    <n v="0"/>
    <n v="277267.39890598156"/>
    <n v="304812.24479401851"/>
    <n v="582079.64370000013"/>
  </r>
  <r>
    <x v="0"/>
    <x v="0"/>
    <x v="1"/>
    <n v="0"/>
    <n v="27"/>
    <n v="1"/>
    <n v="20260105"/>
    <n v="20260201"/>
    <n v="77910.883900000001"/>
    <n v="28"/>
    <n v="2782.5315678571428"/>
    <n v="0"/>
    <n v="75128.352332142851"/>
    <n v="2294.2194883584757"/>
    <n v="77422.571820501325"/>
    <n v="0"/>
    <n v="75602.194534668379"/>
    <n v="2308.6893653316151"/>
    <n v="77910.883900000001"/>
  </r>
  <r>
    <x v="0"/>
    <x v="0"/>
    <x v="0"/>
    <n v="0"/>
    <n v="26"/>
    <n v="7"/>
    <n v="20260106"/>
    <n v="20260207"/>
    <n v="231712.06479999999"/>
    <n v="33"/>
    <n v="7021.5777212121211"/>
    <n v="0"/>
    <n v="182561.02075151514"/>
    <n v="40525.428150322849"/>
    <n v="223086.44890183798"/>
    <n v="0"/>
    <n v="189619.72490289033"/>
    <n v="42092.339897109669"/>
    <n v="231712.06479999999"/>
  </r>
  <r>
    <x v="0"/>
    <x v="0"/>
    <x v="0"/>
    <n v="23"/>
    <n v="8"/>
    <n v="0"/>
    <n v="20251209"/>
    <n v="20260108"/>
    <n v="206863.31419999999"/>
    <n v="31"/>
    <n v="6673.0101354838707"/>
    <n v="129647.84120787082"/>
    <n v="53384.081083870966"/>
    <n v="0"/>
    <n v="183031.92229174179"/>
    <n v="146528.44036892656"/>
    <n v="60334.873831073419"/>
    <n v="0"/>
    <n v="206863.31419999996"/>
  </r>
  <r>
    <x v="0"/>
    <x v="0"/>
    <x v="0"/>
    <n v="0"/>
    <n v="30"/>
    <n v="7"/>
    <n v="20260102"/>
    <n v="20260207"/>
    <n v="63237.487300000001"/>
    <n v="37"/>
    <n v="1709.1212783783783"/>
    <n v="0"/>
    <n v="51273.63835135135"/>
    <n v="9864.2889557240687"/>
    <n v="61137.927307075421"/>
    <n v="0"/>
    <n v="53034.445178077425"/>
    <n v="10203.042121922577"/>
    <n v="63237.487300000001"/>
  </r>
  <r>
    <x v="0"/>
    <x v="0"/>
    <x v="0"/>
    <n v="20"/>
    <n v="7"/>
    <n v="0"/>
    <n v="20251212"/>
    <n v="20260107"/>
    <n v="251.8843"/>
    <n v="27"/>
    <n v="9.3290481481481482"/>
    <n v="157.60972066058463"/>
    <n v="65.303337037037039"/>
    <n v="0"/>
    <n v="222.91305769762167"/>
    <n v="178.0937131804929"/>
    <n v="73.790586819507112"/>
    <n v="0"/>
    <n v="251.8843"/>
  </r>
  <r>
    <x v="0"/>
    <x v="0"/>
    <x v="0"/>
    <n v="0"/>
    <n v="30"/>
    <n v="6"/>
    <n v="20260102"/>
    <n v="20260206"/>
    <n v="240044.69639999999"/>
    <n v="36"/>
    <n v="6667.9082333333326"/>
    <n v="0"/>
    <n v="200037.24699999997"/>
    <n v="32986.461376853629"/>
    <n v="233023.70837685361"/>
    <n v="0"/>
    <n v="206064.35525071426"/>
    <n v="33980.341149285727"/>
    <n v="240044.69639999999"/>
  </r>
  <r>
    <x v="0"/>
    <x v="0"/>
    <x v="1"/>
    <n v="25"/>
    <n v="1"/>
    <n v="0"/>
    <n v="20251207"/>
    <n v="20260101"/>
    <n v="72026.079599999997"/>
    <n v="26"/>
    <n v="2770.2338307692307"/>
    <n v="58502.187642625373"/>
    <n v="2770.2338307692307"/>
    <n v="0"/>
    <n v="61272.421473394606"/>
    <n v="68769.653991094761"/>
    <n v="3256.4256089052401"/>
    <n v="0"/>
    <n v="72026.079599999997"/>
  </r>
  <r>
    <x v="0"/>
    <x v="0"/>
    <x v="1"/>
    <n v="0"/>
    <n v="27"/>
    <n v="5"/>
    <n v="20260105"/>
    <n v="20260205"/>
    <n v="67618.516900000002"/>
    <n v="32"/>
    <n v="2113.0786531250001"/>
    <n v="0"/>
    <n v="57053.123634374999"/>
    <n v="8711.2510823498906"/>
    <n v="65764.374716724895"/>
    <n v="0"/>
    <n v="58661.663268086471"/>
    <n v="8956.8536319135237"/>
    <n v="67618.516899999988"/>
  </r>
  <r>
    <x v="0"/>
    <x v="0"/>
    <x v="1"/>
    <n v="16"/>
    <n v="19"/>
    <n v="0"/>
    <n v="20251216"/>
    <n v="20260119"/>
    <n v="355215.603"/>
    <n v="35"/>
    <n v="10149.017228571429"/>
    <n v="137170.15883916322"/>
    <n v="192831.32734285714"/>
    <n v="0"/>
    <n v="330001.4861820204"/>
    <n v="147650.79166577963"/>
    <n v="207564.81133422034"/>
    <n v="0"/>
    <n v="355215.603"/>
  </r>
  <r>
    <x v="0"/>
    <x v="0"/>
    <x v="0"/>
    <n v="25"/>
    <n v="8"/>
    <n v="0"/>
    <n v="20251207"/>
    <n v="20260108"/>
    <n v="478497.13050000003"/>
    <n v="33"/>
    <n v="14499.913045454547"/>
    <n v="306211.20295516221"/>
    <n v="115999.30436363637"/>
    <n v="0"/>
    <n v="422210.50731879857"/>
    <n v="347033.4806953643"/>
    <n v="131463.64980463573"/>
    <n v="0"/>
    <n v="478497.13050000003"/>
  </r>
  <r>
    <x v="0"/>
    <x v="0"/>
    <x v="1"/>
    <n v="23"/>
    <n v="6"/>
    <n v="0"/>
    <n v="20251209"/>
    <n v="20260106"/>
    <n v="7138.9049999999997"/>
    <n v="29"/>
    <n v="246.16913793103447"/>
    <n v="4782.7437178689343"/>
    <n v="1477.0148275862068"/>
    <n v="0"/>
    <n v="6259.7585454551408"/>
    <n v="5454.452083619557"/>
    <n v="1684.4529163804425"/>
    <n v="0"/>
    <n v="7138.9049999999997"/>
  </r>
  <r>
    <x v="0"/>
    <x v="0"/>
    <x v="1"/>
    <n v="26"/>
    <n v="2"/>
    <n v="0"/>
    <n v="20251206"/>
    <n v="20260102"/>
    <n v="5883.8020999999999"/>
    <n v="28"/>
    <n v="210.13578928571428"/>
    <n v="4615.1842376002105"/>
    <n v="420.27157857142856"/>
    <n v="0"/>
    <n v="5035.4558161716395"/>
    <n v="5392.725445404526"/>
    <n v="491.07665459547309"/>
    <n v="0"/>
    <n v="5883.802099999999"/>
  </r>
  <r>
    <x v="0"/>
    <x v="0"/>
    <x v="1"/>
    <n v="0"/>
    <n v="30"/>
    <n v="7"/>
    <n v="20260102"/>
    <n v="20260207"/>
    <n v="8277.598"/>
    <n v="37"/>
    <n v="223.71886486486486"/>
    <n v="0"/>
    <n v="6711.5659459459457"/>
    <n v="1291.2059289130491"/>
    <n v="8002.771874858995"/>
    <n v="0"/>
    <n v="6942.0502945436183"/>
    <n v="1335.5477054563819"/>
    <n v="8277.598"/>
  </r>
  <r>
    <x v="0"/>
    <x v="0"/>
    <x v="1"/>
    <n v="24"/>
    <n v="8"/>
    <n v="0"/>
    <n v="20251208"/>
    <n v="20260108"/>
    <n v="23640.1482"/>
    <n v="32"/>
    <n v="738.75463124999999"/>
    <n v="14977.079232822503"/>
    <n v="5910.0370499999999"/>
    <n v="0"/>
    <n v="20887.116282822502"/>
    <n v="16951.137144683031"/>
    <n v="6689.0110553169689"/>
    <n v="0"/>
    <n v="23640.1482"/>
  </r>
  <r>
    <x v="0"/>
    <x v="0"/>
    <x v="0"/>
    <n v="0"/>
    <n v="26"/>
    <n v="0"/>
    <n v="20260106"/>
    <n v="20260131"/>
    <n v="2645.7186999999999"/>
    <n v="26"/>
    <n v="101.75841153846153"/>
    <n v="0"/>
    <n v="2645.7186999999999"/>
    <n v="0"/>
    <n v="2645.7186999999999"/>
    <n v="0"/>
    <n v="2645.7186999999999"/>
    <n v="0"/>
    <n v="2645.7186999999999"/>
  </r>
  <r>
    <x v="0"/>
    <x v="0"/>
    <x v="0"/>
    <n v="0"/>
    <n v="25"/>
    <n v="9"/>
    <n v="20260107"/>
    <n v="20260209"/>
    <n v="50870.796799999996"/>
    <n v="34"/>
    <n v="1496.1999058823528"/>
    <n v="0"/>
    <n v="37404.997647058823"/>
    <n v="11102.658887996055"/>
    <n v="48507.656535054877"/>
    <n v="0"/>
    <n v="39227.251335732966"/>
    <n v="11643.54546426703"/>
    <n v="50870.796799999996"/>
  </r>
  <r>
    <x v="0"/>
    <x v="0"/>
    <x v="0"/>
    <n v="28"/>
    <n v="9"/>
    <n v="0"/>
    <n v="20251204"/>
    <n v="20260109"/>
    <n v="2058.4591"/>
    <n v="37"/>
    <n v="55.634029729729733"/>
    <n v="1315.8737358786505"/>
    <n v="500.70626756756758"/>
    <n v="0"/>
    <n v="1816.5800034462181"/>
    <n v="1491.0833879773013"/>
    <n v="567.37571202269862"/>
    <n v="0"/>
    <n v="2058.4591"/>
  </r>
  <r>
    <x v="0"/>
    <x v="0"/>
    <x v="0"/>
    <n v="0"/>
    <n v="24"/>
    <n v="0"/>
    <n v="20260108"/>
    <n v="20260131"/>
    <n v="9030.3148999999994"/>
    <n v="24"/>
    <n v="376.26312083333329"/>
    <n v="0"/>
    <n v="9030.3148999999994"/>
    <n v="0"/>
    <n v="9030.3148999999994"/>
    <n v="0"/>
    <n v="9030.3148999999994"/>
    <n v="0"/>
    <n v="9030.3148999999994"/>
  </r>
  <r>
    <x v="0"/>
    <x v="0"/>
    <x v="0"/>
    <n v="0"/>
    <n v="17"/>
    <n v="0"/>
    <n v="20260104"/>
    <n v="20260120"/>
    <n v="24250.5723"/>
    <n v="17"/>
    <n v="1426.5042529411764"/>
    <n v="0"/>
    <n v="24250.5723"/>
    <n v="0"/>
    <n v="24250.5723"/>
    <n v="0"/>
    <n v="24250.5723"/>
    <n v="0"/>
    <n v="24250.5723"/>
  </r>
  <r>
    <x v="0"/>
    <x v="0"/>
    <x v="0"/>
    <n v="0"/>
    <n v="26"/>
    <n v="0"/>
    <n v="20260103"/>
    <n v="20260128"/>
    <n v="26658.3799"/>
    <n v="26"/>
    <n v="1025.3223038461538"/>
    <n v="0"/>
    <n v="26658.3799"/>
    <n v="0"/>
    <n v="26658.3799"/>
    <n v="0"/>
    <n v="26658.3799"/>
    <n v="0"/>
    <n v="26658.3799"/>
  </r>
  <r>
    <x v="0"/>
    <x v="0"/>
    <x v="0"/>
    <n v="0"/>
    <n v="29"/>
    <n v="0"/>
    <n v="20260102"/>
    <n v="20260130"/>
    <n v="4744.2671"/>
    <n v="29"/>
    <n v="163.59541724137932"/>
    <n v="0"/>
    <n v="4744.2671"/>
    <n v="0"/>
    <n v="4744.2671"/>
    <n v="0"/>
    <n v="4744.2671"/>
    <n v="0"/>
    <n v="4744.2671"/>
  </r>
  <r>
    <x v="0"/>
    <x v="0"/>
    <x v="0"/>
    <n v="26"/>
    <n v="9"/>
    <n v="0"/>
    <n v="20251206"/>
    <n v="20260109"/>
    <n v="15792.179099999999"/>
    <n v="35"/>
    <n v="451.20511714285715"/>
    <n v="9909.757645952026"/>
    <n v="4060.8460542857142"/>
    <n v="0"/>
    <n v="13970.60370023774"/>
    <n v="11201.85433216502"/>
    <n v="4590.3247678349799"/>
    <n v="0"/>
    <n v="15792.179099999999"/>
  </r>
  <r>
    <x v="0"/>
    <x v="0"/>
    <x v="0"/>
    <n v="0"/>
    <n v="28"/>
    <n v="0"/>
    <n v="20260103"/>
    <n v="20260130"/>
    <n v="9530.7433999999994"/>
    <n v="28"/>
    <n v="340.38369285714282"/>
    <n v="0"/>
    <n v="9530.7433999999994"/>
    <n v="0"/>
    <n v="9530.7433999999994"/>
    <n v="0"/>
    <n v="9530.7433999999994"/>
    <n v="0"/>
    <n v="9530.7433999999994"/>
  </r>
  <r>
    <x v="0"/>
    <x v="0"/>
    <x v="0"/>
    <n v="0"/>
    <n v="26"/>
    <n v="8"/>
    <n v="20260106"/>
    <n v="20260208"/>
    <n v="24084.9588"/>
    <n v="34"/>
    <n v="708.38114117647058"/>
    <n v="0"/>
    <n v="18417.909670588237"/>
    <n v="4672.5272425908051"/>
    <n v="23090.436913179041"/>
    <n v="0"/>
    <n v="19211.182415740877"/>
    <n v="4873.7763842591239"/>
    <n v="24084.9588"/>
  </r>
  <r>
    <x v="0"/>
    <x v="0"/>
    <x v="0"/>
    <n v="0"/>
    <n v="14"/>
    <n v="0"/>
    <n v="20260106"/>
    <n v="20260119"/>
    <n v="2139.9076"/>
    <n v="14"/>
    <n v="152.85054285714287"/>
    <n v="0"/>
    <n v="2139.9076"/>
    <n v="0"/>
    <n v="2139.9076"/>
    <n v="0"/>
    <n v="2139.9076"/>
    <n v="0"/>
    <n v="2139.9076"/>
  </r>
  <r>
    <x v="0"/>
    <x v="0"/>
    <x v="1"/>
    <n v="0"/>
    <n v="29"/>
    <n v="8"/>
    <n v="20260103"/>
    <n v="20260208"/>
    <n v="12396.845499999999"/>
    <n v="37"/>
    <n v="335.04987837837837"/>
    <n v="0"/>
    <n v="9716.4464729729734"/>
    <n v="2210.0103932039983"/>
    <n v="11926.456866176972"/>
    <n v="0"/>
    <n v="10099.670596727459"/>
    <n v="2297.1749032725411"/>
    <n v="12396.845499999999"/>
  </r>
  <r>
    <x v="0"/>
    <x v="0"/>
    <x v="0"/>
    <n v="0"/>
    <n v="12"/>
    <n v="20"/>
    <n v="20260120"/>
    <n v="20260220"/>
    <n v="126493.0034"/>
    <n v="32"/>
    <n v="3952.90635625"/>
    <n v="0"/>
    <n v="47434.876275000002"/>
    <n v="65184.056870548629"/>
    <n v="112618.93314554862"/>
    <n v="0"/>
    <n v="53278.607764624503"/>
    <n v="73214.395635375506"/>
    <n v="126493.00340000002"/>
  </r>
  <r>
    <x v="0"/>
    <x v="0"/>
    <x v="0"/>
    <n v="22"/>
    <n v="6"/>
    <n v="0"/>
    <n v="20251210"/>
    <n v="20260106"/>
    <n v="39679.243999999999"/>
    <n v="28"/>
    <n v="1417.1158571428571"/>
    <n v="26335.629736838415"/>
    <n v="8502.6951428571429"/>
    <n v="0"/>
    <n v="34838.32487969556"/>
    <n v="29995.066692506221"/>
    <n v="9684.1773074937719"/>
    <n v="0"/>
    <n v="39679.243999999992"/>
  </r>
  <r>
    <x v="0"/>
    <x v="1"/>
    <x v="0"/>
    <n v="31"/>
    <n v="7"/>
    <n v="0"/>
    <n v="20251126"/>
    <n v="20260107"/>
    <n v="771.9271"/>
    <n v="38"/>
    <n v="20.31387105263158"/>
    <n v="531.94907042072782"/>
    <n v="142.19709736842105"/>
    <n v="0"/>
    <n v="674.14616778914888"/>
    <n v="609.10515092625837"/>
    <n v="162.82194907374165"/>
    <n v="0"/>
    <n v="771.9271"/>
  </r>
  <r>
    <x v="0"/>
    <x v="0"/>
    <x v="0"/>
    <n v="16"/>
    <n v="6"/>
    <n v="0"/>
    <n v="20251216"/>
    <n v="20260106"/>
    <n v="6086.2003000000004"/>
    <n v="22"/>
    <n v="276.64546818181822"/>
    <n v="3739.0322587890764"/>
    <n v="1659.8728090909094"/>
    <n v="0"/>
    <n v="5398.9050678799858"/>
    <n v="4215.0211883773063"/>
    <n v="1871.1791116226948"/>
    <n v="0"/>
    <n v="6086.2003000000013"/>
  </r>
  <r>
    <x v="0"/>
    <x v="0"/>
    <x v="1"/>
    <n v="1"/>
    <n v="31"/>
    <n v="1"/>
    <n v="20251231"/>
    <n v="20260201"/>
    <n v="2477.3868000000002"/>
    <n v="33"/>
    <n v="75.072327272727279"/>
    <n v="63.41551861935271"/>
    <n v="2327.2421454545456"/>
    <n v="61.89773307698875"/>
    <n v="2452.5553971508871"/>
    <n v="64.057582114249456"/>
    <n v="2350.804788446565"/>
    <n v="62.524429439185951"/>
    <n v="2477.3868000000002"/>
  </r>
  <r>
    <x v="0"/>
    <x v="0"/>
    <x v="0"/>
    <n v="9"/>
    <n v="1"/>
    <n v="0"/>
    <n v="20251223"/>
    <n v="20260101"/>
    <n v="125.9807"/>
    <n v="10"/>
    <n v="12.59807"/>
    <n v="95.777213056884747"/>
    <n v="12.59807"/>
    <n v="0"/>
    <n v="108.37528305688474"/>
    <n v="111.33609070826745"/>
    <n v="14.644609291732554"/>
    <n v="0"/>
    <n v="125.9807"/>
  </r>
  <r>
    <x v="0"/>
    <x v="0"/>
    <x v="0"/>
    <n v="5"/>
    <n v="31"/>
    <n v="3"/>
    <n v="20251227"/>
    <n v="20260203"/>
    <n v="77417.805600000007"/>
    <n v="39"/>
    <n v="1985.0719384615386"/>
    <n v="8384.2056752111839"/>
    <n v="61537.230092307698"/>
    <n v="4910.122975372994"/>
    <n v="74831.558742891881"/>
    <n v="8673.9714630837061"/>
    <n v="63664.012837381648"/>
    <n v="5079.8212995346439"/>
    <n v="77417.805599999992"/>
  </r>
  <r>
    <x v="0"/>
    <x v="0"/>
    <x v="0"/>
    <n v="17"/>
    <n v="2"/>
    <n v="0"/>
    <n v="20251215"/>
    <n v="20260102"/>
    <n v="24566.232"/>
    <n v="19"/>
    <n v="1292.9595789473685"/>
    <n v="18567.333516035884"/>
    <n v="2585.9191578947371"/>
    <n v="0"/>
    <n v="21153.252673930619"/>
    <n v="21563.086765301563"/>
    <n v="3003.1452346984383"/>
    <n v="0"/>
    <n v="24566.232"/>
  </r>
  <r>
    <x v="0"/>
    <x v="0"/>
    <x v="0"/>
    <n v="6"/>
    <n v="31"/>
    <n v="2"/>
    <n v="20251226"/>
    <n v="20260202"/>
    <n v="230566.33979999999"/>
    <n v="39"/>
    <n v="5911.9574307692301"/>
    <n v="29963.891634724863"/>
    <n v="183270.68035384614"/>
    <n v="9748.9121839230284"/>
    <n v="222983.48417249403"/>
    <n v="30982.854385026974"/>
    <n v="189503.04825784283"/>
    <n v="10080.437157130174"/>
    <n v="230566.33979999996"/>
  </r>
  <r>
    <x v="0"/>
    <x v="0"/>
    <x v="0"/>
    <n v="5"/>
    <n v="29"/>
    <n v="0"/>
    <n v="20251227"/>
    <n v="20260129"/>
    <n v="461.82040000000001"/>
    <n v="34"/>
    <n v="13.582952941176471"/>
    <n v="57.369342102432178"/>
    <n v="393.90563529411764"/>
    <n v="0"/>
    <n v="451.27497739654984"/>
    <n v="58.709952566682304"/>
    <n v="403.11044743331769"/>
    <n v="0"/>
    <n v="461.82040000000001"/>
  </r>
  <r>
    <x v="0"/>
    <x v="0"/>
    <x v="1"/>
    <n v="9"/>
    <n v="2"/>
    <n v="0"/>
    <n v="20251223"/>
    <n v="20260102"/>
    <n v="41.989600000000003"/>
    <n v="11"/>
    <n v="3.817236363636364"/>
    <n v="29.020656377404471"/>
    <n v="7.634472727272728"/>
    <n v="0"/>
    <n v="36.655129104677201"/>
    <n v="33.244072051820268"/>
    <n v="8.7455279481797366"/>
    <n v="0"/>
    <n v="41.989600000000003"/>
  </r>
  <r>
    <x v="0"/>
    <x v="0"/>
    <x v="0"/>
    <n v="19"/>
    <n v="2"/>
    <n v="0"/>
    <n v="20251213"/>
    <n v="20260102"/>
    <n v="335.988"/>
    <n v="21"/>
    <n v="15.999428571428572"/>
    <n v="256.78741887014218"/>
    <n v="31.998857142857144"/>
    <n v="0"/>
    <n v="288.78627601299934"/>
    <n v="298.75897318423006"/>
    <n v="37.22902681576992"/>
    <n v="0"/>
    <n v="335.988"/>
  </r>
  <r>
    <x v="0"/>
    <x v="0"/>
    <x v="0"/>
    <n v="21"/>
    <n v="4"/>
    <n v="0"/>
    <n v="20251211"/>
    <n v="20260104"/>
    <n v="419.91579999999999"/>
    <n v="25"/>
    <n v="16.796631999999999"/>
    <n v="297.95945495129058"/>
    <n v="67.186527999999996"/>
    <n v="0"/>
    <n v="365.14598295129059"/>
    <n v="342.6516755905966"/>
    <n v="77.264124409403365"/>
    <n v="0"/>
    <n v="419.91579999999999"/>
  </r>
  <r>
    <x v="0"/>
    <x v="0"/>
    <x v="0"/>
    <n v="21"/>
    <n v="3"/>
    <n v="0"/>
    <n v="20251211"/>
    <n v="20260103"/>
    <n v="6299.3302999999996"/>
    <n v="24"/>
    <n v="262.4720958333333"/>
    <n v="4656.0550123633657"/>
    <n v="787.41628749999995"/>
    <n v="0"/>
    <n v="5443.4712998633659"/>
    <n v="5388.1111522685205"/>
    <n v="911.21914773147876"/>
    <n v="0"/>
    <n v="6299.3302999999996"/>
  </r>
  <r>
    <x v="0"/>
    <x v="0"/>
    <x v="0"/>
    <n v="12"/>
    <n v="7"/>
    <n v="0"/>
    <n v="20251220"/>
    <n v="20260107"/>
    <n v="3022.2555000000002"/>
    <n v="19"/>
    <n v="159.06607894736842"/>
    <n v="1612.4063165723378"/>
    <n v="1113.462552631579"/>
    <n v="0"/>
    <n v="2725.8688692039168"/>
    <n v="1787.7249758968292"/>
    <n v="1234.530524103171"/>
    <n v="0"/>
    <n v="3022.2555000000002"/>
  </r>
  <r>
    <x v="0"/>
    <x v="0"/>
    <x v="0"/>
    <n v="0"/>
    <n v="17"/>
    <n v="2"/>
    <n v="20260115"/>
    <n v="20260202"/>
    <n v="4119.9204"/>
    <n v="19"/>
    <n v="216.83791578947367"/>
    <n v="0"/>
    <n v="3686.2445684210525"/>
    <n v="357.56918481421178"/>
    <n v="4043.8137532352644"/>
    <n v="0"/>
    <n v="3755.6215799198617"/>
    <n v="364.29882008013806"/>
    <n v="4119.9204"/>
  </r>
  <r>
    <x v="0"/>
    <x v="0"/>
    <x v="0"/>
    <n v="0"/>
    <n v="17"/>
    <n v="5"/>
    <n v="20260115"/>
    <n v="20260205"/>
    <n v="715.01610000000005"/>
    <n v="22"/>
    <n v="32.500731818181819"/>
    <n v="0"/>
    <n v="552.51244090909097"/>
    <n v="133.98556405347003"/>
    <n v="686.49800496256103"/>
    <n v="0"/>
    <n v="575.46458670603647"/>
    <n v="139.55151329396361"/>
    <n v="715.01610000000005"/>
  </r>
  <r>
    <x v="0"/>
    <x v="0"/>
    <x v="1"/>
    <n v="0"/>
    <n v="9"/>
    <n v="1"/>
    <n v="20260123"/>
    <n v="20260201"/>
    <n v="2397.3505"/>
    <n v="10"/>
    <n v="239.73505"/>
    <n v="0"/>
    <n v="2157.6154500000002"/>
    <n v="197.66346233266933"/>
    <n v="2355.2789123326697"/>
    <n v="0"/>
    <n v="2196.1562389833134"/>
    <n v="201.1942610166862"/>
    <n v="2397.3504999999996"/>
  </r>
  <r>
    <x v="0"/>
    <x v="0"/>
    <x v="0"/>
    <n v="30"/>
    <n v="1"/>
    <n v="0"/>
    <n v="20251202"/>
    <n v="20260101"/>
    <n v="20951472.449999999"/>
    <n v="31"/>
    <n v="675853.95"/>
    <n v="17127334.521474883"/>
    <n v="675853.95"/>
    <n v="0"/>
    <n v="17803188.471474882"/>
    <n v="20156101.697376855"/>
    <n v="795370.752623145"/>
    <n v="0"/>
    <n v="20951472.449999999"/>
  </r>
  <r>
    <x v="0"/>
    <x v="0"/>
    <x v="0"/>
    <n v="0"/>
    <n v="29"/>
    <n v="1"/>
    <n v="20260103"/>
    <n v="20260201"/>
    <n v="7313198.8673"/>
    <n v="30"/>
    <n v="243773.29557666666"/>
    <n v="0"/>
    <n v="7069425.5717233326"/>
    <n v="200993.02804462306"/>
    <n v="7270418.599767956"/>
    <n v="0"/>
    <n v="7111023.165191452"/>
    <n v="202175.70210854823"/>
    <n v="7313198.8673"/>
  </r>
  <r>
    <x v="0"/>
    <x v="0"/>
    <x v="1"/>
    <n v="14"/>
    <n v="16"/>
    <n v="0"/>
    <n v="20251218"/>
    <n v="20260116"/>
    <n v="527017.22679999995"/>
    <n v="30"/>
    <n v="17567.240893333332"/>
    <n v="207752.97974719465"/>
    <n v="281075.85429333331"/>
    <n v="0"/>
    <n v="488828.83404052793"/>
    <n v="223983.10333045022"/>
    <n v="303034.1234695497"/>
    <n v="0"/>
    <n v="527017.22679999995"/>
  </r>
  <r>
    <x v="0"/>
    <x v="0"/>
    <x v="1"/>
    <n v="0"/>
    <n v="30"/>
    <n v="2"/>
    <n v="20260102"/>
    <n v="20260202"/>
    <n v="1021131.3975"/>
    <n v="32"/>
    <n v="31910.356171874999"/>
    <n v="0"/>
    <n v="957310.68515624991"/>
    <n v="52620.686755661933"/>
    <n v="1009931.3719119119"/>
    <n v="0"/>
    <n v="967927.15323288995"/>
    <n v="53204.244267109934"/>
    <n v="1021131.3974999998"/>
  </r>
  <r>
    <x v="0"/>
    <x v="0"/>
    <x v="0"/>
    <n v="0"/>
    <n v="25"/>
    <n v="5"/>
    <n v="20260107"/>
    <n v="20260205"/>
    <n v="4415441.5921"/>
    <n v="30"/>
    <n v="147181.38640333334"/>
    <n v="0"/>
    <n v="3679534.6600833335"/>
    <n v="606761.13958733459"/>
    <n v="4286295.7996706683"/>
    <n v="0"/>
    <n v="3790398.7818465037"/>
    <n v="625042.81025349617"/>
    <n v="4415441.5921"/>
  </r>
  <r>
    <x v="0"/>
    <x v="0"/>
    <x v="0"/>
    <n v="27"/>
    <n v="1"/>
    <n v="0"/>
    <n v="20251205"/>
    <n v="20260101"/>
    <n v="1452250.527"/>
    <n v="28"/>
    <n v="51866.090250000001"/>
    <n v="1182940.6193889689"/>
    <n v="51866.090250000001"/>
    <n v="0"/>
    <n v="1234806.7096389688"/>
    <n v="1391251.05533288"/>
    <n v="60999.471667120088"/>
    <n v="0"/>
    <n v="1452250.527"/>
  </r>
  <r>
    <x v="0"/>
    <x v="0"/>
    <x v="0"/>
    <n v="30"/>
    <n v="4"/>
    <n v="0"/>
    <n v="20251202"/>
    <n v="20260104"/>
    <n v="1930822.6786"/>
    <n v="34"/>
    <n v="56788.902311764708"/>
    <n v="1439131.2309426505"/>
    <n v="227155.60924705883"/>
    <n v="0"/>
    <n v="1666286.8401897093"/>
    <n v="1667604.3710872992"/>
    <n v="263218.30751270056"/>
    <n v="0"/>
    <n v="1930822.6785999998"/>
  </r>
  <r>
    <x v="0"/>
    <x v="0"/>
    <x v="1"/>
    <n v="26"/>
    <n v="5"/>
    <n v="0"/>
    <n v="20251206"/>
    <n v="20260105"/>
    <n v="634867.20250000001"/>
    <n v="31"/>
    <n v="20479.587177419355"/>
    <n v="449790.43434278417"/>
    <n v="102397.93588709677"/>
    <n v="0"/>
    <n v="552188.37022988091"/>
    <n v="517137.28531367535"/>
    <n v="117729.9171863247"/>
    <n v="0"/>
    <n v="634867.20250000001"/>
  </r>
  <r>
    <x v="0"/>
    <x v="0"/>
    <x v="1"/>
    <n v="0"/>
    <n v="25"/>
    <n v="5"/>
    <n v="20260107"/>
    <n v="20260205"/>
    <n v="841098.94889999996"/>
    <n v="30"/>
    <n v="28036.63163"/>
    <n v="0"/>
    <n v="700915.79075000004"/>
    <n v="115582.13286149502"/>
    <n v="816497.92361149506"/>
    <n v="0"/>
    <n v="722034.33446543734"/>
    <n v="119064.61443456259"/>
    <n v="841098.94889999996"/>
  </r>
  <r>
    <x v="0"/>
    <x v="0"/>
    <x v="1"/>
    <n v="0"/>
    <n v="26"/>
    <n v="5"/>
    <n v="20260106"/>
    <n v="20260205"/>
    <n v="759416.48930000002"/>
    <n v="31"/>
    <n v="24497.306106451615"/>
    <n v="0"/>
    <n v="636929.95876774203"/>
    <n v="100991.12213304789"/>
    <n v="737921.08090078994"/>
    <n v="0"/>
    <n v="655483.52762457938"/>
    <n v="103932.96167542061"/>
    <n v="759416.48930000002"/>
  </r>
  <r>
    <x v="0"/>
    <x v="0"/>
    <x v="0"/>
    <n v="0"/>
    <n v="16"/>
    <n v="20"/>
    <n v="20260116"/>
    <n v="20260220"/>
    <n v="568810.85719999997"/>
    <n v="36"/>
    <n v="15800.301588888888"/>
    <n v="0"/>
    <n v="252804.8254222222"/>
    <n v="260549.49561694494"/>
    <n v="513354.32103916712"/>
    <n v="0"/>
    <n v="280114.7736744954"/>
    <n v="288696.08352550457"/>
    <n v="568810.85719999997"/>
  </r>
  <r>
    <x v="0"/>
    <x v="0"/>
    <x v="1"/>
    <n v="0"/>
    <n v="30"/>
    <n v="5"/>
    <n v="20260102"/>
    <n v="20260205"/>
    <n v="98656.563500000004"/>
    <n v="35"/>
    <n v="2818.7589571428571"/>
    <n v="0"/>
    <n v="84562.768714285718"/>
    <n v="11620.446299989955"/>
    <n v="96183.215014275673"/>
    <n v="0"/>
    <n v="86737.297772366102"/>
    <n v="11919.265727633907"/>
    <n v="98656.563500000004"/>
  </r>
  <r>
    <x v="0"/>
    <x v="0"/>
    <x v="1"/>
    <n v="0"/>
    <n v="24"/>
    <n v="3"/>
    <n v="20260108"/>
    <n v="20260203"/>
    <n v="386576.5931"/>
    <n v="27"/>
    <n v="14317.651596296297"/>
    <n v="0"/>
    <n v="343623.63831111114"/>
    <n v="35415.054081538714"/>
    <n v="379038.69239264983"/>
    <n v="0"/>
    <n v="350457.24374051241"/>
    <n v="36119.349359487635"/>
    <n v="386576.59310000006"/>
  </r>
  <r>
    <x v="0"/>
    <x v="0"/>
    <x v="1"/>
    <n v="28"/>
    <n v="2"/>
    <n v="0"/>
    <n v="20251204"/>
    <n v="20260102"/>
    <n v="975770.3186"/>
    <n v="30"/>
    <n v="32525.677286666665"/>
    <n v="769307.64661683538"/>
    <n v="65051.35457333333"/>
    <n v="0"/>
    <n v="834359.00119016867"/>
    <n v="899693.73659292748"/>
    <n v="76076.582007072575"/>
    <n v="0"/>
    <n v="975770.31860000012"/>
  </r>
  <r>
    <x v="0"/>
    <x v="0"/>
    <x v="1"/>
    <n v="14"/>
    <n v="15"/>
    <n v="0"/>
    <n v="20251218"/>
    <n v="20260115"/>
    <n v="814419.59629999998"/>
    <n v="29"/>
    <n v="28083.434355172412"/>
    <n v="332119.15315830463"/>
    <n v="421251.51532758621"/>
    <n v="0"/>
    <n v="753370.66848589084"/>
    <n v="359032.22404755722"/>
    <n v="455387.37225244276"/>
    <n v="0"/>
    <n v="814419.59629999998"/>
  </r>
  <r>
    <x v="0"/>
    <x v="0"/>
    <x v="1"/>
    <n v="0"/>
    <n v="16"/>
    <n v="20"/>
    <n v="20260116"/>
    <n v="20260220"/>
    <n v="952855.64339999994"/>
    <n v="36"/>
    <n v="26468.212316666664"/>
    <n v="0"/>
    <n v="423491.39706666663"/>
    <n v="436465.04658109322"/>
    <n v="859956.44364775985"/>
    <n v="0"/>
    <n v="469240.23955753824"/>
    <n v="483615.4038424617"/>
    <n v="952855.64339999994"/>
  </r>
  <r>
    <x v="0"/>
    <x v="0"/>
    <x v="0"/>
    <n v="25"/>
    <n v="1"/>
    <n v="0"/>
    <n v="20251207"/>
    <n v="20260101"/>
    <n v="362231.50880000001"/>
    <n v="26"/>
    <n v="13931.981107692309"/>
    <n v="294217.53641980683"/>
    <n v="13931.981107692309"/>
    <n v="0"/>
    <n v="308149.51752749912"/>
    <n v="345854.38584454346"/>
    <n v="16377.122955456594"/>
    <n v="0"/>
    <n v="362231.50880000007"/>
  </r>
  <r>
    <x v="0"/>
    <x v="0"/>
    <x v="0"/>
    <n v="28"/>
    <n v="1"/>
    <n v="0"/>
    <n v="20251204"/>
    <n v="20260101"/>
    <n v="3415941.4213999999"/>
    <n v="29"/>
    <n v="117791.08349655171"/>
    <n v="2786032.1074490417"/>
    <n v="117791.08349655171"/>
    <n v="0"/>
    <n v="2903823.1909455932"/>
    <n v="3277376.7035335414"/>
    <n v="138564.71786645902"/>
    <n v="0"/>
    <n v="3415941.4214000003"/>
  </r>
  <r>
    <x v="0"/>
    <x v="0"/>
    <x v="1"/>
    <n v="0"/>
    <n v="24"/>
    <n v="5"/>
    <n v="20260108"/>
    <n v="20260205"/>
    <n v="193480.10810000001"/>
    <n v="29"/>
    <n v="6671.7278655172422"/>
    <n v="0"/>
    <n v="160121.46877241382"/>
    <n v="27504.464400167763"/>
    <n v="187625.93317258157"/>
    <n v="0"/>
    <n v="165117.46837640597"/>
    <n v="28362.639723594028"/>
    <n v="193480.10810000001"/>
  </r>
  <r>
    <x v="0"/>
    <x v="0"/>
    <x v="0"/>
    <n v="0"/>
    <n v="24"/>
    <n v="3"/>
    <n v="20260108"/>
    <n v="20260203"/>
    <n v="1025510.8744"/>
    <n v="27"/>
    <n v="37981.884237037033"/>
    <n v="0"/>
    <n v="911565.22168888873"/>
    <n v="93949.100194711311"/>
    <n v="1005514.3218836001"/>
    <n v="0"/>
    <n v="929693.41880246066"/>
    <n v="95817.455597539214"/>
    <n v="1025510.8743999999"/>
  </r>
  <r>
    <x v="0"/>
    <x v="0"/>
    <x v="0"/>
    <n v="15"/>
    <n v="15"/>
    <n v="0"/>
    <n v="20251217"/>
    <n v="20260115"/>
    <n v="1420126.3644000001"/>
    <n v="30"/>
    <n v="47337.545480000001"/>
    <n v="599808.56578665506"/>
    <n v="710063.18220000004"/>
    <n v="0"/>
    <n v="1309871.7479866552"/>
    <n v="650295.69435011491"/>
    <n v="769830.67004988506"/>
    <n v="0"/>
    <n v="1420126.3643999998"/>
  </r>
  <r>
    <x v="0"/>
    <x v="0"/>
    <x v="0"/>
    <n v="0"/>
    <n v="28"/>
    <n v="5"/>
    <n v="20260104"/>
    <n v="20260205"/>
    <n v="1198767.7779999999"/>
    <n v="33"/>
    <n v="36326.2963030303"/>
    <n v="0"/>
    <n v="1017136.2964848484"/>
    <n v="149756.6063239275"/>
    <n v="1166892.9028087759"/>
    <n v="0"/>
    <n v="1044920.4165398071"/>
    <n v="153847.36146019274"/>
    <n v="1198767.7779999999"/>
  </r>
  <r>
    <x v="0"/>
    <x v="0"/>
    <x v="0"/>
    <n v="0"/>
    <n v="29"/>
    <n v="5"/>
    <n v="20260103"/>
    <n v="20260205"/>
    <n v="588635.22"/>
    <n v="34"/>
    <n v="17312.800588235292"/>
    <n v="0"/>
    <n v="502071.21705882344"/>
    <n v="71372.71139421752"/>
    <n v="573443.92845304101"/>
    <n v="0"/>
    <n v="515371.7506545884"/>
    <n v="73263.469345411533"/>
    <n v="588635.22"/>
  </r>
  <r>
    <x v="0"/>
    <x v="0"/>
    <x v="0"/>
    <n v="0"/>
    <n v="30"/>
    <n v="9"/>
    <n v="20260102"/>
    <n v="20260209"/>
    <n v="20971.551800000001"/>
    <n v="39"/>
    <n v="537.73209743589746"/>
    <n v="0"/>
    <n v="16131.962923076924"/>
    <n v="3990.2796594794545"/>
    <n v="20122.242582556377"/>
    <n v="0"/>
    <n v="16812.852478493834"/>
    <n v="4158.6993215061684"/>
    <n v="20971.551800000001"/>
  </r>
  <r>
    <x v="0"/>
    <x v="0"/>
    <x v="1"/>
    <n v="0"/>
    <n v="27"/>
    <n v="3"/>
    <n v="20260105"/>
    <n v="20260203"/>
    <n v="124791.3091"/>
    <n v="30"/>
    <n v="4159.7103033333333"/>
    <n v="0"/>
    <n v="112312.17819000001"/>
    <n v="10289.143045930223"/>
    <n v="122601.32123593023"/>
    <n v="0"/>
    <n v="114318.37440994139"/>
    <n v="10472.934690058617"/>
    <n v="124791.30910000001"/>
  </r>
  <r>
    <x v="0"/>
    <x v="0"/>
    <x v="0"/>
    <n v="0"/>
    <n v="27"/>
    <n v="1"/>
    <n v="20260105"/>
    <n v="20260201"/>
    <n v="887932.07129999995"/>
    <n v="28"/>
    <n v="31711.859689285713"/>
    <n v="0"/>
    <n v="856220.21161071421"/>
    <n v="26146.681443501988"/>
    <n v="882366.89305421617"/>
    <n v="0"/>
    <n v="861620.48006226809"/>
    <n v="26311.591237731853"/>
    <n v="887932.07129999995"/>
  </r>
  <r>
    <x v="0"/>
    <x v="0"/>
    <x v="1"/>
    <n v="28"/>
    <n v="7"/>
    <n v="0"/>
    <n v="20251204"/>
    <n v="20260107"/>
    <n v="129791.36500000001"/>
    <n v="35"/>
    <n v="3708.3247142857144"/>
    <n v="87710.473595815463"/>
    <n v="25958.273000000001"/>
    <n v="0"/>
    <n v="113668.74659581546"/>
    <n v="100151.20632302665"/>
    <n v="29640.158676973355"/>
    <n v="0"/>
    <n v="129791.36500000001"/>
  </r>
  <r>
    <x v="0"/>
    <x v="0"/>
    <x v="0"/>
    <n v="27"/>
    <n v="2"/>
    <n v="0"/>
    <n v="20251205"/>
    <n v="20260102"/>
    <n v="1399710.9223"/>
    <n v="29"/>
    <n v="48265.893872413792"/>
    <n v="1100828.8096825536"/>
    <n v="96531.787744827583"/>
    <n v="0"/>
    <n v="1197360.5974273812"/>
    <n v="1286865.5539574234"/>
    <n v="112845.36834257664"/>
    <n v="0"/>
    <n v="1399710.9223"/>
  </r>
  <r>
    <x v="0"/>
    <x v="0"/>
    <x v="1"/>
    <n v="0"/>
    <n v="5"/>
    <n v="0"/>
    <n v="20260103"/>
    <n v="20260107"/>
    <n v="2766.4875999999999"/>
    <n v="5"/>
    <n v="553.29751999999996"/>
    <n v="0"/>
    <n v="2766.4875999999999"/>
    <n v="0"/>
    <n v="2766.4875999999999"/>
    <n v="0"/>
    <n v="2766.4875999999999"/>
    <n v="0"/>
    <n v="2766.4875999999999"/>
  </r>
  <r>
    <x v="0"/>
    <x v="0"/>
    <x v="1"/>
    <n v="0"/>
    <n v="30"/>
    <n v="8"/>
    <n v="20260102"/>
    <n v="20260208"/>
    <n v="21472.8478"/>
    <n v="38"/>
    <n v="565.07494210526318"/>
    <n v="0"/>
    <n v="16952.248263157897"/>
    <n v="3727.2704023532306"/>
    <n v="20679.518665511128"/>
    <n v="0"/>
    <n v="17602.587986232833"/>
    <n v="3870.2598137671635"/>
    <n v="21472.847799999996"/>
  </r>
  <r>
    <x v="0"/>
    <x v="0"/>
    <x v="0"/>
    <n v="0"/>
    <n v="16"/>
    <n v="16"/>
    <n v="20260116"/>
    <n v="20260216"/>
    <n v="441686.31459999998"/>
    <n v="32"/>
    <n v="13802.697331249999"/>
    <n v="0"/>
    <n v="220843.15729999999"/>
    <n v="182086.94600308262"/>
    <n v="402930.10330308264"/>
    <n v="0"/>
    <n v="242085.16428243456"/>
    <n v="199601.15031756542"/>
    <n v="441686.31459999998"/>
  </r>
  <r>
    <x v="0"/>
    <x v="0"/>
    <x v="1"/>
    <n v="0"/>
    <n v="24"/>
    <n v="9"/>
    <n v="20260108"/>
    <n v="20260209"/>
    <n v="34183.3439"/>
    <n v="33"/>
    <n v="1035.8589060606062"/>
    <n v="0"/>
    <n v="24860.613745454546"/>
    <n v="7686.6654281075553"/>
    <n v="32547.279173562099"/>
    <n v="0"/>
    <n v="26110.290346980557"/>
    <n v="8073.0535530194447"/>
    <n v="34183.3439"/>
  </r>
  <r>
    <x v="0"/>
    <x v="0"/>
    <x v="0"/>
    <n v="0"/>
    <n v="22"/>
    <n v="5"/>
    <n v="20260110"/>
    <n v="20260205"/>
    <n v="9797.3932999999997"/>
    <n v="27"/>
    <n v="362.86641851851851"/>
    <n v="0"/>
    <n v="7983.061207407407"/>
    <n v="1495.9312926630002"/>
    <n v="9478.9925000704079"/>
    <n v="0"/>
    <n v="8251.2134476699175"/>
    <n v="1546.1798523300818"/>
    <n v="9797.3932999999997"/>
  </r>
  <r>
    <x v="0"/>
    <x v="0"/>
    <x v="0"/>
    <n v="0"/>
    <n v="29"/>
    <n v="0"/>
    <n v="20260103"/>
    <n v="20260131"/>
    <n v="12344.072700000001"/>
    <n v="29"/>
    <n v="425.65767931034486"/>
    <n v="0"/>
    <n v="12344.072700000001"/>
    <n v="0"/>
    <n v="12344.072700000001"/>
    <n v="0"/>
    <n v="12344.072700000001"/>
    <n v="0"/>
    <n v="12344.072700000001"/>
  </r>
  <r>
    <x v="0"/>
    <x v="0"/>
    <x v="0"/>
    <n v="24"/>
    <n v="7"/>
    <n v="0"/>
    <n v="20251208"/>
    <n v="20260107"/>
    <n v="225678.69649999999"/>
    <n v="31"/>
    <n v="7279.9579516129033"/>
    <n v="147589.60883728831"/>
    <n v="50959.705661290325"/>
    <n v="0"/>
    <n v="198549.31449857863"/>
    <n v="167755.958379713"/>
    <n v="57922.738120286987"/>
    <n v="0"/>
    <n v="225678.69649999999"/>
  </r>
  <r>
    <x v="0"/>
    <x v="0"/>
    <x v="0"/>
    <n v="0"/>
    <n v="20"/>
    <n v="0"/>
    <n v="20260102"/>
    <n v="20260121"/>
    <n v="14224.0915"/>
    <n v="20"/>
    <n v="711.20457499999998"/>
    <n v="0"/>
    <n v="14224.091499999999"/>
    <n v="0"/>
    <n v="14224.091499999999"/>
    <n v="0"/>
    <n v="14224.0915"/>
    <n v="0"/>
    <n v="14224.0915"/>
  </r>
  <r>
    <x v="0"/>
    <x v="0"/>
    <x v="0"/>
    <n v="0"/>
    <n v="22"/>
    <n v="0"/>
    <n v="20260103"/>
    <n v="20260124"/>
    <n v="2560.2206999999999"/>
    <n v="22"/>
    <n v="116.37366818181818"/>
    <n v="0"/>
    <n v="2560.2206999999999"/>
    <n v="0"/>
    <n v="2560.2206999999999"/>
    <n v="0"/>
    <n v="2560.2206999999999"/>
    <n v="0"/>
    <n v="2560.2206999999999"/>
  </r>
  <r>
    <x v="0"/>
    <x v="0"/>
    <x v="1"/>
    <n v="0"/>
    <n v="13"/>
    <n v="19"/>
    <n v="20260119"/>
    <n v="20260219"/>
    <n v="12421.3331"/>
    <n v="32"/>
    <n v="388.16665937499999"/>
    <n v="0"/>
    <n v="5046.166571875"/>
    <n v="6080.8836723257591"/>
    <n v="11127.05024420076"/>
    <n v="0"/>
    <n v="5633.1295798733663"/>
    <n v="6788.2035201266326"/>
    <n v="12421.3331"/>
  </r>
  <r>
    <x v="0"/>
    <x v="0"/>
    <x v="1"/>
    <n v="16"/>
    <n v="18"/>
    <n v="0"/>
    <n v="20251216"/>
    <n v="20260118"/>
    <n v="6967.4522999999999"/>
    <n v="34"/>
    <n v="204.92506764705882"/>
    <n v="2769.6872954495934"/>
    <n v="3688.6512176470587"/>
    <n v="0"/>
    <n v="6458.3385130966526"/>
    <n v="2988.0230151807541"/>
    <n v="3979.4292848192449"/>
    <n v="0"/>
    <n v="6967.452299999999"/>
  </r>
  <r>
    <x v="0"/>
    <x v="0"/>
    <x v="1"/>
    <n v="25"/>
    <n v="4"/>
    <n v="0"/>
    <n v="20251207"/>
    <n v="20260104"/>
    <n v="4495.2141000000001"/>
    <n v="29"/>
    <n v="155.00738275862071"/>
    <n v="3273.4677092651887"/>
    <n v="620.02953103448283"/>
    <n v="0"/>
    <n v="3893.4972402996714"/>
    <n v="3779.3626897372633"/>
    <n v="715.85141026273709"/>
    <n v="0"/>
    <n v="4495.2141000000001"/>
  </r>
  <r>
    <x v="0"/>
    <x v="0"/>
    <x v="0"/>
    <n v="0"/>
    <n v="18"/>
    <n v="0"/>
    <n v="20260102"/>
    <n v="20260119"/>
    <n v="2936.5747000000001"/>
    <n v="18"/>
    <n v="163.1430388888889"/>
    <n v="0"/>
    <n v="2936.5747000000001"/>
    <n v="0"/>
    <n v="2936.5747000000001"/>
    <n v="0"/>
    <n v="2936.5747000000001"/>
    <n v="0"/>
    <n v="2936.5747000000001"/>
  </r>
  <r>
    <x v="0"/>
    <x v="0"/>
    <x v="0"/>
    <n v="30"/>
    <n v="9"/>
    <n v="0"/>
    <n v="20251202"/>
    <n v="20260109"/>
    <n v="17519.555700000001"/>
    <n v="39"/>
    <n v="449.21937692307694"/>
    <n v="11384.013575847344"/>
    <n v="4042.9743923076926"/>
    <n v="0"/>
    <n v="15426.987968155037"/>
    <n v="12928.178873498255"/>
    <n v="4591.3768265017452"/>
    <n v="0"/>
    <n v="17519.555700000001"/>
  </r>
  <r>
    <x v="0"/>
    <x v="0"/>
    <x v="1"/>
    <n v="0"/>
    <n v="25"/>
    <n v="9"/>
    <n v="20260107"/>
    <n v="20260209"/>
    <n v="42372.300999999999"/>
    <n v="34"/>
    <n v="1246.2441470588235"/>
    <n v="0"/>
    <n v="31156.103676470586"/>
    <n v="9247.8442229254433"/>
    <n v="40403.947899396029"/>
    <n v="0"/>
    <n v="32673.93093006024"/>
    <n v="9698.3700699397632"/>
    <n v="42372.301000000007"/>
  </r>
  <r>
    <x v="0"/>
    <x v="0"/>
    <x v="1"/>
    <n v="0"/>
    <n v="27"/>
    <n v="8"/>
    <n v="20260105"/>
    <n v="20260208"/>
    <n v="672.46609999999998"/>
    <n v="35"/>
    <n v="19.213317142857143"/>
    <n v="0"/>
    <n v="518.7595628571429"/>
    <n v="126.73226678711427"/>
    <n v="645.49182964425722"/>
    <n v="0"/>
    <n v="540.43785537069402"/>
    <n v="132.02824462930593"/>
    <n v="672.46609999999998"/>
  </r>
  <r>
    <x v="0"/>
    <x v="0"/>
    <x v="0"/>
    <n v="0"/>
    <n v="14"/>
    <n v="0"/>
    <n v="20260107"/>
    <n v="20260120"/>
    <n v="125.9036"/>
    <n v="14"/>
    <n v="8.9931142857142863"/>
    <n v="0"/>
    <n v="125.90360000000001"/>
    <n v="0"/>
    <n v="125.90360000000001"/>
    <n v="0"/>
    <n v="125.9036"/>
    <n v="0"/>
    <n v="125.9036"/>
  </r>
  <r>
    <x v="0"/>
    <x v="0"/>
    <x v="0"/>
    <n v="0"/>
    <n v="27"/>
    <n v="8"/>
    <n v="20260105"/>
    <n v="20260208"/>
    <n v="2311.6024000000002"/>
    <n v="35"/>
    <n v="66.045782857142868"/>
    <n v="0"/>
    <n v="1783.2361371428574"/>
    <n v="435.64220123889322"/>
    <n v="2218.8783383817508"/>
    <n v="0"/>
    <n v="1857.7552735011463"/>
    <n v="453.84712649885364"/>
    <n v="2311.6023999999998"/>
  </r>
  <r>
    <x v="0"/>
    <x v="0"/>
    <x v="0"/>
    <n v="23"/>
    <n v="3"/>
    <n v="0"/>
    <n v="20251209"/>
    <n v="20260103"/>
    <n v="8947.1538"/>
    <n v="26"/>
    <n v="344.12130000000002"/>
    <n v="6685.8258496277558"/>
    <n v="1032.3639000000001"/>
    <n v="0"/>
    <n v="7718.1897496277561"/>
    <n v="7750.4070380648836"/>
    <n v="1196.746761935116"/>
    <n v="0"/>
    <n v="8947.1538"/>
  </r>
  <r>
    <x v="0"/>
    <x v="0"/>
    <x v="0"/>
    <n v="0"/>
    <n v="26"/>
    <n v="0"/>
    <n v="20260102"/>
    <n v="20260127"/>
    <n v="73802.092399999994"/>
    <n v="26"/>
    <n v="2838.5420153846153"/>
    <n v="0"/>
    <n v="73802.092399999994"/>
    <n v="0"/>
    <n v="73802.092399999994"/>
    <n v="0"/>
    <n v="73802.092399999994"/>
    <n v="0"/>
    <n v="73802.092399999994"/>
  </r>
  <r>
    <x v="0"/>
    <x v="0"/>
    <x v="0"/>
    <n v="0"/>
    <n v="16"/>
    <n v="17"/>
    <n v="20260116"/>
    <n v="20260217"/>
    <n v="293705.52140000003"/>
    <n v="33"/>
    <n v="8900.1673151515151"/>
    <n v="0"/>
    <n v="142402.67704242424"/>
    <n v="124750.40289894782"/>
    <n v="267153.07994137204"/>
    <n v="0"/>
    <n v="156556.13073478168"/>
    <n v="137149.39066521835"/>
    <n v="293705.52140000003"/>
  </r>
  <r>
    <x v="0"/>
    <x v="0"/>
    <x v="1"/>
    <n v="0"/>
    <n v="23"/>
    <n v="9"/>
    <n v="20260109"/>
    <n v="20260209"/>
    <n v="7737.7245999999996"/>
    <n v="32"/>
    <n v="241.80389374999999"/>
    <n v="0"/>
    <n v="5561.4895562499996"/>
    <n v="1794.3231646657969"/>
    <n v="7355.8127209157965"/>
    <n v="0"/>
    <n v="5850.2406443378122"/>
    <n v="1887.4839556621876"/>
    <n v="7737.7245999999996"/>
  </r>
  <r>
    <x v="0"/>
    <x v="0"/>
    <x v="0"/>
    <n v="0"/>
    <n v="29"/>
    <n v="9"/>
    <n v="20260103"/>
    <n v="20260209"/>
    <n v="22527.615900000001"/>
    <n v="38"/>
    <n v="592.83199736842107"/>
    <n v="0"/>
    <n v="17192.127923684209"/>
    <n v="4399.1524252832705"/>
    <n v="21591.280348967481"/>
    <n v="0"/>
    <n v="17937.688182856808"/>
    <n v="4589.9277171431922"/>
    <n v="22527.615900000001"/>
  </r>
  <r>
    <x v="0"/>
    <x v="0"/>
    <x v="0"/>
    <n v="0"/>
    <n v="10"/>
    <n v="0"/>
    <n v="20260107"/>
    <n v="20260116"/>
    <n v="1888.4649999999999"/>
    <n v="10"/>
    <n v="188.84649999999999"/>
    <n v="0"/>
    <n v="1888.4649999999999"/>
    <n v="0"/>
    <n v="1888.4649999999999"/>
    <n v="0"/>
    <n v="1888.4649999999999"/>
    <n v="0"/>
    <n v="1888.4649999999999"/>
  </r>
  <r>
    <x v="0"/>
    <x v="0"/>
    <x v="1"/>
    <n v="30"/>
    <n v="12"/>
    <n v="0"/>
    <n v="20251202"/>
    <n v="20260112"/>
    <n v="84.030600000000007"/>
    <n v="42"/>
    <n v="2.0007285714285716"/>
    <n v="50.702000823594659"/>
    <n v="24.00874285714286"/>
    <n v="0"/>
    <n v="74.710743680737522"/>
    <n v="57.026865755930523"/>
    <n v="27.003734244069474"/>
    <n v="0"/>
    <n v="84.030599999999993"/>
  </r>
  <r>
    <x v="0"/>
    <x v="0"/>
    <x v="0"/>
    <n v="0"/>
    <n v="21"/>
    <n v="0"/>
    <n v="20260102"/>
    <n v="20260122"/>
    <n v="923.09739999999999"/>
    <n v="21"/>
    <n v="43.957019047619049"/>
    <n v="0"/>
    <n v="923.09739999999999"/>
    <n v="0"/>
    <n v="923.09739999999999"/>
    <n v="0"/>
    <n v="923.09739999999999"/>
    <n v="0"/>
    <n v="923.09739999999999"/>
  </r>
  <r>
    <x v="0"/>
    <x v="0"/>
    <x v="0"/>
    <n v="0"/>
    <n v="9"/>
    <n v="0"/>
    <n v="20260109"/>
    <n v="20260117"/>
    <n v="167.93469999999999"/>
    <n v="9"/>
    <n v="18.659411111111112"/>
    <n v="0"/>
    <n v="167.93470000000002"/>
    <n v="0"/>
    <n v="167.93470000000002"/>
    <n v="0"/>
    <n v="167.93469999999999"/>
    <n v="0"/>
    <n v="167.93469999999999"/>
  </r>
  <r>
    <x v="0"/>
    <x v="0"/>
    <x v="0"/>
    <n v="27"/>
    <n v="10"/>
    <n v="0"/>
    <n v="20251205"/>
    <n v="20260110"/>
    <n v="252.0444"/>
    <n v="37"/>
    <n v="6.8120108108108104"/>
    <n v="155.36556252810846"/>
    <n v="68.120108108108099"/>
    <n v="0"/>
    <n v="223.48567063621655"/>
    <n v="175.21937704812174"/>
    <n v="76.825022951878253"/>
    <n v="0"/>
    <n v="252.0444"/>
  </r>
  <r>
    <x v="0"/>
    <x v="0"/>
    <x v="0"/>
    <n v="16"/>
    <n v="5"/>
    <n v="0"/>
    <n v="20251216"/>
    <n v="20260105"/>
    <n v="3693.9548"/>
    <n v="21"/>
    <n v="175.90260952380953"/>
    <n v="2377.4310699441576"/>
    <n v="879.51304761904771"/>
    <n v="0"/>
    <n v="3256.9441175632055"/>
    <n v="2696.4303333088819"/>
    <n v="997.52446669111771"/>
    <n v="0"/>
    <n v="3693.9547999999995"/>
  </r>
  <r>
    <x v="0"/>
    <x v="0"/>
    <x v="0"/>
    <n v="0"/>
    <n v="26"/>
    <n v="11"/>
    <n v="20260106"/>
    <n v="20260211"/>
    <n v="91742.070900000006"/>
    <n v="37"/>
    <n v="2479.5154297297299"/>
    <n v="0"/>
    <n v="64467.401172972975"/>
    <n v="22488.182901182801"/>
    <n v="86955.584074155777"/>
    <n v="0"/>
    <n v="68016.021651994772"/>
    <n v="23726.049248005245"/>
    <n v="91742.070900000021"/>
  </r>
  <r>
    <x v="0"/>
    <x v="0"/>
    <x v="0"/>
    <n v="0"/>
    <n v="23"/>
    <n v="8"/>
    <n v="20260109"/>
    <n v="20260208"/>
    <n v="7904.8212999999996"/>
    <n v="31"/>
    <n v="254.99423548387097"/>
    <n v="0"/>
    <n v="5864.8674161290319"/>
    <n v="1681.9582605251569"/>
    <n v="7546.825676654189"/>
    <n v="0"/>
    <n v="6143.0766866800486"/>
    <n v="1761.7446133199505"/>
    <n v="7904.8212999999996"/>
  </r>
  <r>
    <x v="0"/>
    <x v="0"/>
    <x v="0"/>
    <n v="10"/>
    <n v="8"/>
    <n v="0"/>
    <n v="20251222"/>
    <n v="20260108"/>
    <n v="3272.9540000000002"/>
    <n v="18"/>
    <n v="181.8307777777778"/>
    <n v="1535.9711750839865"/>
    <n v="1454.6462222222224"/>
    <n v="0"/>
    <n v="2990.6173973062087"/>
    <n v="1680.9783176891967"/>
    <n v="1591.9756823108039"/>
    <n v="0"/>
    <n v="3272.9540000000006"/>
  </r>
  <r>
    <x v="0"/>
    <x v="0"/>
    <x v="0"/>
    <n v="8"/>
    <n v="2"/>
    <n v="0"/>
    <n v="20251224"/>
    <n v="20260102"/>
    <n v="4996.4103999999998"/>
    <n v="10"/>
    <n v="499.64103999999998"/>
    <n v="3376.4767206436095"/>
    <n v="999.28207999999995"/>
    <n v="0"/>
    <n v="4375.758800643609"/>
    <n v="3855.3915265851169"/>
    <n v="1141.0188734148833"/>
    <n v="0"/>
    <n v="4996.4104000000007"/>
  </r>
  <r>
    <x v="0"/>
    <x v="0"/>
    <x v="0"/>
    <n v="10"/>
    <n v="5"/>
    <n v="0"/>
    <n v="20251222"/>
    <n v="20260105"/>
    <n v="9444.5486000000001"/>
    <n v="15"/>
    <n v="629.63657333333333"/>
    <n v="5318.7014829831951"/>
    <n v="3148.1828666666665"/>
    <n v="0"/>
    <n v="8466.8843496498612"/>
    <n v="5932.847617908491"/>
    <n v="3511.70098209151"/>
    <n v="0"/>
    <n v="9444.5486000000019"/>
  </r>
  <r>
    <x v="0"/>
    <x v="0"/>
    <x v="0"/>
    <n v="2"/>
    <n v="31"/>
    <n v="5"/>
    <n v="20251230"/>
    <n v="20260205"/>
    <n v="6091.5020000000004"/>
    <n v="38"/>
    <n v="160.30268421052634"/>
    <n v="270.82357040442781"/>
    <n v="4969.3832105263164"/>
    <n v="660.85421348011391"/>
    <n v="5901.0609944108583"/>
    <n v="279.56367885846862"/>
    <n v="5129.7568004056247"/>
    <n v="682.1815207359067"/>
    <n v="6091.5020000000004"/>
  </r>
  <r>
    <x v="0"/>
    <x v="0"/>
    <x v="0"/>
    <n v="14"/>
    <n v="3"/>
    <n v="0"/>
    <n v="20251218"/>
    <n v="20260103"/>
    <n v="23344.572700000001"/>
    <n v="17"/>
    <n v="1373.2101588235294"/>
    <n v="16239.801346549077"/>
    <n v="4119.6304764705883"/>
    <n v="0"/>
    <n v="20359.431823019666"/>
    <n v="18620.913710343608"/>
    <n v="4723.6589896563928"/>
    <n v="0"/>
    <n v="23344.572700000001"/>
  </r>
  <r>
    <x v="0"/>
    <x v="0"/>
    <x v="0"/>
    <n v="6"/>
    <n v="31"/>
    <n v="3"/>
    <n v="20251226"/>
    <n v="20260203"/>
    <n v="17767.873500000002"/>
    <n v="40"/>
    <n v="444.19683750000002"/>
    <n v="2251.3467086324549"/>
    <n v="13770.101962500001"/>
    <n v="1098.7315145299624"/>
    <n v="17120.180185662419"/>
    <n v="2336.5200067884134"/>
    <n v="14291.054597468601"/>
    <n v="1140.2988957429848"/>
    <n v="17767.873499999998"/>
  </r>
  <r>
    <x v="0"/>
    <x v="0"/>
    <x v="0"/>
    <n v="31"/>
    <n v="6"/>
    <n v="0"/>
    <n v="20251126"/>
    <n v="20260106"/>
    <n v="666.30529999999999"/>
    <n v="37"/>
    <n v="18.008251351351351"/>
    <n v="471.57297304066452"/>
    <n v="108.04950810810811"/>
    <n v="0"/>
    <n v="579.62248114877264"/>
    <n v="542.09693635589451"/>
    <n v="124.20836364410546"/>
    <n v="0"/>
    <n v="666.30529999999999"/>
  </r>
  <r>
    <x v="0"/>
    <x v="0"/>
    <x v="1"/>
    <n v="20"/>
    <n v="2"/>
    <n v="0"/>
    <n v="20251212"/>
    <n v="20260102"/>
    <n v="4871.826"/>
    <n v="22"/>
    <n v="221.44663636363637"/>
    <n v="3741.2329687061379"/>
    <n v="442.89327272727274"/>
    <n v="0"/>
    <n v="4184.1262414334105"/>
    <n v="4356.1391309158043"/>
    <n v="515.68686908419556"/>
    <n v="0"/>
    <n v="4871.826"/>
  </r>
  <r>
    <x v="0"/>
    <x v="0"/>
    <x v="0"/>
    <n v="31"/>
    <n v="5"/>
    <n v="0"/>
    <n v="20251128"/>
    <n v="20260105"/>
    <n v="3569.0754999999999"/>
    <n v="36"/>
    <n v="99.140986111111104"/>
    <n v="2596.1548769193282"/>
    <n v="495.70493055555551"/>
    <n v="0"/>
    <n v="3091.8598074748838"/>
    <n v="2996.8605766073561"/>
    <n v="572.21492339264364"/>
    <n v="0"/>
    <n v="3569.0754999999999"/>
  </r>
  <r>
    <x v="0"/>
    <x v="1"/>
    <x v="0"/>
    <n v="31"/>
    <n v="5"/>
    <n v="0"/>
    <n v="20251128"/>
    <n v="20260105"/>
    <n v="297.423"/>
    <n v="36"/>
    <n v="8.2617499999999993"/>
    <n v="216.3462700517199"/>
    <n v="41.308749999999996"/>
    <n v="0"/>
    <n v="257.65502005171987"/>
    <n v="249.73841637037094"/>
    <n v="47.684583629629095"/>
    <n v="0"/>
    <n v="297.42300000000006"/>
  </r>
  <r>
    <x v="0"/>
    <x v="0"/>
    <x v="1"/>
    <n v="21"/>
    <n v="2"/>
    <n v="0"/>
    <n v="20251211"/>
    <n v="20260102"/>
    <n v="797.97149999999999"/>
    <n v="23"/>
    <n v="34.694413043478264"/>
    <n v="615.45245500941678"/>
    <n v="69.388826086956527"/>
    <n v="0"/>
    <n v="684.84128109637334"/>
    <n v="717.12020326274046"/>
    <n v="80.851296737259503"/>
    <n v="0"/>
    <n v="797.97149999999999"/>
  </r>
  <r>
    <x v="0"/>
    <x v="0"/>
    <x v="0"/>
    <n v="21"/>
    <n v="6"/>
    <n v="0"/>
    <n v="20251211"/>
    <n v="20260106"/>
    <n v="11881.6603"/>
    <n v="27"/>
    <n v="440.06149259259257"/>
    <n v="7806.3556121215415"/>
    <n v="2640.3689555555557"/>
    <n v="0"/>
    <n v="10446.724567677098"/>
    <n v="8878.6169256543217"/>
    <n v="3003.0433743456765"/>
    <n v="0"/>
    <n v="11881.660299999998"/>
  </r>
  <r>
    <x v="0"/>
    <x v="0"/>
    <x v="0"/>
    <n v="15"/>
    <n v="1"/>
    <n v="0"/>
    <n v="20251217"/>
    <n v="20260101"/>
    <n v="12386.6423"/>
    <n v="16"/>
    <n v="774.16514374999997"/>
    <n v="9809.3570303701999"/>
    <n v="774.16514374999997"/>
    <n v="0"/>
    <n v="10583.5221741202"/>
    <n v="11480.582241826929"/>
    <n v="906.06005817307039"/>
    <n v="0"/>
    <n v="12386.6423"/>
  </r>
  <r>
    <x v="0"/>
    <x v="0"/>
    <x v="0"/>
    <n v="23"/>
    <n v="4"/>
    <n v="0"/>
    <n v="20251209"/>
    <n v="20260104"/>
    <n v="252.00290000000001"/>
    <n v="27"/>
    <n v="9.3334407407407411"/>
    <n v="181.33652107676355"/>
    <n v="37.333762962962965"/>
    <n v="0"/>
    <n v="218.67028403972651"/>
    <n v="208.97823125776688"/>
    <n v="43.024668742233125"/>
    <n v="0"/>
    <n v="252.00290000000001"/>
  </r>
  <r>
    <x v="0"/>
    <x v="0"/>
    <x v="1"/>
    <n v="20"/>
    <n v="5"/>
    <n v="0"/>
    <n v="20251212"/>
    <n v="20260105"/>
    <n v="293.90649999999999"/>
    <n v="25"/>
    <n v="11.756259999999999"/>
    <n v="198.6162816600976"/>
    <n v="58.781299999999995"/>
    <n v="0"/>
    <n v="257.39758166009761"/>
    <n v="226.78774139696142"/>
    <n v="67.118758603038557"/>
    <n v="0"/>
    <n v="293.90649999999999"/>
  </r>
  <r>
    <x v="0"/>
    <x v="0"/>
    <x v="0"/>
    <n v="16"/>
    <n v="14"/>
    <n v="0"/>
    <n v="20251216"/>
    <n v="20260114"/>
    <n v="923.3365"/>
    <n v="30"/>
    <n v="30.777883333333332"/>
    <n v="415.98186804544696"/>
    <n v="430.89036666666664"/>
    <n v="0"/>
    <n v="846.8722347121136"/>
    <n v="453.5409550120782"/>
    <n v="469.7955449879218"/>
    <n v="0"/>
    <n v="923.3365"/>
  </r>
  <r>
    <x v="0"/>
    <x v="0"/>
    <x v="0"/>
    <n v="17"/>
    <n v="4"/>
    <n v="0"/>
    <n v="20251215"/>
    <n v="20260104"/>
    <n v="83.971299999999999"/>
    <n v="21"/>
    <n v="3.9986333333333333"/>
    <n v="57.421716747543016"/>
    <n v="15.994533333333333"/>
    <n v="0"/>
    <n v="73.416250080876353"/>
    <n v="65.677233558118587"/>
    <n v="18.294066441881409"/>
    <n v="0"/>
    <n v="83.971299999999999"/>
  </r>
  <r>
    <x v="0"/>
    <x v="0"/>
    <x v="0"/>
    <n v="2"/>
    <n v="31"/>
    <n v="4"/>
    <n v="20251230"/>
    <n v="20260204"/>
    <n v="14240.8416"/>
    <n v="37"/>
    <n v="384.88761081081083"/>
    <n v="650.24885564186263"/>
    <n v="11931.515935135136"/>
    <n v="1269.3716294186236"/>
    <n v="13851.136420195622"/>
    <n v="668.54376946828529"/>
    <n v="12267.212113541193"/>
    <n v="1305.0857169905207"/>
    <n v="14240.8416"/>
  </r>
  <r>
    <x v="0"/>
    <x v="0"/>
    <x v="0"/>
    <n v="0"/>
    <n v="9"/>
    <n v="1"/>
    <n v="20260123"/>
    <n v="20260201"/>
    <n v="14089.6914"/>
    <n v="10"/>
    <n v="1408.9691399999999"/>
    <n v="0"/>
    <n v="12680.722259999999"/>
    <n v="1161.7063025714574"/>
    <n v="13842.428562571456"/>
    <n v="0"/>
    <n v="12907.233912379328"/>
    <n v="1182.4574876206709"/>
    <n v="14089.6914"/>
  </r>
  <r>
    <x v="0"/>
    <x v="0"/>
    <x v="0"/>
    <n v="0"/>
    <n v="9"/>
    <n v="2"/>
    <n v="20260123"/>
    <n v="20260202"/>
    <n v="2566.6705999999999"/>
    <n v="11"/>
    <n v="233.3336909090909"/>
    <n v="0"/>
    <n v="2100.0032181818183"/>
    <n v="384.77098133086332"/>
    <n v="2484.7741995126817"/>
    <n v="0"/>
    <n v="2169.2178392184519"/>
    <n v="397.45276078154779"/>
    <n v="2566.6705999999995"/>
  </r>
  <r>
    <x v="0"/>
    <x v="0"/>
    <x v="0"/>
    <n v="0"/>
    <n v="17"/>
    <n v="3"/>
    <n v="20260115"/>
    <n v="20260203"/>
    <n v="53698.966800000002"/>
    <n v="20"/>
    <n v="2684.9483399999999"/>
    <n v="0"/>
    <n v="45644.121780000001"/>
    <n v="6641.2840141909119"/>
    <n v="52285.405794190912"/>
    <n v="0"/>
    <n v="46878.132489347467"/>
    <n v="6820.8343106525408"/>
    <n v="53698.966800000009"/>
  </r>
  <r>
    <x v="0"/>
    <x v="0"/>
    <x v="0"/>
    <n v="0"/>
    <n v="12"/>
    <n v="1"/>
    <n v="20260120"/>
    <n v="20260201"/>
    <n v="4793.3491000000004"/>
    <n v="13"/>
    <n v="368.71916153846155"/>
    <n v="0"/>
    <n v="4424.6299384615386"/>
    <n v="304.01189187017548"/>
    <n v="4728.6418303317141"/>
    <n v="0"/>
    <n v="4485.1770750143442"/>
    <n v="308.17202498565598"/>
    <n v="4793.3491000000004"/>
  </r>
  <r>
    <x v="0"/>
    <x v="0"/>
    <x v="0"/>
    <n v="0"/>
    <n v="11"/>
    <n v="1"/>
    <n v="20260121"/>
    <n v="20260201"/>
    <n v="10091.2613"/>
    <n v="12"/>
    <n v="840.93844166666668"/>
    <n v="0"/>
    <n v="9250.322858333333"/>
    <n v="693.36045767388953"/>
    <n v="9943.6833160072219"/>
    <n v="0"/>
    <n v="9387.6104162061347"/>
    <n v="703.6508837938668"/>
    <n v="10091.261300000002"/>
  </r>
  <r>
    <x v="0"/>
    <x v="0"/>
    <x v="0"/>
    <n v="0"/>
    <n v="10"/>
    <n v="2"/>
    <n v="20260122"/>
    <n v="20260202"/>
    <n v="2986.7347"/>
    <n v="12"/>
    <n v="248.89455833333332"/>
    <n v="0"/>
    <n v="2488.9455833333332"/>
    <n v="410.43110013264391"/>
    <n v="2899.3766834659773"/>
    <n v="0"/>
    <n v="2563.9373395480507"/>
    <n v="422.79736045194932"/>
    <n v="2986.7347"/>
  </r>
  <r>
    <x v="0"/>
    <x v="0"/>
    <x v="1"/>
    <n v="0"/>
    <n v="16"/>
    <n v="2"/>
    <n v="20260116"/>
    <n v="20260202"/>
    <n v="8156.1442999999999"/>
    <n v="18"/>
    <n v="453.11912777777775"/>
    <n v="0"/>
    <n v="7249.906044444444"/>
    <n v="747.20067545996926"/>
    <n v="7997.1067199044137"/>
    <n v="0"/>
    <n v="7394.084127045121"/>
    <n v="762.06017295487845"/>
    <n v="8156.1442999999999"/>
  </r>
  <r>
    <x v="0"/>
    <x v="0"/>
    <x v="0"/>
    <n v="0"/>
    <n v="12"/>
    <n v="4"/>
    <n v="20260120"/>
    <n v="20260204"/>
    <n v="23776.052500000002"/>
    <n v="16"/>
    <n v="1486.0032812500001"/>
    <n v="0"/>
    <n v="17832.039375"/>
    <n v="4900.8862677290181"/>
    <n v="22732.925642729017"/>
    <n v="0"/>
    <n v="18650.283339033096"/>
    <n v="5125.7691609669064"/>
    <n v="23776.052500000002"/>
  </r>
  <r>
    <x v="0"/>
    <x v="0"/>
    <x v="0"/>
    <n v="0"/>
    <n v="19"/>
    <n v="6"/>
    <n v="20260113"/>
    <n v="20260206"/>
    <n v="1051.1977999999999"/>
    <n v="25"/>
    <n v="42.047911999999997"/>
    <n v="0"/>
    <n v="798.91032799999994"/>
    <n v="208.013034467327"/>
    <n v="1006.9233624673269"/>
    <n v="0"/>
    <n v="834.03842883636435"/>
    <n v="217.15937116363568"/>
    <n v="1051.1977999999999"/>
  </r>
  <r>
    <x v="0"/>
    <x v="0"/>
    <x v="0"/>
    <n v="0"/>
    <n v="11"/>
    <n v="6"/>
    <n v="20260121"/>
    <n v="20260206"/>
    <n v="631.20780000000002"/>
    <n v="17"/>
    <n v="37.129870588235292"/>
    <n v="0"/>
    <n v="408.42857647058821"/>
    <n v="183.68324806325649"/>
    <n v="592.1118245338447"/>
    <n v="0"/>
    <n v="435.39630949625786"/>
    <n v="195.81149050374219"/>
    <n v="631.20780000000002"/>
  </r>
  <r>
    <x v="0"/>
    <x v="0"/>
    <x v="1"/>
    <n v="0"/>
    <n v="12"/>
    <n v="4"/>
    <n v="20260120"/>
    <n v="20260204"/>
    <n v="42.081499999999998"/>
    <n v="16"/>
    <n v="2.6300937499999999"/>
    <n v="0"/>
    <n v="31.561124999999997"/>
    <n v="8.6741331629983005"/>
    <n v="40.235258162998299"/>
    <n v="0"/>
    <n v="33.00934410081409"/>
    <n v="9.0721558991859066"/>
    <n v="42.081499999999998"/>
  </r>
  <r>
    <x v="0"/>
    <x v="0"/>
    <x v="0"/>
    <n v="0"/>
    <n v="20"/>
    <n v="6"/>
    <n v="20260112"/>
    <n v="20260206"/>
    <n v="20140.002199999999"/>
    <n v="26"/>
    <n v="774.61546923076924"/>
    <n v="0"/>
    <n v="15492.309384615384"/>
    <n v="3832.0598249926106"/>
    <n v="19324.369209607994"/>
    <n v="0"/>
    <n v="16146.200774000006"/>
    <n v="3993.8014259999945"/>
    <n v="20140.002200000003"/>
  </r>
  <r>
    <x v="0"/>
    <x v="0"/>
    <x v="0"/>
    <n v="28"/>
    <n v="7"/>
    <n v="0"/>
    <n v="20251204"/>
    <n v="20260107"/>
    <n v="1150012.8388"/>
    <n v="35"/>
    <n v="32857.509680000003"/>
    <n v="777156.25174614799"/>
    <n v="230002.56776000001"/>
    <n v="0"/>
    <n v="1007158.819506148"/>
    <n v="887387.02372679708"/>
    <n v="262625.81507320289"/>
    <n v="0"/>
    <n v="1150012.8388"/>
  </r>
  <r>
    <x v="0"/>
    <x v="0"/>
    <x v="0"/>
    <n v="30"/>
    <n v="2"/>
    <n v="0"/>
    <n v="20251202"/>
    <n v="20260102"/>
    <n v="15131341.0087"/>
    <n v="32"/>
    <n v="472854.406521875"/>
    <n v="11982967.030752173"/>
    <n v="945708.81304375001"/>
    <n v="0"/>
    <n v="12928675.843795924"/>
    <n v="14024511.297909103"/>
    <n v="1106829.7107908968"/>
    <n v="0"/>
    <n v="15131341.0087"/>
  </r>
  <r>
    <x v="0"/>
    <x v="0"/>
    <x v="0"/>
    <n v="28"/>
    <n v="8"/>
    <n v="0"/>
    <n v="20251204"/>
    <n v="20260108"/>
    <n v="460780.44949999999"/>
    <n v="36"/>
    <n v="12799.456930555556"/>
    <n v="302736.81935766269"/>
    <n v="102395.65544444445"/>
    <n v="0"/>
    <n v="405132.47480210714"/>
    <n v="344319.98514057056"/>
    <n v="116460.4643594294"/>
    <n v="0"/>
    <n v="460780.44949999999"/>
  </r>
  <r>
    <x v="0"/>
    <x v="0"/>
    <x v="0"/>
    <n v="30"/>
    <n v="5"/>
    <n v="0"/>
    <n v="20251202"/>
    <n v="20260105"/>
    <n v="4188008.8522999999"/>
    <n v="35"/>
    <n v="119657.39577999999"/>
    <n v="3032330.0551732765"/>
    <n v="598286.97889999999"/>
    <n v="0"/>
    <n v="3630617.0340732764"/>
    <n v="3497869.6444646046"/>
    <n v="690139.20783539524"/>
    <n v="0"/>
    <n v="4188008.8522999999"/>
  </r>
  <r>
    <x v="0"/>
    <x v="0"/>
    <x v="0"/>
    <n v="0"/>
    <n v="28"/>
    <n v="3"/>
    <n v="20260104"/>
    <n v="20260203"/>
    <n v="7824360.3013000004"/>
    <n v="31"/>
    <n v="252398.71939677422"/>
    <n v="0"/>
    <n v="7067164.1431096783"/>
    <n v="624314.27650189144"/>
    <n v="7691478.4196115695"/>
    <n v="0"/>
    <n v="7189260.0547543019"/>
    <n v="635100.24654569896"/>
    <n v="7824360.3013000004"/>
  </r>
  <r>
    <x v="0"/>
    <x v="0"/>
    <x v="0"/>
    <n v="28"/>
    <n v="4"/>
    <n v="0"/>
    <n v="20251204"/>
    <n v="20260104"/>
    <n v="2115528.7574"/>
    <n v="32"/>
    <n v="66110.27366875"/>
    <n v="1563661.1839025354"/>
    <n v="264441.094675"/>
    <n v="0"/>
    <n v="1828102.2785775354"/>
    <n v="1809510.4634681097"/>
    <n v="306018.29393189022"/>
    <n v="0"/>
    <n v="2115528.7574"/>
  </r>
  <r>
    <x v="0"/>
    <x v="0"/>
    <x v="0"/>
    <n v="0"/>
    <n v="30"/>
    <n v="5"/>
    <n v="20260102"/>
    <n v="20260205"/>
    <n v="1027092.6719"/>
    <n v="35"/>
    <n v="29345.504911428568"/>
    <n v="0"/>
    <n v="880365.14734285709"/>
    <n v="120978.01520247714"/>
    <n v="1001343.1625453342"/>
    <n v="0"/>
    <n v="903003.71066954313"/>
    <n v="124088.96123045689"/>
    <n v="1027092.6719"/>
  </r>
  <r>
    <x v="0"/>
    <x v="0"/>
    <x v="0"/>
    <n v="0"/>
    <n v="16"/>
    <n v="0"/>
    <n v="20260116"/>
    <n v="20260131"/>
    <n v="15125.863600000001"/>
    <n v="16"/>
    <n v="945.36647500000004"/>
    <n v="0"/>
    <n v="15125.863600000001"/>
    <n v="0"/>
    <n v="15125.863600000001"/>
    <n v="0"/>
    <n v="15125.863600000001"/>
    <n v="0"/>
    <n v="15125.863600000001"/>
  </r>
  <r>
    <x v="0"/>
    <x v="0"/>
    <x v="0"/>
    <n v="28"/>
    <n v="6"/>
    <n v="0"/>
    <n v="20251204"/>
    <n v="20260106"/>
    <n v="3029406.9822"/>
    <n v="34"/>
    <n v="89100.205358823529"/>
    <n v="2107426.347914123"/>
    <n v="534601.23215294117"/>
    <n v="0"/>
    <n v="2642027.5800670641"/>
    <n v="2416421.4412482535"/>
    <n v="612985.54095174652"/>
    <n v="0"/>
    <n v="3029406.9822"/>
  </r>
  <r>
    <x v="0"/>
    <x v="0"/>
    <x v="1"/>
    <n v="0"/>
    <n v="25"/>
    <n v="3"/>
    <n v="20260107"/>
    <n v="20260203"/>
    <n v="729345.22880000004"/>
    <n v="28"/>
    <n v="26048.043885714287"/>
    <n v="0"/>
    <n v="651201.09714285715"/>
    <n v="64430.460311626564"/>
    <n v="715631.5574544837"/>
    <n v="0"/>
    <n v="663680.08543373446"/>
    <n v="65665.143366265591"/>
    <n v="729345.22880000004"/>
  </r>
  <r>
    <x v="0"/>
    <x v="0"/>
    <x v="0"/>
    <n v="29"/>
    <n v="5"/>
    <n v="0"/>
    <n v="20251203"/>
    <n v="20260105"/>
    <n v="3610988.7803000002"/>
    <n v="34"/>
    <n v="106205.55236176471"/>
    <n v="2601721.9981131954"/>
    <n v="531027.76180882356"/>
    <n v="0"/>
    <n v="3132749.7599220192"/>
    <n v="2998895.4320054925"/>
    <n v="612093.34829450736"/>
    <n v="0"/>
    <n v="3610988.7802999998"/>
  </r>
  <r>
    <x v="0"/>
    <x v="0"/>
    <x v="1"/>
    <n v="0"/>
    <n v="28"/>
    <n v="4"/>
    <n v="20260104"/>
    <n v="20260204"/>
    <n v="361660.6911"/>
    <n v="32"/>
    <n v="11301.896596875"/>
    <n v="0"/>
    <n v="316453.1047125"/>
    <n v="37274.01583146269"/>
    <n v="353727.12054396269"/>
    <n v="0"/>
    <n v="323550.67481131759"/>
    <n v="38110.016288682389"/>
    <n v="361660.6911"/>
  </r>
  <r>
    <x v="0"/>
    <x v="0"/>
    <x v="1"/>
    <n v="27"/>
    <n v="7"/>
    <n v="0"/>
    <n v="20251205"/>
    <n v="20260107"/>
    <n v="704668.12419999996"/>
    <n v="34"/>
    <n v="20725.53306470588"/>
    <n v="472699.49985732202"/>
    <n v="145078.73145294117"/>
    <n v="0"/>
    <n v="617778.23131026316"/>
    <n v="539184.21367529256"/>
    <n v="165483.9105247074"/>
    <n v="0"/>
    <n v="704668.12419999996"/>
  </r>
  <r>
    <x v="0"/>
    <x v="0"/>
    <x v="1"/>
    <n v="0"/>
    <n v="11"/>
    <n v="2"/>
    <n v="20260121"/>
    <n v="20260202"/>
    <n v="1177.7565"/>
    <n v="13"/>
    <n v="90.596653846153842"/>
    <n v="0"/>
    <n v="996.56319230769225"/>
    <n v="149.39532850941163"/>
    <n v="1145.9585208171038"/>
    <n v="0"/>
    <n v="1024.2157600645476"/>
    <n v="153.54073993545259"/>
    <n v="1177.7565000000002"/>
  </r>
  <r>
    <x v="0"/>
    <x v="0"/>
    <x v="1"/>
    <n v="23"/>
    <n v="7"/>
    <n v="0"/>
    <n v="20251209"/>
    <n v="20260107"/>
    <n v="418713.7035"/>
    <n v="30"/>
    <n v="13957.123450000001"/>
    <n v="271168.61626541492"/>
    <n v="97699.864150000009"/>
    <n v="0"/>
    <n v="368868.4804154149"/>
    <n v="307811.64999945962"/>
    <n v="110902.05350054041"/>
    <n v="0"/>
    <n v="418713.70350000006"/>
  </r>
  <r>
    <x v="0"/>
    <x v="0"/>
    <x v="1"/>
    <n v="27"/>
    <n v="6"/>
    <n v="0"/>
    <n v="20251205"/>
    <n v="20260106"/>
    <n v="598283.64379999996"/>
    <n v="33"/>
    <n v="18129.807387878787"/>
    <n v="413497.24796000088"/>
    <n v="108778.84432727273"/>
    <n v="0"/>
    <n v="522276.09228727361"/>
    <n v="473674.06600474328"/>
    <n v="124609.57779525669"/>
    <n v="0"/>
    <n v="598283.64379999996"/>
  </r>
  <r>
    <x v="0"/>
    <x v="0"/>
    <x v="1"/>
    <n v="26"/>
    <n v="1"/>
    <n v="0"/>
    <n v="20251206"/>
    <n v="20260101"/>
    <n v="234987.70079999999"/>
    <n v="27"/>
    <n v="8703.2481777777775"/>
    <n v="191148.27580079169"/>
    <n v="8703.2481777777775"/>
    <n v="0"/>
    <n v="199851.52397856946"/>
    <n v="224754.3223494704"/>
    <n v="10233.378450529586"/>
    <n v="0"/>
    <n v="234987.70079999999"/>
  </r>
  <r>
    <x v="0"/>
    <x v="0"/>
    <x v="1"/>
    <n v="0"/>
    <n v="28"/>
    <n v="1"/>
    <n v="20260104"/>
    <n v="20260201"/>
    <n v="557965.81270000001"/>
    <n v="29"/>
    <n v="19240.200437931035"/>
    <n v="0"/>
    <n v="538725.61226206901"/>
    <n v="15863.698839764935"/>
    <n v="554589.31110183394"/>
    <n v="0"/>
    <n v="542005.53103144083"/>
    <n v="15960.281668559224"/>
    <n v="557965.81270000001"/>
  </r>
  <r>
    <x v="0"/>
    <x v="0"/>
    <x v="0"/>
    <n v="25"/>
    <n v="3"/>
    <n v="0"/>
    <n v="20251207"/>
    <n v="20260103"/>
    <n v="57729.021500000003"/>
    <n v="28"/>
    <n v="2061.7507678571428"/>
    <n v="43540.342679308385"/>
    <n v="6185.2523035714285"/>
    <n v="0"/>
    <n v="49725.594982879811"/>
    <n v="50548.241393925142"/>
    <n v="7180.780106074867"/>
    <n v="0"/>
    <n v="57729.02150000001"/>
  </r>
  <r>
    <x v="0"/>
    <x v="0"/>
    <x v="1"/>
    <n v="0"/>
    <n v="23"/>
    <n v="4"/>
    <n v="20260109"/>
    <n v="20260204"/>
    <n v="48349.414100000002"/>
    <n v="27"/>
    <n v="1790.7190407407409"/>
    <n v="0"/>
    <n v="41186.537937037043"/>
    <n v="5905.8485717103304"/>
    <n v="47092.386508747375"/>
    <n v="0"/>
    <n v="42285.921901479189"/>
    <n v="6063.4921985208102"/>
    <n v="48349.414100000002"/>
  </r>
  <r>
    <x v="0"/>
    <x v="0"/>
    <x v="1"/>
    <n v="26"/>
    <n v="6"/>
    <n v="0"/>
    <n v="20251206"/>
    <n v="20260106"/>
    <n v="526190.84909999999"/>
    <n v="32"/>
    <n v="16443.464034375"/>
    <n v="361145.60152249469"/>
    <n v="98660.784206249999"/>
    <n v="0"/>
    <n v="459806.38572874467"/>
    <n v="413285.93210525293"/>
    <n v="112904.91699474704"/>
    <n v="0"/>
    <n v="526190.84909999999"/>
  </r>
  <r>
    <x v="0"/>
    <x v="0"/>
    <x v="1"/>
    <n v="29"/>
    <n v="7"/>
    <n v="0"/>
    <n v="20251203"/>
    <n v="20260107"/>
    <n v="249933.48689999999"/>
    <n v="36"/>
    <n v="6942.5968583333333"/>
    <n v="170073.09475526243"/>
    <n v="48598.178008333336"/>
    <n v="0"/>
    <n v="218671.27276359577"/>
    <n v="194387.49801402065"/>
    <n v="55545.988885979335"/>
    <n v="0"/>
    <n v="249933.48689999999"/>
  </r>
  <r>
    <x v="0"/>
    <x v="0"/>
    <x v="1"/>
    <n v="0"/>
    <n v="11"/>
    <n v="0"/>
    <n v="20260121"/>
    <n v="20260131"/>
    <n v="65094.824800000002"/>
    <n v="11"/>
    <n v="5917.7113454545461"/>
    <n v="0"/>
    <n v="65094.824800000009"/>
    <n v="0"/>
    <n v="65094.824800000009"/>
    <n v="0"/>
    <n v="65094.824800000002"/>
    <n v="0"/>
    <n v="65094.824800000002"/>
  </r>
  <r>
    <x v="0"/>
    <x v="0"/>
    <x v="1"/>
    <n v="0"/>
    <n v="15"/>
    <n v="16"/>
    <n v="20260117"/>
    <n v="20260216"/>
    <n v="374083.75429999997"/>
    <n v="31"/>
    <n v="12067.217880645161"/>
    <n v="0"/>
    <n v="181008.26820967742"/>
    <n v="159192.27944422935"/>
    <n v="340200.54765390675"/>
    <n v="0"/>
    <n v="199036.28315173255"/>
    <n v="175047.47114826745"/>
    <n v="374083.75430000003"/>
  </r>
  <r>
    <x v="0"/>
    <x v="0"/>
    <x v="1"/>
    <n v="28"/>
    <n v="4"/>
    <n v="0"/>
    <n v="20251204"/>
    <n v="20260104"/>
    <n v="212830.5312"/>
    <n v="32"/>
    <n v="6650.9540999999999"/>
    <n v="157310.47815951446"/>
    <n v="26603.8164"/>
    <n v="0"/>
    <n v="183914.29455951447"/>
    <n v="182043.88468119432"/>
    <n v="30786.646518805643"/>
    <n v="0"/>
    <n v="212830.53119999997"/>
  </r>
  <r>
    <x v="0"/>
    <x v="0"/>
    <x v="0"/>
    <n v="30"/>
    <n v="12"/>
    <n v="0"/>
    <n v="20251202"/>
    <n v="20260112"/>
    <n v="8907.2435000000005"/>
    <n v="42"/>
    <n v="212.07722619047621"/>
    <n v="5374.4120269634886"/>
    <n v="2544.9267142857143"/>
    <n v="0"/>
    <n v="7919.3387412492029"/>
    <n v="6044.8477022642328"/>
    <n v="2862.3957977357686"/>
    <n v="0"/>
    <n v="8907.2435000000005"/>
  </r>
  <r>
    <x v="0"/>
    <x v="0"/>
    <x v="0"/>
    <n v="0"/>
    <n v="24"/>
    <n v="6"/>
    <n v="20260108"/>
    <n v="20260206"/>
    <n v="719085.60309999995"/>
    <n v="30"/>
    <n v="23969.520103333332"/>
    <n v="0"/>
    <n v="575268.48248000001"/>
    <n v="118578.36392494268"/>
    <n v="693846.84640494268"/>
    <n v="0"/>
    <n v="596193.93791569991"/>
    <n v="122891.66518430006"/>
    <n v="719085.60309999995"/>
  </r>
  <r>
    <x v="0"/>
    <x v="0"/>
    <x v="1"/>
    <n v="0"/>
    <n v="26"/>
    <n v="9"/>
    <n v="20260106"/>
    <n v="20260209"/>
    <n v="48854.007799999999"/>
    <n v="35"/>
    <n v="1395.8287942857144"/>
    <n v="0"/>
    <n v="36291.548651428573"/>
    <n v="10357.847843773139"/>
    <n v="46649.396495201712"/>
    <n v="0"/>
    <n v="38006.656765073858"/>
    <n v="10847.35103492614"/>
    <n v="48854.007799999999"/>
  </r>
  <r>
    <x v="0"/>
    <x v="0"/>
    <x v="1"/>
    <n v="23"/>
    <n v="8"/>
    <n v="0"/>
    <n v="20251209"/>
    <n v="20260108"/>
    <n v="5584.0919000000004"/>
    <n v="31"/>
    <n v="180.13199677419357"/>
    <n v="3499.7286142356393"/>
    <n v="1441.0559741935485"/>
    <n v="0"/>
    <n v="4940.7845884291874"/>
    <n v="3955.4054335254191"/>
    <n v="1628.6864664745817"/>
    <n v="0"/>
    <n v="5584.0919000000013"/>
  </r>
  <r>
    <x v="0"/>
    <x v="0"/>
    <x v="1"/>
    <n v="0"/>
    <n v="23"/>
    <n v="7"/>
    <n v="20260109"/>
    <n v="20260207"/>
    <n v="40445.336199999998"/>
    <n v="30"/>
    <n v="1348.1778733333333"/>
    <n v="0"/>
    <n v="31008.091086666667"/>
    <n v="7781.0839257068619"/>
    <n v="38789.175012373526"/>
    <n v="0"/>
    <n v="32332.027389610517"/>
    <n v="8113.3088103894861"/>
    <n v="40445.336200000005"/>
  </r>
  <r>
    <x v="0"/>
    <x v="0"/>
    <x v="0"/>
    <n v="26"/>
    <n v="8"/>
    <n v="0"/>
    <n v="20251206"/>
    <n v="20260108"/>
    <n v="147974.6415"/>
    <n v="34"/>
    <n v="4352.195338235294"/>
    <n v="95586.684173394984"/>
    <n v="34817.562705882352"/>
    <n v="0"/>
    <n v="130404.24687927734"/>
    <n v="108465.83344656046"/>
    <n v="39508.808053439549"/>
    <n v="0"/>
    <n v="147974.6415"/>
  </r>
  <r>
    <x v="0"/>
    <x v="0"/>
    <x v="0"/>
    <n v="24"/>
    <n v="3"/>
    <n v="0"/>
    <n v="20251208"/>
    <n v="20260103"/>
    <n v="65912.7019"/>
    <n v="27"/>
    <n v="2441.2111814814816"/>
    <n v="49491.687418914415"/>
    <n v="7323.6335444444449"/>
    <n v="0"/>
    <n v="56815.320963358856"/>
    <n v="57416.393748346309"/>
    <n v="8496.3081516536968"/>
    <n v="0"/>
    <n v="65912.7019"/>
  </r>
  <r>
    <x v="0"/>
    <x v="0"/>
    <x v="1"/>
    <n v="0"/>
    <n v="26"/>
    <n v="8"/>
    <n v="20260106"/>
    <n v="20260208"/>
    <n v="1975.5551"/>
    <n v="34"/>
    <n v="58.104561764705885"/>
    <n v="0"/>
    <n v="1510.7186058823529"/>
    <n v="383.26139980730227"/>
    <n v="1893.9800056896552"/>
    <n v="0"/>
    <n v="1575.786353367032"/>
    <n v="399.76874663296798"/>
    <n v="1975.5551"/>
  </r>
  <r>
    <x v="0"/>
    <x v="0"/>
    <x v="1"/>
    <n v="29"/>
    <n v="4"/>
    <n v="0"/>
    <n v="20251203"/>
    <n v="20260104"/>
    <n v="74475.625799999994"/>
    <n v="33"/>
    <n v="2256.8371454545454"/>
    <n v="55285.836916394117"/>
    <n v="9027.3485818181816"/>
    <n v="0"/>
    <n v="64313.185498212297"/>
    <n v="64021.821813501148"/>
    <n v="10453.803986498846"/>
    <n v="0"/>
    <n v="74475.625799999994"/>
  </r>
  <r>
    <x v="0"/>
    <x v="0"/>
    <x v="0"/>
    <n v="29"/>
    <n v="14"/>
    <n v="0"/>
    <n v="20251203"/>
    <n v="20260114"/>
    <n v="3528.7040999999999"/>
    <n v="43"/>
    <n v="82.062886046511622"/>
    <n v="2010.2980598284616"/>
    <n v="1148.8804046511627"/>
    <n v="0"/>
    <n v="3159.1784644796244"/>
    <n v="2245.4404161390767"/>
    <n v="1283.263683860923"/>
    <n v="0"/>
    <n v="3528.7040999999999"/>
  </r>
  <r>
    <x v="0"/>
    <x v="0"/>
    <x v="0"/>
    <n v="24"/>
    <n v="5"/>
    <n v="0"/>
    <n v="20251208"/>
    <n v="20260105"/>
    <n v="229826.60699999999"/>
    <n v="29"/>
    <n v="7925.0554137931031"/>
    <n v="160667.93741252532"/>
    <n v="39625.277068965515"/>
    <n v="0"/>
    <n v="200293.21448149084"/>
    <n v="184358.55156052415"/>
    <n v="45468.055439475836"/>
    <n v="0"/>
    <n v="229826.60699999999"/>
  </r>
  <r>
    <x v="0"/>
    <x v="0"/>
    <x v="0"/>
    <n v="24"/>
    <n v="4"/>
    <n v="0"/>
    <n v="20251208"/>
    <n v="20260104"/>
    <n v="29823.144799999998"/>
    <n v="28"/>
    <n v="1065.1123142857143"/>
    <n v="21593.463984002723"/>
    <n v="4260.4492571428573"/>
    <n v="0"/>
    <n v="25853.913241145579"/>
    <n v="24908.608500457831"/>
    <n v="4914.5362995421683"/>
    <n v="0"/>
    <n v="29823.144799999998"/>
  </r>
  <r>
    <x v="0"/>
    <x v="0"/>
    <x v="1"/>
    <n v="24"/>
    <n v="7"/>
    <n v="0"/>
    <n v="20251208"/>
    <n v="20260107"/>
    <n v="1259.8363999999999"/>
    <n v="31"/>
    <n v="40.639883870967736"/>
    <n v="823.90923183561301"/>
    <n v="284.47918709677413"/>
    <n v="0"/>
    <n v="1108.3884189323871"/>
    <n v="936.4865446377986"/>
    <n v="323.34985536220131"/>
    <n v="0"/>
    <n v="1259.8363999999999"/>
  </r>
  <r>
    <x v="0"/>
    <x v="0"/>
    <x v="1"/>
    <n v="0"/>
    <n v="13"/>
    <n v="15"/>
    <n v="20260119"/>
    <n v="20260215"/>
    <n v="6653.6040000000003"/>
    <n v="28"/>
    <n v="237.6287142857143"/>
    <n v="0"/>
    <n v="3089.1732857142861"/>
    <n v="2938.9015758464348"/>
    <n v="6028.0748615607208"/>
    <n v="0"/>
    <n v="3409.7346503756048"/>
    <n v="3243.8693496243955"/>
    <n v="6653.6040000000003"/>
  </r>
  <r>
    <x v="0"/>
    <x v="0"/>
    <x v="0"/>
    <n v="0"/>
    <n v="15"/>
    <n v="0"/>
    <n v="20260108"/>
    <n v="20260122"/>
    <n v="1301.2183"/>
    <n v="15"/>
    <n v="86.747886666666673"/>
    <n v="0"/>
    <n v="1301.2183"/>
    <n v="0"/>
    <n v="1301.2183"/>
    <n v="0"/>
    <n v="1301.2183"/>
    <n v="0"/>
    <n v="1301.2183"/>
  </r>
  <r>
    <x v="0"/>
    <x v="0"/>
    <x v="1"/>
    <n v="25"/>
    <n v="2"/>
    <n v="0"/>
    <n v="20251207"/>
    <n v="20260102"/>
    <n v="4790.1948000000002"/>
    <n v="27"/>
    <n v="177.41462222222222"/>
    <n v="3746.6669436016109"/>
    <n v="354.82924444444444"/>
    <n v="0"/>
    <n v="4101.4961880460551"/>
    <n v="4375.7847594446685"/>
    <n v="414.41004055533233"/>
    <n v="0"/>
    <n v="4790.1948000000011"/>
  </r>
  <r>
    <x v="0"/>
    <x v="0"/>
    <x v="0"/>
    <n v="0"/>
    <n v="26"/>
    <n v="0"/>
    <n v="20260104"/>
    <n v="20260129"/>
    <n v="24183.736400000002"/>
    <n v="26"/>
    <n v="930.14370769230777"/>
    <n v="0"/>
    <n v="24183.736400000002"/>
    <n v="0"/>
    <n v="24183.736400000002"/>
    <n v="0"/>
    <n v="24183.736400000002"/>
    <n v="0"/>
    <n v="24183.736400000002"/>
  </r>
  <r>
    <x v="0"/>
    <x v="0"/>
    <x v="1"/>
    <n v="24"/>
    <n v="3"/>
    <n v="0"/>
    <n v="20251208"/>
    <n v="20260103"/>
    <n v="4999.1149999999998"/>
    <n v="27"/>
    <n v="185.1524074074074"/>
    <n v="3753.6715962057428"/>
    <n v="555.45722222222219"/>
    <n v="0"/>
    <n v="4309.1288184279647"/>
    <n v="4354.7168748860568"/>
    <n v="644.39812511394382"/>
    <n v="0"/>
    <n v="4999.1150000000007"/>
  </r>
  <r>
    <x v="0"/>
    <x v="0"/>
    <x v="1"/>
    <n v="0"/>
    <n v="23"/>
    <n v="1"/>
    <n v="20260109"/>
    <n v="20260201"/>
    <n v="36597.908000000003"/>
    <n v="24"/>
    <n v="1524.9128333333335"/>
    <n v="0"/>
    <n v="35072.995166666675"/>
    <n v="1257.3028032079055"/>
    <n v="36330.297969874577"/>
    <n v="0"/>
    <n v="35331.34386782303"/>
    <n v="1266.5641321769729"/>
    <n v="36597.908000000003"/>
  </r>
  <r>
    <x v="0"/>
    <x v="0"/>
    <x v="0"/>
    <n v="0"/>
    <n v="14"/>
    <n v="0"/>
    <n v="20260103"/>
    <n v="20260116"/>
    <n v="125.8532"/>
    <n v="14"/>
    <n v="8.9895142857142858"/>
    <n v="0"/>
    <n v="125.8532"/>
    <n v="0"/>
    <n v="125.8532"/>
    <n v="0"/>
    <n v="125.8532"/>
    <n v="0"/>
    <n v="125.8532"/>
  </r>
  <r>
    <x v="0"/>
    <x v="0"/>
    <x v="0"/>
    <n v="0"/>
    <n v="13"/>
    <n v="0"/>
    <n v="20260103"/>
    <n v="20260115"/>
    <n v="13885.802900000001"/>
    <n v="13"/>
    <n v="1068.1386846153846"/>
    <n v="0"/>
    <n v="13885.802899999999"/>
    <n v="0"/>
    <n v="13885.802899999999"/>
    <n v="0"/>
    <n v="13885.802900000001"/>
    <n v="0"/>
    <n v="13885.802900000001"/>
  </r>
  <r>
    <x v="0"/>
    <x v="0"/>
    <x v="1"/>
    <n v="16"/>
    <n v="14"/>
    <n v="0"/>
    <n v="20251216"/>
    <n v="20260114"/>
    <n v="209.8492"/>
    <n v="30"/>
    <n v="6.9949733333333333"/>
    <n v="94.541331598872787"/>
    <n v="97.929626666666664"/>
    <n v="0"/>
    <n v="192.47095826553945"/>
    <n v="103.07748754275457"/>
    <n v="106.77171245724543"/>
    <n v="0"/>
    <n v="209.8492"/>
  </r>
  <r>
    <x v="0"/>
    <x v="0"/>
    <x v="0"/>
    <n v="31"/>
    <n v="5"/>
    <n v="0"/>
    <n v="20251127"/>
    <n v="20260105"/>
    <n v="23260.937900000001"/>
    <n v="36"/>
    <n v="646.13716388888895"/>
    <n v="16920.067219312856"/>
    <n v="3230.6858194444449"/>
    <n v="0"/>
    <n v="20150.753038757299"/>
    <n v="19531.609170896474"/>
    <n v="3729.3287291035294"/>
    <n v="0"/>
    <n v="23260.937900000004"/>
  </r>
  <r>
    <x v="0"/>
    <x v="0"/>
    <x v="0"/>
    <n v="9"/>
    <n v="6"/>
    <n v="0"/>
    <n v="20251223"/>
    <n v="20260106"/>
    <n v="9275.1167000000005"/>
    <n v="15"/>
    <n v="618.3411133333334"/>
    <n v="4700.9572540522468"/>
    <n v="3710.0466800000004"/>
    <n v="0"/>
    <n v="8411.0039340522471"/>
    <n v="5183.9147234876673"/>
    <n v="4091.2019765123332"/>
    <n v="0"/>
    <n v="9275.1167000000005"/>
  </r>
  <r>
    <x v="0"/>
    <x v="0"/>
    <x v="0"/>
    <n v="31"/>
    <n v="2"/>
    <n v="0"/>
    <n v="20251127"/>
    <n v="20260102"/>
    <n v="8960.4956000000002"/>
    <n v="33"/>
    <n v="271.53016969696972"/>
    <n v="7110.4232663116118"/>
    <n v="543.06033939393944"/>
    <n v="0"/>
    <n v="7653.4836057055509"/>
    <n v="8324.694959093642"/>
    <n v="635.80064090635904"/>
    <n v="0"/>
    <n v="8960.4956000000002"/>
  </r>
  <r>
    <x v="0"/>
    <x v="0"/>
    <x v="1"/>
    <n v="2"/>
    <n v="31"/>
    <n v="1"/>
    <n v="20251230"/>
    <n v="20260201"/>
    <n v="2603.2330000000002"/>
    <n v="34"/>
    <n v="76.565676470588244"/>
    <n v="129.35397790945643"/>
    <n v="2373.5359705882356"/>
    <n v="63.129011410803152"/>
    <n v="2566.0189599084952"/>
    <n v="131.22995162404263"/>
    <n v="2407.9584998634091"/>
    <n v="64.044548512548687"/>
    <n v="2603.2330000000006"/>
  </r>
  <r>
    <x v="0"/>
    <x v="0"/>
    <x v="0"/>
    <n v="31"/>
    <n v="6"/>
    <n v="0"/>
    <n v="20251201"/>
    <n v="20260106"/>
    <n v="13826.284600000001"/>
    <n v="37"/>
    <n v="373.68336756756759"/>
    <n v="9785.457409581395"/>
    <n v="2242.1002054054056"/>
    <n v="0"/>
    <n v="12027.557614986801"/>
    <n v="11248.87723817398"/>
    <n v="2577.4073618260209"/>
    <n v="0"/>
    <n v="13826.284600000001"/>
  </r>
  <r>
    <x v="0"/>
    <x v="0"/>
    <x v="1"/>
    <n v="31"/>
    <n v="5"/>
    <n v="0"/>
    <n v="20251126"/>
    <n v="20260105"/>
    <n v="34573.0101"/>
    <n v="36"/>
    <n v="960.36139166666669"/>
    <n v="25148.498198173784"/>
    <n v="4801.8069583333336"/>
    <n v="0"/>
    <n v="29950.305156507118"/>
    <n v="29030.064223448888"/>
    <n v="5542.9458765511108"/>
    <n v="0"/>
    <n v="34573.0101"/>
  </r>
  <r>
    <x v="0"/>
    <x v="0"/>
    <x v="0"/>
    <n v="22"/>
    <n v="2"/>
    <n v="0"/>
    <n v="20251210"/>
    <n v="20260102"/>
    <n v="20245.658599999999"/>
    <n v="24"/>
    <n v="843.56910833333325"/>
    <n v="15676.857740687923"/>
    <n v="1687.1382166666665"/>
    <n v="0"/>
    <n v="17363.995957354589"/>
    <n v="18278.529349939403"/>
    <n v="1967.1292500605962"/>
    <n v="0"/>
    <n v="20245.658599999999"/>
  </r>
  <r>
    <x v="0"/>
    <x v="0"/>
    <x v="0"/>
    <n v="20"/>
    <n v="2"/>
    <n v="0"/>
    <n v="20251212"/>
    <n v="20260102"/>
    <n v="6887.7539999999999"/>
    <n v="22"/>
    <n v="313.07972727272727"/>
    <n v="5289.329369550057"/>
    <n v="626.15945454545454"/>
    <n v="0"/>
    <n v="5915.4888240955115"/>
    <n v="6158.6794609499311"/>
    <n v="729.07453905006946"/>
    <n v="0"/>
    <n v="6887.7540000000008"/>
  </r>
  <r>
    <x v="0"/>
    <x v="0"/>
    <x v="0"/>
    <n v="13"/>
    <n v="6"/>
    <n v="0"/>
    <n v="20251219"/>
    <n v="20260106"/>
    <n v="7639.5904"/>
    <n v="19"/>
    <n v="402.08370526315792"/>
    <n v="4415.4553230418496"/>
    <n v="2412.5022315789474"/>
    <n v="0"/>
    <n v="6827.9575546207971"/>
    <n v="4940.3163138750351"/>
    <n v="2699.2740861249654"/>
    <n v="0"/>
    <n v="7639.590400000001"/>
  </r>
  <r>
    <x v="0"/>
    <x v="0"/>
    <x v="0"/>
    <n v="18"/>
    <n v="5"/>
    <n v="0"/>
    <n v="20251214"/>
    <n v="20260105"/>
    <n v="24225.722000000002"/>
    <n v="23"/>
    <n v="1053.2922608695653"/>
    <n v="16015.373351707394"/>
    <n v="5266.4613043478266"/>
    <n v="0"/>
    <n v="21281.83465605522"/>
    <n v="18230.758241244035"/>
    <n v="5994.9637587559691"/>
    <n v="0"/>
    <n v="24225.722000000005"/>
  </r>
  <r>
    <x v="0"/>
    <x v="0"/>
    <x v="0"/>
    <n v="31"/>
    <n v="3"/>
    <n v="0"/>
    <n v="20251129"/>
    <n v="20260103"/>
    <n v="9766.6056000000008"/>
    <n v="34"/>
    <n v="287.25310588235294"/>
    <n v="7522.1518465723148"/>
    <n v="861.75931764705888"/>
    <n v="0"/>
    <n v="8383.9111642193729"/>
    <n v="8762.7228998226074"/>
    <n v="1003.8827001773942"/>
    <n v="0"/>
    <n v="9766.6056000000008"/>
  </r>
  <r>
    <x v="0"/>
    <x v="0"/>
    <x v="0"/>
    <n v="31"/>
    <n v="4"/>
    <n v="0"/>
    <n v="20251126"/>
    <n v="20260104"/>
    <n v="8715.1769000000004"/>
    <n v="35"/>
    <n v="249.00505428571429"/>
    <n v="6520.569457892132"/>
    <n v="996.02021714285718"/>
    <n v="0"/>
    <n v="7516.5896750349893"/>
    <n v="7560.3323809214717"/>
    <n v="1154.8445190785283"/>
    <n v="0"/>
    <n v="8715.1769000000004"/>
  </r>
  <r>
    <x v="0"/>
    <x v="0"/>
    <x v="0"/>
    <n v="15"/>
    <n v="2"/>
    <n v="0"/>
    <n v="20251217"/>
    <n v="20260102"/>
    <n v="3610.8510999999999"/>
    <n v="17"/>
    <n v="212.40300588235294"/>
    <n v="2691.3339302920817"/>
    <n v="424.80601176470589"/>
    <n v="0"/>
    <n v="3116.1399420567877"/>
    <n v="3118.6038699687474"/>
    <n v="492.24723003125246"/>
    <n v="0"/>
    <n v="3610.8510999999999"/>
  </r>
  <r>
    <x v="0"/>
    <x v="1"/>
    <x v="0"/>
    <n v="31"/>
    <n v="3"/>
    <n v="0"/>
    <n v="20251127"/>
    <n v="20260103"/>
    <n v="61.9435"/>
    <n v="34"/>
    <n v="1.8218676470588235"/>
    <n v="47.708326924571651"/>
    <n v="5.4656029411764706"/>
    <n v="0"/>
    <n v="53.173929865748121"/>
    <n v="55.576496909546712"/>
    <n v="6.3670030904532888"/>
    <n v="0"/>
    <n v="61.9435"/>
  </r>
  <r>
    <x v="0"/>
    <x v="0"/>
    <x v="0"/>
    <n v="14"/>
    <n v="2"/>
    <n v="0"/>
    <n v="20251218"/>
    <n v="20260102"/>
    <n v="5584.7491"/>
    <n v="16"/>
    <n v="349.04681875"/>
    <n v="4127.8830925641087"/>
    <n v="698.0936375"/>
    <n v="0"/>
    <n v="4825.9767300641088"/>
    <n v="4776.8965072892888"/>
    <n v="807.85259271071129"/>
    <n v="0"/>
    <n v="5584.7491"/>
  </r>
  <r>
    <x v="0"/>
    <x v="0"/>
    <x v="0"/>
    <n v="31"/>
    <n v="3"/>
    <n v="0"/>
    <n v="20251128"/>
    <n v="20260103"/>
    <n v="347.64139999999998"/>
    <n v="34"/>
    <n v="10.224747058823528"/>
    <n v="267.75028152616142"/>
    <n v="30.674241176470584"/>
    <n v="0"/>
    <n v="298.42452270263198"/>
    <n v="311.90829050232054"/>
    <n v="35.733109497679465"/>
    <n v="0"/>
    <n v="347.64139999999998"/>
  </r>
  <r>
    <x v="0"/>
    <x v="0"/>
    <x v="0"/>
    <n v="1"/>
    <n v="31"/>
    <n v="3"/>
    <n v="20251231"/>
    <n v="20260203"/>
    <n v="18607.962100000001"/>
    <n v="35"/>
    <n v="531.65606000000002"/>
    <n v="449.10349787797213"/>
    <n v="16481.33786"/>
    <n v="1315.0639957287688"/>
    <n v="18245.505353606739"/>
    <n v="458.02517965547929"/>
    <n v="16808.748473253461"/>
    <n v="1341.1884470910627"/>
    <n v="18607.962100000004"/>
  </r>
  <r>
    <x v="0"/>
    <x v="0"/>
    <x v="0"/>
    <n v="3"/>
    <n v="31"/>
    <n v="3"/>
    <n v="20251229"/>
    <n v="20260203"/>
    <n v="14953.225"/>
    <n v="37"/>
    <n v="404.14121621621621"/>
    <n v="1024.1653250751651"/>
    <n v="12528.377702702703"/>
    <n v="999.65297609131267"/>
    <n v="14552.196003869181"/>
    <n v="1052.3892434499371"/>
    <n v="12873.634372687546"/>
    <n v="1027.2013838625173"/>
    <n v="14953.225"/>
  </r>
  <r>
    <x v="0"/>
    <x v="0"/>
    <x v="0"/>
    <n v="0"/>
    <n v="9"/>
    <n v="4"/>
    <n v="20260123"/>
    <n v="20260204"/>
    <n v="11619.133099999999"/>
    <n v="13"/>
    <n v="893.77946923076911"/>
    <n v="0"/>
    <n v="8044.0152230769218"/>
    <n v="2947.7132267477668"/>
    <n v="10991.728449824688"/>
    <n v="0"/>
    <n v="8503.1652630435601"/>
    <n v="3115.9678369564381"/>
    <n v="11619.133099999999"/>
  </r>
  <r>
    <x v="0"/>
    <x v="0"/>
    <x v="0"/>
    <n v="0"/>
    <n v="17"/>
    <n v="1"/>
    <n v="20260115"/>
    <n v="20260201"/>
    <n v="6178.1374999999998"/>
    <n v="18"/>
    <n v="343.22986111111112"/>
    <n v="0"/>
    <n v="5834.9076388888889"/>
    <n v="282.9957602077103"/>
    <n v="6117.9033990965991"/>
    <n v="0"/>
    <n v="5892.3554919450116"/>
    <n v="285.78200805498801"/>
    <n v="6178.1374999999998"/>
  </r>
  <r>
    <x v="0"/>
    <x v="0"/>
    <x v="0"/>
    <n v="0"/>
    <n v="19"/>
    <n v="2"/>
    <n v="20260113"/>
    <n v="20260202"/>
    <n v="1933.3856000000001"/>
    <n v="21"/>
    <n v="92.065980952380954"/>
    <n v="0"/>
    <n v="1749.2536380952381"/>
    <n v="151.81827236443903"/>
    <n v="1901.0719104596772"/>
    <n v="0"/>
    <n v="1778.9867790025814"/>
    <n v="154.39882099741862"/>
    <n v="1933.3856000000001"/>
  </r>
  <r>
    <x v="0"/>
    <x v="0"/>
    <x v="0"/>
    <n v="0"/>
    <n v="16"/>
    <n v="4"/>
    <n v="20260116"/>
    <n v="20260204"/>
    <n v="4963.1692999999996"/>
    <n v="20"/>
    <n v="248.15846499999998"/>
    <n v="0"/>
    <n v="3970.5354399999997"/>
    <n v="818.43454094944457"/>
    <n v="4788.9699809494441"/>
    <n v="0"/>
    <n v="4114.9641110222747"/>
    <n v="848.20518897772513"/>
    <n v="4963.1692999999996"/>
  </r>
  <r>
    <x v="0"/>
    <x v="0"/>
    <x v="0"/>
    <n v="0"/>
    <n v="13"/>
    <n v="4"/>
    <n v="20260119"/>
    <n v="20260204"/>
    <n v="2187.9814999999999"/>
    <n v="17"/>
    <n v="128.70479411764705"/>
    <n v="0"/>
    <n v="1673.1623235294117"/>
    <n v="424.47252037793368"/>
    <n v="2097.6348439073454"/>
    <n v="0"/>
    <n v="1745.2266399046671"/>
    <n v="442.75486009533273"/>
    <n v="2187.9814999999999"/>
  </r>
  <r>
    <x v="0"/>
    <x v="0"/>
    <x v="0"/>
    <n v="0"/>
    <n v="12"/>
    <n v="5"/>
    <n v="20260120"/>
    <n v="20260205"/>
    <n v="26469.269100000001"/>
    <n v="17"/>
    <n v="1557.0158294117648"/>
    <n v="0"/>
    <n v="18684.189952941178"/>
    <n v="6418.8598986318902"/>
    <n v="25103.049851573069"/>
    <n v="0"/>
    <n v="19701.066392493551"/>
    <n v="6768.2027075064498"/>
    <n v="26469.269100000001"/>
  </r>
  <r>
    <x v="0"/>
    <x v="0"/>
    <x v="0"/>
    <n v="0"/>
    <n v="20"/>
    <n v="1"/>
    <n v="20260112"/>
    <n v="20260201"/>
    <n v="1848.8036"/>
    <n v="21"/>
    <n v="88.038266666666658"/>
    <n v="0"/>
    <n v="1760.7653333333333"/>
    <n v="72.588253603718613"/>
    <n v="1833.3535869370519"/>
    <n v="0"/>
    <n v="1775.6036316270274"/>
    <n v="73.199968372972535"/>
    <n v="1848.8036"/>
  </r>
  <r>
    <x v="0"/>
    <x v="0"/>
    <x v="0"/>
    <n v="0"/>
    <n v="5"/>
    <n v="19"/>
    <n v="20260127"/>
    <n v="20260219"/>
    <n v="16261.7718"/>
    <n v="24"/>
    <n v="677.57382500000006"/>
    <n v="0"/>
    <n v="3387.8691250000002"/>
    <n v="10614.635517310937"/>
    <n v="14002.504642310938"/>
    <n v="0"/>
    <n v="3934.4928644082429"/>
    <n v="12327.278935591758"/>
    <n v="16261.7718"/>
  </r>
  <r>
    <x v="0"/>
    <x v="0"/>
    <x v="0"/>
    <n v="0"/>
    <n v="12"/>
    <n v="6"/>
    <n v="20260120"/>
    <n v="20260206"/>
    <n v="16747.260600000001"/>
    <n v="18"/>
    <n v="930.40336666666678"/>
    <n v="0"/>
    <n v="11164.840400000001"/>
    <n v="4602.7500147676883"/>
    <n v="15767.590414767688"/>
    <n v="0"/>
    <n v="11858.53302994763"/>
    <n v="4888.7275700523733"/>
    <n v="16747.260600000001"/>
  </r>
  <r>
    <x v="0"/>
    <x v="0"/>
    <x v="1"/>
    <n v="0"/>
    <n v="19"/>
    <n v="1"/>
    <n v="20260113"/>
    <n v="20260201"/>
    <n v="1512.6575"/>
    <n v="20"/>
    <n v="75.632874999999999"/>
    <n v="0"/>
    <n v="1437.024625"/>
    <n v="62.359909152516444"/>
    <n v="1499.3845341525164"/>
    <n v="0"/>
    <n v="1449.7455637152968"/>
    <n v="62.911936284703295"/>
    <n v="1512.6575"/>
  </r>
  <r>
    <x v="0"/>
    <x v="0"/>
    <x v="1"/>
    <n v="0"/>
    <n v="19"/>
    <n v="3"/>
    <n v="20260113"/>
    <n v="20260203"/>
    <n v="26947.642800000001"/>
    <n v="22"/>
    <n v="1224.8928545454546"/>
    <n v="0"/>
    <n v="23272.964236363638"/>
    <n v="3029.8018076539238"/>
    <n v="26302.76604401756"/>
    <n v="0"/>
    <n v="23843.557977482931"/>
    <n v="3104.0848225170694"/>
    <n v="26947.642800000001"/>
  </r>
  <r>
    <x v="0"/>
    <x v="0"/>
    <x v="0"/>
    <n v="0"/>
    <n v="19"/>
    <n v="1"/>
    <n v="20260113"/>
    <n v="20260201"/>
    <n v="12857.5888"/>
    <n v="20"/>
    <n v="642.87943999999993"/>
    <n v="0"/>
    <n v="12214.709359999999"/>
    <n v="530.0592298576596"/>
    <n v="12744.768589857658"/>
    <n v="0"/>
    <n v="12322.837339500504"/>
    <n v="534.75146049949478"/>
    <n v="12857.588799999998"/>
  </r>
  <r>
    <x v="0"/>
    <x v="0"/>
    <x v="0"/>
    <n v="0"/>
    <n v="8"/>
    <n v="2"/>
    <n v="20260124"/>
    <n v="20260202"/>
    <n v="883.71169999999995"/>
    <n v="10"/>
    <n v="88.371169999999992"/>
    <n v="0"/>
    <n v="706.96935999999994"/>
    <n v="145.72547011869074"/>
    <n v="852.69483011869067"/>
    <n v="0"/>
    <n v="732.68544959578207"/>
    <n v="151.02625040421785"/>
    <n v="883.71169999999995"/>
  </r>
  <r>
    <x v="0"/>
    <x v="0"/>
    <x v="0"/>
    <n v="0"/>
    <n v="2"/>
    <n v="0"/>
    <n v="20260107"/>
    <n v="20260108"/>
    <n v="209.39959999999999"/>
    <n v="2"/>
    <n v="104.6998"/>
    <n v="0"/>
    <n v="209.39959999999999"/>
    <n v="0"/>
    <n v="209.39959999999999"/>
    <n v="0"/>
    <n v="209.39959999999999"/>
    <n v="0"/>
    <n v="209.39959999999999"/>
  </r>
  <r>
    <x v="0"/>
    <x v="0"/>
    <x v="0"/>
    <n v="0"/>
    <n v="27"/>
    <n v="3"/>
    <n v="20260105"/>
    <n v="20260203"/>
    <n v="2922851.0652999999"/>
    <n v="30"/>
    <n v="97428.36884333333"/>
    <n v="0"/>
    <n v="2630565.9587699999"/>
    <n v="240991.40340552159"/>
    <n v="2871557.3621755214"/>
    <n v="0"/>
    <n v="2677554.9101717165"/>
    <n v="245296.15512828334"/>
    <n v="2922851.0652999999"/>
  </r>
  <r>
    <x v="0"/>
    <x v="0"/>
    <x v="1"/>
    <n v="15"/>
    <n v="15"/>
    <n v="0"/>
    <n v="20251217"/>
    <n v="20260115"/>
    <n v="3141031.6016000002"/>
    <n v="30"/>
    <n v="104701.05338666667"/>
    <n v="1326654.9423172276"/>
    <n v="1570515.8008000001"/>
    <n v="0"/>
    <n v="2897170.7431172277"/>
    <n v="1438322.2349379587"/>
    <n v="1702709.3666620415"/>
    <n v="0"/>
    <n v="3141031.6016000002"/>
  </r>
  <r>
    <x v="0"/>
    <x v="0"/>
    <x v="0"/>
    <n v="0"/>
    <n v="16"/>
    <n v="19"/>
    <n v="20260116"/>
    <n v="20260219"/>
    <n v="7500017.6935000001"/>
    <n v="35"/>
    <n v="214286.21981428572"/>
    <n v="0"/>
    <n v="3428579.5170285716"/>
    <n v="3356933.2754420019"/>
    <n v="6785512.7924705734"/>
    <n v="0"/>
    <n v="3789604.0915020476"/>
    <n v="3710413.6019979524"/>
    <n v="7500017.6935000001"/>
  </r>
  <r>
    <x v="0"/>
    <x v="0"/>
    <x v="0"/>
    <n v="0"/>
    <n v="29"/>
    <n v="2"/>
    <n v="20260103"/>
    <n v="20260202"/>
    <n v="12584279.218"/>
    <n v="31"/>
    <n v="405944.49090322584"/>
    <n v="0"/>
    <n v="11772390.236193549"/>
    <n v="669408.94614120387"/>
    <n v="12441799.182334753"/>
    <n v="0"/>
    <n v="11907204.386151828"/>
    <n v="677074.83184817259"/>
    <n v="12584279.218"/>
  </r>
  <r>
    <x v="0"/>
    <x v="0"/>
    <x v="0"/>
    <n v="29"/>
    <n v="2"/>
    <n v="0"/>
    <n v="20251203"/>
    <n v="20260102"/>
    <n v="9806926.0521000009"/>
    <n v="31"/>
    <n v="316352.45329354843"/>
    <n v="7749699.6963711875"/>
    <n v="632704.90658709686"/>
    <n v="0"/>
    <n v="8382404.6029582843"/>
    <n v="9066698.0953737553"/>
    <n v="740227.95672624686"/>
    <n v="0"/>
    <n v="9806926.0521000028"/>
  </r>
  <r>
    <x v="0"/>
    <x v="0"/>
    <x v="0"/>
    <n v="0"/>
    <n v="26"/>
    <n v="2"/>
    <n v="20260106"/>
    <n v="20260202"/>
    <n v="2345069.5036999998"/>
    <n v="28"/>
    <n v="83752.482274999988"/>
    <n v="0"/>
    <n v="2177564.5391499996"/>
    <n v="138109.18032579729"/>
    <n v="2315673.7194757969"/>
    <n v="0"/>
    <n v="2205207.128340682"/>
    <n v="139862.3753593177"/>
    <n v="2345069.5036999998"/>
  </r>
  <r>
    <x v="0"/>
    <x v="0"/>
    <x v="0"/>
    <n v="0"/>
    <n v="26"/>
    <n v="5"/>
    <n v="20260106"/>
    <n v="20260205"/>
    <n v="2317318.3429999999"/>
    <n v="31"/>
    <n v="74752.204612903224"/>
    <n v="0"/>
    <n v="1943557.3199354839"/>
    <n v="308168.94694344001"/>
    <n v="2251726.2668789239"/>
    <n v="0"/>
    <n v="2000172.5318065002"/>
    <n v="317145.81119349977"/>
    <n v="2317318.3429999999"/>
  </r>
  <r>
    <x v="0"/>
    <x v="0"/>
    <x v="0"/>
    <n v="26"/>
    <n v="1"/>
    <n v="0"/>
    <n v="20251206"/>
    <n v="20260101"/>
    <n v="1190858.1801"/>
    <n v="27"/>
    <n v="44105.858522222225"/>
    <n v="968691.07223242242"/>
    <n v="44105.858522222225"/>
    <n v="0"/>
    <n v="1012796.9307546447"/>
    <n v="1138998.0087106714"/>
    <n v="51860.171389328389"/>
    <n v="0"/>
    <n v="1190858.1800999998"/>
  </r>
  <r>
    <x v="0"/>
    <x v="0"/>
    <x v="1"/>
    <n v="29"/>
    <n v="3"/>
    <n v="0"/>
    <n v="20251203"/>
    <n v="20260103"/>
    <n v="553901.50379999995"/>
    <n v="32"/>
    <n v="17309.421993749998"/>
    <n v="424029.65734187578"/>
    <n v="51928.265981249991"/>
    <n v="0"/>
    <n v="475957.92332312575"/>
    <n v="493469.38741475897"/>
    <n v="60432.11638524101"/>
    <n v="0"/>
    <n v="553901.50379999995"/>
  </r>
  <r>
    <x v="0"/>
    <x v="0"/>
    <x v="0"/>
    <n v="26"/>
    <n v="2"/>
    <n v="0"/>
    <n v="20251206"/>
    <n v="20260102"/>
    <n v="649533.30559999996"/>
    <n v="28"/>
    <n v="23197.618057142856"/>
    <n v="509486.18305865192"/>
    <n v="46395.236114285712"/>
    <n v="0"/>
    <n v="555881.41917293763"/>
    <n v="595321.65175080148"/>
    <n v="54211.653849198476"/>
    <n v="0"/>
    <n v="649533.30559999996"/>
  </r>
  <r>
    <x v="0"/>
    <x v="0"/>
    <x v="1"/>
    <n v="0"/>
    <n v="25"/>
    <n v="2"/>
    <n v="20260107"/>
    <n v="20260202"/>
    <n v="293363.36969999998"/>
    <n v="27"/>
    <n v="10865.309988888888"/>
    <n v="0"/>
    <n v="271632.74972222222"/>
    <n v="17917.069629338843"/>
    <n v="289549.81935156108"/>
    <n v="0"/>
    <n v="275210.32117320923"/>
    <n v="18153.048526790713"/>
    <n v="293363.36969999992"/>
  </r>
  <r>
    <x v="0"/>
    <x v="0"/>
    <x v="0"/>
    <n v="28"/>
    <n v="3"/>
    <n v="0"/>
    <n v="20251204"/>
    <n v="20260103"/>
    <n v="5873709.9325999999"/>
    <n v="31"/>
    <n v="189474.51395483871"/>
    <n v="4481511.3653058102"/>
    <n v="568423.5418645161"/>
    <n v="0"/>
    <n v="5049934.9071703264"/>
    <n v="5212561.8059117468"/>
    <n v="661148.12668825337"/>
    <n v="0"/>
    <n v="5873709.9325999999"/>
  </r>
  <r>
    <x v="0"/>
    <x v="0"/>
    <x v="1"/>
    <n v="27"/>
    <n v="3"/>
    <n v="0"/>
    <n v="20251205"/>
    <n v="20260103"/>
    <n v="437992.14030000003"/>
    <n v="30"/>
    <n v="14599.738010000001"/>
    <n v="332984.86624343297"/>
    <n v="43799.214030000003"/>
    <n v="0"/>
    <n v="376784.08027343301"/>
    <n v="387077.80367904768"/>
    <n v="50914.336620952323"/>
    <n v="0"/>
    <n v="437992.14029999997"/>
  </r>
  <r>
    <x v="0"/>
    <x v="0"/>
    <x v="0"/>
    <n v="0"/>
    <n v="29"/>
    <n v="4"/>
    <n v="20260103"/>
    <n v="20260204"/>
    <n v="2727332.2563999998"/>
    <n v="33"/>
    <n v="82646.432012121208"/>
    <n v="0"/>
    <n v="2396746.5283515151"/>
    <n v="272570.57156986324"/>
    <n v="2669317.0999213783"/>
    <n v="0"/>
    <n v="2448837.6137028961"/>
    <n v="278494.6426971035"/>
    <n v="2727332.2563999994"/>
  </r>
  <r>
    <x v="0"/>
    <x v="0"/>
    <x v="1"/>
    <n v="0"/>
    <n v="10"/>
    <n v="0"/>
    <n v="20260101"/>
    <n v="20260110"/>
    <n v="67548.887499999997"/>
    <n v="10"/>
    <n v="6754.8887500000001"/>
    <n v="0"/>
    <n v="67548.887499999997"/>
    <n v="0"/>
    <n v="67548.887499999997"/>
    <n v="0"/>
    <n v="67548.887499999997"/>
    <n v="0"/>
    <n v="67548.887499999997"/>
  </r>
  <r>
    <x v="0"/>
    <x v="0"/>
    <x v="1"/>
    <n v="0"/>
    <n v="28"/>
    <n v="5"/>
    <n v="20260104"/>
    <n v="20260205"/>
    <n v="71942.035300000003"/>
    <n v="33"/>
    <n v="2180.0616757575758"/>
    <n v="0"/>
    <n v="61041.726921212125"/>
    <n v="8987.3912665044918"/>
    <n v="70029.118187716609"/>
    <n v="0"/>
    <n v="62709.14423293544"/>
    <n v="9232.8910670645728"/>
    <n v="71942.035300000018"/>
  </r>
  <r>
    <x v="0"/>
    <x v="0"/>
    <x v="0"/>
    <n v="30"/>
    <n v="6"/>
    <n v="0"/>
    <n v="20251202"/>
    <n v="20260106"/>
    <n v="3033437.2037999998"/>
    <n v="36"/>
    <n v="84262.144549999997"/>
    <n v="2135351.7830364406"/>
    <n v="505572.86729999998"/>
    <n v="0"/>
    <n v="2640924.6503364407"/>
    <n v="2452722.587536986"/>
    <n v="580714.61626301392"/>
    <n v="0"/>
    <n v="3033437.2037999998"/>
  </r>
  <r>
    <x v="0"/>
    <x v="0"/>
    <x v="1"/>
    <n v="0"/>
    <n v="16"/>
    <n v="17"/>
    <n v="20260116"/>
    <n v="20260217"/>
    <n v="329032.5759"/>
    <n v="33"/>
    <n v="9970.6841181818181"/>
    <n v="0"/>
    <n v="159530.94589090909"/>
    <n v="139755.44693455542"/>
    <n v="299286.39282546449"/>
    <n v="0"/>
    <n v="175386.78443313178"/>
    <n v="153645.79146686825"/>
    <n v="329032.57590000005"/>
  </r>
  <r>
    <x v="0"/>
    <x v="0"/>
    <x v="1"/>
    <n v="15"/>
    <n v="16"/>
    <n v="0"/>
    <n v="20251217"/>
    <n v="20260116"/>
    <n v="6558567.7544"/>
    <n v="31"/>
    <n v="211566.70175483872"/>
    <n v="2680737.2173827128"/>
    <n v="3385067.2280774196"/>
    <n v="0"/>
    <n v="6065804.4454601323"/>
    <n v="2898510.3014827813"/>
    <n v="3660057.4529172191"/>
    <n v="0"/>
    <n v="6558567.7544"/>
  </r>
  <r>
    <x v="0"/>
    <x v="0"/>
    <x v="0"/>
    <n v="0"/>
    <n v="25"/>
    <n v="2"/>
    <n v="20260107"/>
    <n v="20260202"/>
    <n v="1041776.3367"/>
    <n v="27"/>
    <n v="38584.308766666669"/>
    <n v="0"/>
    <n v="964607.71916666673"/>
    <n v="63626.141129818934"/>
    <n v="1028233.8602964857"/>
    <n v="0"/>
    <n v="977312.19990774593"/>
    <n v="64464.136792253928"/>
    <n v="1041776.3366999999"/>
  </r>
  <r>
    <x v="0"/>
    <x v="0"/>
    <x v="0"/>
    <n v="26"/>
    <n v="3"/>
    <n v="0"/>
    <n v="20251206"/>
    <n v="20260103"/>
    <n v="509405.29090000002"/>
    <n v="29"/>
    <n v="17565.699686206899"/>
    <n v="385793.11306164251"/>
    <n v="52697.099058620697"/>
    <n v="0"/>
    <n v="438490.2121202632"/>
    <n v="448185.72354468511"/>
    <n v="61219.567355314954"/>
    <n v="0"/>
    <n v="509405.29090000008"/>
  </r>
  <r>
    <x v="0"/>
    <x v="0"/>
    <x v="1"/>
    <n v="29"/>
    <n v="13"/>
    <n v="0"/>
    <n v="20251203"/>
    <n v="20260113"/>
    <n v="29716.587"/>
    <n v="42"/>
    <n v="707.53778571428575"/>
    <n v="17332.583661152104"/>
    <n v="9197.9912142857138"/>
    <n v="0"/>
    <n v="26530.574875437818"/>
    <n v="19414.024487583036"/>
    <n v="10302.562512416966"/>
    <n v="0"/>
    <n v="29716.587"/>
  </r>
  <r>
    <x v="0"/>
    <x v="0"/>
    <x v="1"/>
    <n v="0"/>
    <n v="26"/>
    <n v="2"/>
    <n v="20260106"/>
    <n v="20260202"/>
    <n v="526601.92059999995"/>
    <n v="28"/>
    <n v="18807.211449999999"/>
    <n v="0"/>
    <n v="488987.49769999995"/>
    <n v="31013.39192604187"/>
    <n v="520000.88962604181"/>
    <n v="0"/>
    <n v="495194.83634612663"/>
    <n v="31407.084253873327"/>
    <n v="526601.92059999995"/>
  </r>
  <r>
    <x v="0"/>
    <x v="0"/>
    <x v="1"/>
    <n v="0"/>
    <n v="14"/>
    <n v="15"/>
    <n v="20260118"/>
    <n v="20260215"/>
    <n v="1725.9901"/>
    <n v="29"/>
    <n v="59.5169"/>
    <n v="0"/>
    <n v="833.23659999999995"/>
    <n v="736.08238686670427"/>
    <n v="1569.3189868667041"/>
    <n v="0"/>
    <n v="916.42179479971787"/>
    <n v="809.56830520028223"/>
    <n v="1725.9901"/>
  </r>
  <r>
    <x v="0"/>
    <x v="0"/>
    <x v="1"/>
    <n v="25"/>
    <n v="5"/>
    <n v="0"/>
    <n v="20251207"/>
    <n v="20260105"/>
    <n v="11509.7552"/>
    <n v="30"/>
    <n v="383.65850666666665"/>
    <n v="8102.1543013465916"/>
    <n v="1918.2925333333333"/>
    <n v="0"/>
    <n v="10020.446834679926"/>
    <n v="9306.3527145698408"/>
    <n v="2203.4024854301579"/>
    <n v="0"/>
    <n v="11509.7552"/>
  </r>
  <r>
    <x v="0"/>
    <x v="0"/>
    <x v="1"/>
    <n v="0"/>
    <n v="27"/>
    <n v="2"/>
    <n v="20260105"/>
    <n v="20260202"/>
    <n v="100245.9031"/>
    <n v="29"/>
    <n v="3456.7552793103446"/>
    <n v="0"/>
    <n v="93332.392541379304"/>
    <n v="5700.2446404496641"/>
    <n v="99032.637181828963"/>
    <n v="0"/>
    <n v="94475.823779344893"/>
    <n v="5770.079320655107"/>
    <n v="100245.9031"/>
  </r>
  <r>
    <x v="0"/>
    <x v="0"/>
    <x v="1"/>
    <n v="0"/>
    <n v="30"/>
    <n v="6"/>
    <n v="20260102"/>
    <n v="20260206"/>
    <n v="152246.17610000001"/>
    <n v="36"/>
    <n v="4229.0604472222221"/>
    <n v="0"/>
    <n v="126871.81341666667"/>
    <n v="20921.364575069638"/>
    <n v="147793.1779917363"/>
    <n v="0"/>
    <n v="130694.45227465234"/>
    <n v="21551.723825347683"/>
    <n v="152246.17610000004"/>
  </r>
  <r>
    <x v="0"/>
    <x v="0"/>
    <x v="0"/>
    <n v="23"/>
    <n v="6"/>
    <n v="0"/>
    <n v="20251209"/>
    <n v="20260106"/>
    <n v="319528.99050000001"/>
    <n v="29"/>
    <n v="11018.241051724139"/>
    <n v="214069.98300031692"/>
    <n v="66109.446310344836"/>
    <n v="0"/>
    <n v="280179.42931066174"/>
    <n v="244134.85933901332"/>
    <n v="75394.131160986712"/>
    <n v="0"/>
    <n v="319528.99050000001"/>
  </r>
  <r>
    <x v="0"/>
    <x v="0"/>
    <x v="0"/>
    <n v="0"/>
    <n v="26"/>
    <n v="9"/>
    <n v="20260106"/>
    <n v="20260209"/>
    <n v="39012.207000000002"/>
    <n v="35"/>
    <n v="1114.6344857142858"/>
    <n v="0"/>
    <n v="28980.496628571433"/>
    <n v="8271.2252761334639"/>
    <n v="37251.7219047049"/>
    <n v="0"/>
    <n v="30350.090563030772"/>
    <n v="8662.1164369692251"/>
    <n v="39012.206999999995"/>
  </r>
  <r>
    <x v="0"/>
    <x v="0"/>
    <x v="0"/>
    <n v="0"/>
    <n v="24"/>
    <n v="1"/>
    <n v="20260108"/>
    <n v="20260201"/>
    <n v="132461.7757"/>
    <n v="25"/>
    <n v="5298.4710279999999"/>
    <n v="0"/>
    <n v="127163.304672"/>
    <n v="4368.6316559210582"/>
    <n v="131531.93632792105"/>
    <n v="0"/>
    <n v="128062.26085457233"/>
    <n v="4399.5148454276632"/>
    <n v="132461.7757"/>
  </r>
  <r>
    <x v="0"/>
    <x v="0"/>
    <x v="1"/>
    <n v="0"/>
    <n v="23"/>
    <n v="5"/>
    <n v="20260109"/>
    <n v="20260205"/>
    <n v="21610.594000000001"/>
    <n v="28"/>
    <n v="771.80692857142856"/>
    <n v="0"/>
    <n v="17751.559357142858"/>
    <n v="3181.8048665343631"/>
    <n v="20933.364223677221"/>
    <n v="0"/>
    <n v="18325.852358705444"/>
    <n v="3284.7416412945586"/>
    <n v="21610.594000000005"/>
  </r>
  <r>
    <x v="0"/>
    <x v="0"/>
    <x v="0"/>
    <n v="0"/>
    <n v="24"/>
    <n v="7"/>
    <n v="20260108"/>
    <n v="20260207"/>
    <n v="475522.99449999997"/>
    <n v="31"/>
    <n v="15339.45143548387"/>
    <n v="0"/>
    <n v="368146.8344516129"/>
    <n v="88532.501055440298"/>
    <n v="456679.33550705318"/>
    <n v="0"/>
    <n v="383337.43509492115"/>
    <n v="92185.559405078835"/>
    <n v="475522.99449999997"/>
  </r>
  <r>
    <x v="0"/>
    <x v="0"/>
    <x v="0"/>
    <n v="23"/>
    <n v="7"/>
    <n v="0"/>
    <n v="20251209"/>
    <n v="20260107"/>
    <n v="439935.45799999998"/>
    <n v="30"/>
    <n v="14664.515266666665"/>
    <n v="284912.31214731792"/>
    <n v="102651.60686666665"/>
    <n v="0"/>
    <n v="387563.91901398456"/>
    <n v="323412.53244950925"/>
    <n v="116522.92555049072"/>
    <n v="0"/>
    <n v="439935.45799999998"/>
  </r>
  <r>
    <x v="0"/>
    <x v="0"/>
    <x v="0"/>
    <n v="24"/>
    <n v="8"/>
    <n v="0"/>
    <n v="20251208"/>
    <n v="20260108"/>
    <n v="7894.0457999999999"/>
    <n v="32"/>
    <n v="246.68893125"/>
    <n v="5001.2270825835894"/>
    <n v="1973.51145"/>
    <n v="0"/>
    <n v="6974.7385325835894"/>
    <n v="5660.4151484214917"/>
    <n v="2233.6306515785082"/>
    <n v="0"/>
    <n v="7894.0457999999999"/>
  </r>
  <r>
    <x v="0"/>
    <x v="0"/>
    <x v="0"/>
    <n v="0"/>
    <n v="29"/>
    <n v="6"/>
    <n v="20260103"/>
    <n v="20260206"/>
    <n v="149294.4031"/>
    <n v="35"/>
    <n v="4265.5543742857144"/>
    <n v="0"/>
    <n v="123701.07685428571"/>
    <n v="21101.901780058703"/>
    <n v="144802.97863434441"/>
    <n v="0"/>
    <n v="127537.9733618794"/>
    <n v="21756.429738120591"/>
    <n v="149294.4031"/>
  </r>
  <r>
    <x v="0"/>
    <x v="0"/>
    <x v="0"/>
    <n v="14"/>
    <n v="17"/>
    <n v="0"/>
    <n v="20251218"/>
    <n v="20260117"/>
    <n v="45915.007299999997"/>
    <n v="31"/>
    <n v="1481.1292677419353"/>
    <n v="17516.069861656044"/>
    <n v="25179.197551612902"/>
    <n v="0"/>
    <n v="42695.267413268943"/>
    <n v="18836.993519223168"/>
    <n v="27078.013780776833"/>
    <n v="0"/>
    <n v="45915.007299999997"/>
  </r>
  <r>
    <x v="0"/>
    <x v="0"/>
    <x v="1"/>
    <n v="30"/>
    <n v="15"/>
    <n v="0"/>
    <n v="20251202"/>
    <n v="20260115"/>
    <n v="95781.789000000004"/>
    <n v="45"/>
    <n v="2128.4841999999999"/>
    <n v="53939.554421593377"/>
    <n v="31927.262999999999"/>
    <n v="0"/>
    <n v="85866.817421593383"/>
    <n v="60167.910905521057"/>
    <n v="35613.87809447894"/>
    <n v="0"/>
    <n v="95781.78899999999"/>
  </r>
  <r>
    <x v="0"/>
    <x v="0"/>
    <x v="0"/>
    <n v="23"/>
    <n v="1"/>
    <n v="0"/>
    <n v="20251209"/>
    <n v="20260101"/>
    <n v="214672.9314"/>
    <n v="24"/>
    <n v="8944.7054750000007"/>
    <n v="173783.90434437484"/>
    <n v="8944.7054750000007"/>
    <n v="0"/>
    <n v="182728.60981937483"/>
    <n v="204164.52690479829"/>
    <n v="10508.404495201719"/>
    <n v="0"/>
    <n v="214672.9314"/>
  </r>
  <r>
    <x v="0"/>
    <x v="0"/>
    <x v="1"/>
    <n v="25"/>
    <n v="3"/>
    <n v="0"/>
    <n v="20251207"/>
    <n v="20260103"/>
    <n v="24747.011399999999"/>
    <n v="28"/>
    <n v="883.82183571428573"/>
    <n v="18664.673826919989"/>
    <n v="2651.4655071428569"/>
    <n v="0"/>
    <n v="21316.139334062846"/>
    <n v="21668.787613616787"/>
    <n v="3078.2237863832124"/>
    <n v="0"/>
    <n v="24747.011399999999"/>
  </r>
  <r>
    <x v="0"/>
    <x v="0"/>
    <x v="0"/>
    <n v="0"/>
    <n v="5"/>
    <n v="0"/>
    <n v="20260104"/>
    <n v="20260108"/>
    <n v="3016.4212000000002"/>
    <n v="5"/>
    <n v="603.28424000000007"/>
    <n v="0"/>
    <n v="3016.4212000000002"/>
    <n v="0"/>
    <n v="3016.4212000000002"/>
    <n v="0"/>
    <n v="3016.4212000000002"/>
    <n v="0"/>
    <n v="3016.4212000000002"/>
  </r>
  <r>
    <x v="0"/>
    <x v="0"/>
    <x v="1"/>
    <n v="0"/>
    <n v="26"/>
    <n v="7"/>
    <n v="20260106"/>
    <n v="20260207"/>
    <n v="13575.729600000001"/>
    <n v="33"/>
    <n v="411.38574545454549"/>
    <n v="0"/>
    <n v="10696.029381818182"/>
    <n v="2374.3358161685637"/>
    <n v="13070.365197986746"/>
    <n v="0"/>
    <n v="11109.590319908217"/>
    <n v="2466.1392800917829"/>
    <n v="13575.729599999999"/>
  </r>
  <r>
    <x v="0"/>
    <x v="0"/>
    <x v="0"/>
    <n v="30"/>
    <n v="13"/>
    <n v="0"/>
    <n v="20251202"/>
    <n v="20260113"/>
    <n v="38316.150500000003"/>
    <n v="43"/>
    <n v="891.07326744186059"/>
    <n v="22581.372698377214"/>
    <n v="11583.952476744187"/>
    <n v="0"/>
    <n v="34165.325175121397"/>
    <n v="25324.836522781261"/>
    <n v="12991.313977218744"/>
    <n v="0"/>
    <n v="38316.150500000003"/>
  </r>
  <r>
    <x v="0"/>
    <x v="0"/>
    <x v="0"/>
    <n v="0"/>
    <n v="21"/>
    <n v="0"/>
    <n v="20260107"/>
    <n v="20260127"/>
    <n v="587.92370000000005"/>
    <n v="21"/>
    <n v="27.99636666666667"/>
    <n v="0"/>
    <n v="587.92370000000005"/>
    <n v="0"/>
    <n v="587.92370000000005"/>
    <n v="0"/>
    <n v="587.92370000000005"/>
    <n v="0"/>
    <n v="587.92370000000005"/>
  </r>
  <r>
    <x v="0"/>
    <x v="0"/>
    <x v="1"/>
    <n v="0"/>
    <n v="15"/>
    <n v="18"/>
    <n v="20260117"/>
    <n v="20260218"/>
    <n v="1347.1142"/>
    <n v="33"/>
    <n v="40.821642424242427"/>
    <n v="0"/>
    <n v="612.32463636363639"/>
    <n v="605.83986043874222"/>
    <n v="1218.1644968023786"/>
    <n v="0"/>
    <n v="677.14271333677584"/>
    <n v="669.97148666322414"/>
    <n v="1347.1142"/>
  </r>
  <r>
    <x v="0"/>
    <x v="0"/>
    <x v="1"/>
    <n v="15"/>
    <n v="19"/>
    <n v="0"/>
    <n v="20251217"/>
    <n v="20260119"/>
    <n v="19976.704099999999"/>
    <n v="34"/>
    <n v="587.55012058823525"/>
    <n v="7444.7796476203266"/>
    <n v="11163.452291176469"/>
    <n v="0"/>
    <n v="18608.231938796795"/>
    <n v="7992.2778584965272"/>
    <n v="11984.426241503472"/>
    <n v="0"/>
    <n v="19976.704099999999"/>
  </r>
  <r>
    <x v="0"/>
    <x v="0"/>
    <x v="0"/>
    <n v="0"/>
    <n v="30"/>
    <n v="8"/>
    <n v="20260102"/>
    <n v="20260208"/>
    <n v="27439.8622"/>
    <n v="38"/>
    <n v="722.10163684210522"/>
    <n v="0"/>
    <n v="21663.049105263155"/>
    <n v="4763.0285081567617"/>
    <n v="26426.077613419919"/>
    <n v="0"/>
    <n v="22494.109454154677"/>
    <n v="4945.7527458453205"/>
    <n v="27439.862199999996"/>
  </r>
  <r>
    <x v="0"/>
    <x v="0"/>
    <x v="0"/>
    <n v="0"/>
    <n v="15"/>
    <n v="0"/>
    <n v="20260106"/>
    <n v="20260120"/>
    <n v="12001.9617"/>
    <n v="15"/>
    <n v="800.13077999999996"/>
    <n v="0"/>
    <n v="12001.9617"/>
    <n v="0"/>
    <n v="12001.9617"/>
    <n v="0"/>
    <n v="12001.9617"/>
    <n v="0"/>
    <n v="12001.9617"/>
  </r>
  <r>
    <x v="0"/>
    <x v="0"/>
    <x v="1"/>
    <n v="0"/>
    <n v="16"/>
    <n v="0"/>
    <n v="20260101"/>
    <n v="20260116"/>
    <n v="5502340.6858999999"/>
    <n v="16"/>
    <n v="343896.29286875"/>
    <n v="0"/>
    <n v="5502340.6858999999"/>
    <n v="0"/>
    <n v="5502340.6858999999"/>
    <n v="0"/>
    <n v="5502340.6858999999"/>
    <n v="0"/>
    <n v="5502340.6858999999"/>
  </r>
  <r>
    <x v="0"/>
    <x v="0"/>
    <x v="0"/>
    <n v="0"/>
    <n v="11"/>
    <n v="0"/>
    <n v="20260105"/>
    <n v="20260115"/>
    <n v="629.34010000000001"/>
    <n v="11"/>
    <n v="57.212736363636367"/>
    <n v="0"/>
    <n v="629.34010000000001"/>
    <n v="0"/>
    <n v="629.34010000000001"/>
    <n v="0"/>
    <n v="629.34010000000001"/>
    <n v="0"/>
    <n v="629.34010000000001"/>
  </r>
  <r>
    <x v="0"/>
    <x v="0"/>
    <x v="0"/>
    <n v="0"/>
    <n v="16"/>
    <n v="0"/>
    <n v="20260101"/>
    <n v="20260116"/>
    <n v="838.98180000000002"/>
    <n v="16"/>
    <n v="52.436362500000001"/>
    <n v="0"/>
    <n v="838.98180000000002"/>
    <n v="0"/>
    <n v="838.98180000000002"/>
    <n v="0"/>
    <n v="838.98180000000002"/>
    <n v="0"/>
    <n v="838.98180000000002"/>
  </r>
  <r>
    <x v="0"/>
    <x v="0"/>
    <x v="1"/>
    <n v="0"/>
    <n v="15"/>
    <n v="0"/>
    <n v="20260101"/>
    <n v="20260115"/>
    <n v="24889.504199999999"/>
    <n v="15"/>
    <n v="1659.3002799999999"/>
    <n v="0"/>
    <n v="24889.504199999999"/>
    <n v="0"/>
    <n v="24889.504199999999"/>
    <n v="0"/>
    <n v="24889.504199999999"/>
    <n v="0"/>
    <n v="24889.504199999999"/>
  </r>
  <r>
    <x v="0"/>
    <x v="0"/>
    <x v="0"/>
    <n v="0"/>
    <n v="15"/>
    <n v="3"/>
    <n v="20260117"/>
    <n v="20260203"/>
    <n v="3196.3921999999998"/>
    <n v="18"/>
    <n v="177.57734444444444"/>
    <n v="0"/>
    <n v="2663.6601666666666"/>
    <n v="439.2418138448661"/>
    <n v="3102.9019805115327"/>
    <n v="0"/>
    <n v="2743.9160610482545"/>
    <n v="452.47613895174527"/>
    <n v="3196.3921999999998"/>
  </r>
  <r>
    <x v="0"/>
    <x v="0"/>
    <x v="0"/>
    <n v="0"/>
    <n v="12"/>
    <n v="0"/>
    <n v="20260105"/>
    <n v="20260116"/>
    <n v="293.69209999999998"/>
    <n v="12"/>
    <n v="24.474341666666664"/>
    <n v="0"/>
    <n v="293.69209999999998"/>
    <n v="0"/>
    <n v="293.69209999999998"/>
    <n v="0"/>
    <n v="293.69209999999998"/>
    <n v="0"/>
    <n v="293.69209999999998"/>
  </r>
  <r>
    <x v="0"/>
    <x v="0"/>
    <x v="1"/>
    <n v="0"/>
    <n v="24"/>
    <n v="11"/>
    <n v="20260108"/>
    <n v="20260211"/>
    <n v="5063.9260000000004"/>
    <n v="35"/>
    <n v="144.68360000000001"/>
    <n v="0"/>
    <n v="3472.4064000000003"/>
    <n v="1312.2206139915918"/>
    <n v="4784.6270139915923"/>
    <n v="0"/>
    <n v="3675.1054993640723"/>
    <n v="1388.8205006359276"/>
    <n v="5063.9259999999995"/>
  </r>
  <r>
    <x v="0"/>
    <x v="0"/>
    <x v="0"/>
    <n v="0"/>
    <n v="22"/>
    <n v="0"/>
    <n v="20260109"/>
    <n v="20260130"/>
    <n v="714.14250000000004"/>
    <n v="22"/>
    <n v="32.461022727272727"/>
    <n v="0"/>
    <n v="714.14250000000004"/>
    <n v="0"/>
    <n v="714.14250000000004"/>
    <n v="0"/>
    <n v="714.14250000000004"/>
    <n v="0"/>
    <n v="714.14250000000004"/>
  </r>
  <r>
    <x v="0"/>
    <x v="0"/>
    <x v="0"/>
    <n v="2"/>
    <n v="31"/>
    <n v="2"/>
    <n v="20251230"/>
    <n v="20260202"/>
    <n v="12934.624900000001"/>
    <n v="35"/>
    <n v="369.56071142857144"/>
    <n v="624.35480630407289"/>
    <n v="11456.382054285714"/>
    <n v="609.41151294394297"/>
    <n v="12690.14837353373"/>
    <n v="636.38304189555606"/>
    <n v="11677.089993078898"/>
    <n v="621.15186502554775"/>
    <n v="12934.624900000003"/>
  </r>
  <r>
    <x v="0"/>
    <x v="0"/>
    <x v="0"/>
    <n v="1"/>
    <n v="31"/>
    <n v="2"/>
    <n v="20251231"/>
    <n v="20260202"/>
    <n v="80299.242599999998"/>
    <n v="34"/>
    <n v="2361.7424294117645"/>
    <n v="1995.024351148453"/>
    <n v="73214.015311764699"/>
    <n v="3894.5509697935217"/>
    <n v="79103.590632706677"/>
    <n v="2025.1791743514148"/>
    <n v="74320.646259118439"/>
    <n v="3953.4171665301387"/>
    <n v="80299.242599999998"/>
  </r>
  <r>
    <x v="0"/>
    <x v="0"/>
    <x v="1"/>
    <n v="0"/>
    <n v="15"/>
    <n v="0"/>
    <n v="20260102"/>
    <n v="20260116"/>
    <n v="7047.9452000000001"/>
    <n v="15"/>
    <n v="469.86301333333336"/>
    <n v="0"/>
    <n v="7047.9452000000001"/>
    <n v="0"/>
    <n v="7047.9452000000001"/>
    <n v="0"/>
    <n v="7047.9452000000001"/>
    <n v="0"/>
    <n v="7047.9452000000001"/>
  </r>
  <r>
    <x v="0"/>
    <x v="1"/>
    <x v="0"/>
    <n v="31"/>
    <n v="2"/>
    <n v="0"/>
    <n v="20251128"/>
    <n v="20260102"/>
    <n v="2452.2759000000001"/>
    <n v="33"/>
    <n v="74.311390909090917"/>
    <n v="1945.9548213801083"/>
    <n v="148.62278181818183"/>
    <n v="0"/>
    <n v="2094.57760319829"/>
    <n v="2278.2722892065058"/>
    <n v="174.00361079349435"/>
    <n v="0"/>
    <n v="2452.2759000000001"/>
  </r>
  <r>
    <x v="0"/>
    <x v="0"/>
    <x v="0"/>
    <n v="31"/>
    <n v="7"/>
    <n v="0"/>
    <n v="20251126"/>
    <n v="20260107"/>
    <n v="5866.6463999999996"/>
    <n v="38"/>
    <n v="154.38543157894736"/>
    <n v="4042.8132384095711"/>
    <n v="1080.6980210526315"/>
    <n v="0"/>
    <n v="5123.5112594622024"/>
    <n v="4629.1994942307247"/>
    <n v="1237.4469057692752"/>
    <n v="0"/>
    <n v="5866.6463999999996"/>
  </r>
  <r>
    <x v="0"/>
    <x v="0"/>
    <x v="1"/>
    <n v="2"/>
    <n v="15"/>
    <n v="0"/>
    <n v="20251230"/>
    <n v="20260115"/>
    <n v="1048.6531"/>
    <n v="17"/>
    <n v="61.685476470588235"/>
    <n v="104.21460540188528"/>
    <n v="925.28214705882351"/>
    <n v="0"/>
    <n v="1029.4967524607089"/>
    <n v="106.15377732736913"/>
    <n v="942.4993226726308"/>
    <n v="0"/>
    <n v="1048.6531"/>
  </r>
  <r>
    <x v="0"/>
    <x v="0"/>
    <x v="0"/>
    <n v="1"/>
    <n v="31"/>
    <n v="6"/>
    <n v="20251231"/>
    <n v="20260206"/>
    <n v="42.012300000000003"/>
    <n v="38"/>
    <n v="1.1055868421052633"/>
    <n v="0.9339175368326188"/>
    <n v="34.273192105263163"/>
    <n v="5.469391057835769"/>
    <n v="40.676500699931552"/>
    <n v="0.96458699882064969"/>
    <n v="35.398709424539327"/>
    <n v="5.6490035766400224"/>
    <n v="42.012299999999996"/>
  </r>
  <r>
    <x v="0"/>
    <x v="0"/>
    <x v="0"/>
    <n v="20"/>
    <n v="6"/>
    <n v="0"/>
    <n v="20251212"/>
    <n v="20260106"/>
    <n v="5877.7147999999997"/>
    <n v="26"/>
    <n v="226.06595384615383"/>
    <n v="3819.2740857097683"/>
    <n v="1356.3957230769229"/>
    <n v="0"/>
    <n v="5175.6698087866916"/>
    <n v="4337.3330695713939"/>
    <n v="1540.3817304286049"/>
    <n v="0"/>
    <n v="5877.7147999999988"/>
  </r>
  <r>
    <x v="0"/>
    <x v="0"/>
    <x v="0"/>
    <n v="17"/>
    <n v="5"/>
    <n v="0"/>
    <n v="20251215"/>
    <n v="20260105"/>
    <n v="4240.1517999999996"/>
    <n v="22"/>
    <n v="192.73417272727272"/>
    <n v="2767.7274086773364"/>
    <n v="963.67086363636361"/>
    <n v="0"/>
    <n v="3731.3982723137001"/>
    <n v="3145.0902576893104"/>
    <n v="1095.061542310689"/>
    <n v="0"/>
    <n v="4240.1517999999996"/>
  </r>
  <r>
    <x v="0"/>
    <x v="1"/>
    <x v="0"/>
    <n v="31"/>
    <n v="2"/>
    <n v="0"/>
    <n v="20251126"/>
    <n v="20260102"/>
    <n v="8157.7372999999998"/>
    <n v="33"/>
    <n v="247.20416060606061"/>
    <n v="6473.4103656474153"/>
    <n v="494.40832121212122"/>
    <n v="0"/>
    <n v="6967.8186868595367"/>
    <n v="7578.8971515057901"/>
    <n v="578.84014849420953"/>
    <n v="0"/>
    <n v="8157.7372999999998"/>
  </r>
  <r>
    <x v="0"/>
    <x v="0"/>
    <x v="0"/>
    <n v="22"/>
    <n v="7"/>
    <n v="0"/>
    <n v="20251210"/>
    <n v="20260107"/>
    <n v="3694.8244"/>
    <n v="29"/>
    <n v="127.40773793103448"/>
    <n v="2367.7407848112298"/>
    <n v="891.85416551724131"/>
    <n v="0"/>
    <n v="3259.594950328471"/>
    <n v="2683.8875866199578"/>
    <n v="1010.9368133800423"/>
    <n v="0"/>
    <n v="3694.8244"/>
  </r>
  <r>
    <x v="0"/>
    <x v="0"/>
    <x v="0"/>
    <n v="31"/>
    <n v="3"/>
    <n v="0"/>
    <n v="20251201"/>
    <n v="20260103"/>
    <n v="2816.5479"/>
    <n v="34"/>
    <n v="82.839644117647055"/>
    <n v="2169.2798762084112"/>
    <n v="248.51893235294116"/>
    <n v="0"/>
    <n v="2417.7988085613524"/>
    <n v="2527.0426382096634"/>
    <n v="289.5052617903367"/>
    <n v="0"/>
    <n v="2816.5479"/>
  </r>
  <r>
    <x v="0"/>
    <x v="0"/>
    <x v="0"/>
    <n v="31"/>
    <n v="3"/>
    <n v="0"/>
    <n v="20251127"/>
    <n v="20260103"/>
    <n v="526.51969999999994"/>
    <n v="34"/>
    <n v="15.485873529411762"/>
    <n v="405.52074034930837"/>
    <n v="46.457620588235287"/>
    <n v="0"/>
    <n v="451.97836093754364"/>
    <n v="472.40017887051039"/>
    <n v="54.119521129489584"/>
    <n v="0"/>
    <n v="526.51969999999994"/>
  </r>
  <r>
    <x v="0"/>
    <x v="0"/>
    <x v="1"/>
    <n v="1"/>
    <n v="31"/>
    <n v="6"/>
    <n v="20251231"/>
    <n v="20260206"/>
    <n v="84654.854600000006"/>
    <n v="38"/>
    <n v="2227.7593315789477"/>
    <n v="1881.8453950142098"/>
    <n v="69060.539278947384"/>
    <n v="11020.832107540586"/>
    <n v="81963.216781502182"/>
    <n v="1943.6444120938977"/>
    <n v="71328.458555280871"/>
    <n v="11382.751632625232"/>
    <n v="84654.854600000006"/>
  </r>
  <r>
    <x v="0"/>
    <x v="0"/>
    <x v="0"/>
    <n v="9"/>
    <n v="7"/>
    <n v="0"/>
    <n v="20251223"/>
    <n v="20260107"/>
    <n v="17499.775900000001"/>
    <n v="16"/>
    <n v="1093.73599375"/>
    <n v="8315.1613938783721"/>
    <n v="7656.1519562499998"/>
    <n v="0"/>
    <n v="15971.313350128372"/>
    <n v="9110.9264326113534"/>
    <n v="8388.8494673886489"/>
    <n v="0"/>
    <n v="17499.775900000001"/>
  </r>
  <r>
    <x v="0"/>
    <x v="0"/>
    <x v="0"/>
    <n v="8"/>
    <n v="15"/>
    <n v="0"/>
    <n v="20251224"/>
    <n v="20260115"/>
    <n v="34495.9611"/>
    <n v="23"/>
    <n v="1499.824395652174"/>
    <n v="10135.520807043666"/>
    <n v="22497.365934782611"/>
    <n v="0"/>
    <n v="32632.886741826274"/>
    <n v="10714.177211907054"/>
    <n v="23781.783888092948"/>
    <n v="0"/>
    <n v="34495.9611"/>
  </r>
  <r>
    <x v="0"/>
    <x v="0"/>
    <x v="0"/>
    <n v="21"/>
    <n v="7"/>
    <n v="0"/>
    <n v="20251211"/>
    <n v="20260107"/>
    <n v="21620.575799999999"/>
    <n v="28"/>
    <n v="772.16342142857138"/>
    <n v="13697.590813573865"/>
    <n v="5405.1439499999997"/>
    <n v="0"/>
    <n v="19102.734763573862"/>
    <n v="15503.005414019148"/>
    <n v="6117.5703859808518"/>
    <n v="0"/>
    <n v="21620.575799999999"/>
  </r>
  <r>
    <x v="0"/>
    <x v="0"/>
    <x v="1"/>
    <n v="20"/>
    <n v="15"/>
    <n v="0"/>
    <n v="20251212"/>
    <n v="20260115"/>
    <n v="545.72360000000003"/>
    <n v="35"/>
    <n v="15.592102857142859"/>
    <n v="263.42097680278414"/>
    <n v="233.88154285714288"/>
    <n v="0"/>
    <n v="497.30251965992704"/>
    <n v="289.06960671471484"/>
    <n v="256.65399328528514"/>
    <n v="0"/>
    <n v="545.72360000000003"/>
  </r>
  <r>
    <x v="0"/>
    <x v="0"/>
    <x v="0"/>
    <n v="0"/>
    <n v="12"/>
    <n v="0"/>
    <n v="20260120"/>
    <n v="20260131"/>
    <n v="336.2568"/>
    <n v="12"/>
    <n v="28.0214"/>
    <n v="0"/>
    <n v="336.2568"/>
    <n v="0"/>
    <n v="336.2568"/>
    <n v="0"/>
    <n v="336.2568"/>
    <n v="0"/>
    <n v="336.2568"/>
  </r>
  <r>
    <x v="0"/>
    <x v="0"/>
    <x v="0"/>
    <n v="0"/>
    <n v="11"/>
    <n v="2"/>
    <n v="20260121"/>
    <n v="20260202"/>
    <n v="4206.2732999999998"/>
    <n v="13"/>
    <n v="323.55948461538458"/>
    <n v="0"/>
    <n v="3559.1543307692305"/>
    <n v="533.55475554910277"/>
    <n v="4092.709086318333"/>
    <n v="0"/>
    <n v="3657.9135033419152"/>
    <n v="548.35979665808486"/>
    <n v="4206.2732999999998"/>
  </r>
  <r>
    <x v="0"/>
    <x v="0"/>
    <x v="0"/>
    <n v="0"/>
    <n v="17"/>
    <n v="0"/>
    <n v="20260114"/>
    <n v="20260130"/>
    <n v="378.10210000000001"/>
    <n v="17"/>
    <n v="22.241299999999999"/>
    <n v="0"/>
    <n v="378.10210000000001"/>
    <n v="0"/>
    <n v="378.10210000000001"/>
    <n v="0"/>
    <n v="378.10210000000001"/>
    <n v="0"/>
    <n v="378.10210000000001"/>
  </r>
  <r>
    <x v="0"/>
    <x v="0"/>
    <x v="0"/>
    <n v="0"/>
    <n v="20"/>
    <n v="7"/>
    <n v="20260112"/>
    <n v="20260207"/>
    <n v="3447.7665999999999"/>
    <n v="27"/>
    <n v="127.69505925925925"/>
    <n v="0"/>
    <n v="2553.9011851851851"/>
    <n v="736.99916950702027"/>
    <n v="3290.9003546922054"/>
    <n v="0"/>
    <n v="2675.6371378511226"/>
    <n v="772.12946214887756"/>
    <n v="3447.7665999999999"/>
  </r>
  <r>
    <x v="0"/>
    <x v="0"/>
    <x v="0"/>
    <n v="0"/>
    <n v="18"/>
    <n v="5"/>
    <n v="20260114"/>
    <n v="20260205"/>
    <n v="39656.770400000001"/>
    <n v="23"/>
    <n v="1724.2074086956522"/>
    <n v="0"/>
    <n v="31035.733356521741"/>
    <n v="7108.1138569938448"/>
    <n v="38143.84721351559"/>
    <n v="0"/>
    <n v="32266.722992721625"/>
    <n v="7390.0474072783754"/>
    <n v="39656.770400000001"/>
  </r>
  <r>
    <x v="0"/>
    <x v="0"/>
    <x v="0"/>
    <n v="0"/>
    <n v="10"/>
    <n v="3"/>
    <n v="20260122"/>
    <n v="20260203"/>
    <n v="2819.3948999999998"/>
    <n v="13"/>
    <n v="216.87653076923075"/>
    <n v="0"/>
    <n v="2168.7653076923075"/>
    <n v="536.44929229844172"/>
    <n v="2705.2145999907493"/>
    <n v="0"/>
    <n v="2260.303433164057"/>
    <n v="559.09146683594258"/>
    <n v="2819.3948999999993"/>
  </r>
  <r>
    <x v="0"/>
    <x v="0"/>
    <x v="0"/>
    <n v="0"/>
    <n v="20"/>
    <n v="9"/>
    <n v="20260112"/>
    <n v="20260209"/>
    <n v="5088.7537000000002"/>
    <n v="29"/>
    <n v="175.47426551724138"/>
    <n v="0"/>
    <n v="3509.4853103448277"/>
    <n v="1302.1193932709484"/>
    <n v="4811.6047036157761"/>
    <n v="0"/>
    <n v="3711.6320766526105"/>
    <n v="1377.1216233473897"/>
    <n v="5088.7537000000002"/>
  </r>
  <r>
    <x v="0"/>
    <x v="0"/>
    <x v="0"/>
    <n v="0"/>
    <n v="8"/>
    <n v="3"/>
    <n v="20260124"/>
    <n v="20260203"/>
    <n v="15912.413399999999"/>
    <n v="11"/>
    <n v="1446.5830363636362"/>
    <n v="0"/>
    <n v="11572.66429090909"/>
    <n v="3578.1577810921935"/>
    <n v="15150.822072001283"/>
    <n v="0"/>
    <n v="12154.391191529512"/>
    <n v="3758.0222084704883"/>
    <n v="15912.413400000001"/>
  </r>
  <r>
    <x v="0"/>
    <x v="0"/>
    <x v="1"/>
    <n v="28"/>
    <n v="5"/>
    <n v="0"/>
    <n v="20251204"/>
    <n v="20260105"/>
    <n v="1502055.7860000001"/>
    <n v="33"/>
    <n v="45516.842000000004"/>
    <n v="1076578.7993231034"/>
    <n v="227584.21000000002"/>
    <n v="0"/>
    <n v="1304163.0093231034"/>
    <n v="1239938.1082335024"/>
    <n v="262117.67776649768"/>
    <n v="0"/>
    <n v="1502055.7860000001"/>
  </r>
  <r>
    <x v="0"/>
    <x v="0"/>
    <x v="1"/>
    <n v="0"/>
    <n v="25"/>
    <n v="4"/>
    <n v="20260107"/>
    <n v="20260204"/>
    <n v="593241.68339999998"/>
    <n v="29"/>
    <n v="20456.609772413791"/>
    <n v="0"/>
    <n v="511415.24431034474"/>
    <n v="67466.552182563682"/>
    <n v="578881.79649290838"/>
    <n v="0"/>
    <n v="524101.53901740094"/>
    <n v="69140.144382599072"/>
    <n v="593241.68339999998"/>
  </r>
  <r>
    <x v="0"/>
    <x v="0"/>
    <x v="0"/>
    <n v="16"/>
    <n v="15"/>
    <n v="0"/>
    <n v="20251216"/>
    <n v="20260115"/>
    <n v="12674663.5847"/>
    <n v="31"/>
    <n v="408860.11563548387"/>
    <n v="5525993.8712915396"/>
    <n v="6132901.7345322585"/>
    <n v="0"/>
    <n v="11658895.605823798"/>
    <n v="6007439.783125611"/>
    <n v="6667223.8015743885"/>
    <n v="0"/>
    <n v="12674663.5847"/>
  </r>
  <r>
    <x v="0"/>
    <x v="0"/>
    <x v="1"/>
    <n v="0"/>
    <n v="15"/>
    <n v="19"/>
    <n v="20260117"/>
    <n v="20260219"/>
    <n v="7541400.7696000002"/>
    <n v="34"/>
    <n v="221805.9049882353"/>
    <n v="0"/>
    <n v="3327088.5748235295"/>
    <n v="3474734.043980252"/>
    <n v="6801822.6188037815"/>
    <n v="0"/>
    <n v="3688850.73088163"/>
    <n v="3852550.0387183698"/>
    <n v="7541400.7696000002"/>
  </r>
  <r>
    <x v="0"/>
    <x v="0"/>
    <x v="0"/>
    <n v="0"/>
    <n v="28"/>
    <n v="1"/>
    <n v="20260104"/>
    <n v="20260201"/>
    <n v="3012531.6121999999"/>
    <n v="29"/>
    <n v="103880.40042068965"/>
    <n v="0"/>
    <n v="2908651.2117793104"/>
    <n v="85650.21933863069"/>
    <n v="2994301.4311179412"/>
    <n v="0"/>
    <n v="2926359.9293266581"/>
    <n v="86171.682873341793"/>
    <n v="3012531.6121999999"/>
  </r>
  <r>
    <x v="0"/>
    <x v="0"/>
    <x v="0"/>
    <n v="30"/>
    <n v="3"/>
    <n v="0"/>
    <n v="20251202"/>
    <n v="20260103"/>
    <n v="5745696.8291999996"/>
    <n v="33"/>
    <n v="174112.0251272727"/>
    <n v="4412306.6804096363"/>
    <n v="522336.07538181811"/>
    <n v="0"/>
    <n v="4934642.7557914546"/>
    <n v="5137509.9997530654"/>
    <n v="608186.8294469337"/>
    <n v="0"/>
    <n v="5745696.8291999996"/>
  </r>
  <r>
    <x v="0"/>
    <x v="0"/>
    <x v="1"/>
    <n v="29"/>
    <n v="2"/>
    <n v="0"/>
    <n v="20251203"/>
    <n v="20260102"/>
    <n v="2474547.3053000001"/>
    <n v="31"/>
    <n v="79824.106622580643"/>
    <n v="1955454.5836952743"/>
    <n v="159648.21324516129"/>
    <n v="0"/>
    <n v="2115102.7969404357"/>
    <n v="2287768.1773761767"/>
    <n v="186779.12792382308"/>
    <n v="0"/>
    <n v="2474547.3052999997"/>
  </r>
  <r>
    <x v="0"/>
    <x v="0"/>
    <x v="0"/>
    <n v="0"/>
    <n v="15"/>
    <n v="0"/>
    <n v="20260101"/>
    <n v="20260115"/>
    <n v="13129.7559"/>
    <n v="15"/>
    <n v="875.31705999999997"/>
    <n v="0"/>
    <n v="13129.7559"/>
    <n v="0"/>
    <n v="13129.7559"/>
    <n v="0"/>
    <n v="13129.7559"/>
    <n v="0"/>
    <n v="13129.7559"/>
  </r>
  <r>
    <x v="0"/>
    <x v="0"/>
    <x v="0"/>
    <n v="19"/>
    <n v="1"/>
    <n v="0"/>
    <n v="20251213"/>
    <n v="20260101"/>
    <n v="7056.0801000000001"/>
    <n v="20"/>
    <n v="352.80400500000002"/>
    <n v="5662.4290927978773"/>
    <n v="352.80400500000002"/>
    <n v="0"/>
    <n v="6015.2330977978772"/>
    <n v="6642.2285869485522"/>
    <n v="413.85151305144808"/>
    <n v="0"/>
    <n v="7056.0801000000001"/>
  </r>
  <r>
    <x v="0"/>
    <x v="0"/>
    <x v="1"/>
    <n v="30"/>
    <n v="5"/>
    <n v="0"/>
    <n v="20251202"/>
    <n v="20260105"/>
    <n v="920605.24860000005"/>
    <n v="35"/>
    <n v="26303.007102857144"/>
    <n v="666564.72388947965"/>
    <n v="131515.03551428573"/>
    <n v="0"/>
    <n v="798079.75940376543"/>
    <n v="768899.31878827396"/>
    <n v="151705.92981172603"/>
    <n v="0"/>
    <n v="920605.24860000005"/>
  </r>
  <r>
    <x v="0"/>
    <x v="0"/>
    <x v="0"/>
    <n v="0"/>
    <n v="28"/>
    <n v="2"/>
    <n v="20260104"/>
    <n v="20260202"/>
    <n v="4430689.4216"/>
    <n v="30"/>
    <n v="147689.64738666668"/>
    <n v="0"/>
    <n v="4135310.1268266672"/>
    <n v="243542.58631050907"/>
    <n v="4378852.7131371759"/>
    <n v="0"/>
    <n v="4184263.7864929456"/>
    <n v="246425.63510705455"/>
    <n v="4430689.4216"/>
  </r>
  <r>
    <x v="0"/>
    <x v="0"/>
    <x v="1"/>
    <n v="0"/>
    <n v="15"/>
    <n v="20"/>
    <n v="20260117"/>
    <n v="20260220"/>
    <n v="1390145.9997"/>
    <n v="35"/>
    <n v="39718.457134285716"/>
    <n v="0"/>
    <n v="595776.85701428575"/>
    <n v="654963.69893969409"/>
    <n v="1250740.55595398"/>
    <n v="0"/>
    <n v="662181.14584166557"/>
    <n v="727964.85385833436"/>
    <n v="1390145.9997"/>
  </r>
  <r>
    <x v="0"/>
    <x v="0"/>
    <x v="0"/>
    <n v="25"/>
    <n v="5"/>
    <n v="0"/>
    <n v="20251207"/>
    <n v="20260105"/>
    <n v="547775.72089999996"/>
    <n v="30"/>
    <n v="18259.190696666665"/>
    <n v="385600.1570965788"/>
    <n v="91295.953483333316"/>
    <n v="0"/>
    <n v="476896.11057991209"/>
    <n v="442910.72908076853"/>
    <n v="104864.99181923142"/>
    <n v="0"/>
    <n v="547775.72089999996"/>
  </r>
  <r>
    <x v="0"/>
    <x v="0"/>
    <x v="0"/>
    <n v="30"/>
    <n v="8"/>
    <n v="0"/>
    <n v="20251202"/>
    <n v="20260108"/>
    <n v="274822.0736"/>
    <n v="38"/>
    <n v="7232.1598315789479"/>
    <n v="183275.72214119055"/>
    <n v="57857.278652631583"/>
    <n v="0"/>
    <n v="241133.00079382214"/>
    <n v="208881.46306629406"/>
    <n v="65940.610533705913"/>
    <n v="0"/>
    <n v="274822.0736"/>
  </r>
  <r>
    <x v="0"/>
    <x v="0"/>
    <x v="0"/>
    <n v="26"/>
    <n v="6"/>
    <n v="0"/>
    <n v="20251206"/>
    <n v="20260106"/>
    <n v="2505161.8676"/>
    <n v="32"/>
    <n v="78286.3083625"/>
    <n v="1719391.7209565137"/>
    <n v="469717.85017500003"/>
    <n v="0"/>
    <n v="2189109.5711315135"/>
    <n v="1967628.5881756935"/>
    <n v="537533.2794243067"/>
    <n v="0"/>
    <n v="2505161.8676000005"/>
  </r>
  <r>
    <x v="0"/>
    <x v="0"/>
    <x v="1"/>
    <n v="0"/>
    <n v="31"/>
    <n v="0"/>
    <n v="20260101"/>
    <n v="20260131"/>
    <n v="2308357.4049"/>
    <n v="31"/>
    <n v="74463.142093548391"/>
    <n v="0"/>
    <n v="2308357.4049"/>
    <n v="0"/>
    <n v="2308357.4049"/>
    <n v="0"/>
    <n v="2308357.4049"/>
    <n v="0"/>
    <n v="2308357.4049"/>
  </r>
  <r>
    <x v="0"/>
    <x v="0"/>
    <x v="0"/>
    <n v="0"/>
    <n v="21"/>
    <n v="0"/>
    <n v="20260103"/>
    <n v="20260123"/>
    <n v="8518.4737000000005"/>
    <n v="21"/>
    <n v="405.64160476190477"/>
    <n v="0"/>
    <n v="8518.4737000000005"/>
    <n v="0"/>
    <n v="8518.4737000000005"/>
    <n v="0"/>
    <n v="8518.4737000000005"/>
    <n v="0"/>
    <n v="8518.4737000000005"/>
  </r>
  <r>
    <x v="0"/>
    <x v="0"/>
    <x v="0"/>
    <n v="0"/>
    <n v="25"/>
    <n v="1"/>
    <n v="20260107"/>
    <n v="20260201"/>
    <n v="779363.17740000004"/>
    <n v="26"/>
    <n v="29975.506823076925"/>
    <n v="0"/>
    <n v="749387.67057692306"/>
    <n v="24715.044645436443"/>
    <n v="774102.71522235952"/>
    <n v="0"/>
    <n v="754480.18016245996"/>
    <n v="24882.997237540025"/>
    <n v="779363.17739999993"/>
  </r>
  <r>
    <x v="0"/>
    <x v="0"/>
    <x v="1"/>
    <n v="0"/>
    <n v="30"/>
    <n v="4"/>
    <n v="20260102"/>
    <n v="20260204"/>
    <n v="240465.49729999999"/>
    <n v="34"/>
    <n v="7072.5146264705882"/>
    <n v="0"/>
    <n v="212175.43879411765"/>
    <n v="23325.379054362253"/>
    <n v="235500.8178484799"/>
    <n v="0"/>
    <n v="216648.38734148175"/>
    <n v="23817.109958518249"/>
    <n v="240465.49729999999"/>
  </r>
  <r>
    <x v="0"/>
    <x v="0"/>
    <x v="1"/>
    <n v="0"/>
    <n v="30"/>
    <n v="3"/>
    <n v="20260102"/>
    <n v="20260203"/>
    <n v="745577.95770000003"/>
    <n v="33"/>
    <n v="22593.271445454546"/>
    <n v="0"/>
    <n v="677798.14336363634"/>
    <n v="55884.997950825848"/>
    <n v="733683.14131446218"/>
    <n v="0"/>
    <n v="688786.92586083885"/>
    <n v="56791.031839161195"/>
    <n v="745577.95770000003"/>
  </r>
  <r>
    <x v="0"/>
    <x v="0"/>
    <x v="1"/>
    <n v="0"/>
    <n v="26"/>
    <n v="1"/>
    <n v="20260106"/>
    <n v="20260201"/>
    <n v="155752.4234"/>
    <n v="27"/>
    <n v="5768.608274074074"/>
    <n v="0"/>
    <n v="149983.81512592593"/>
    <n v="4756.2635680279764"/>
    <n v="154740.0786939539"/>
    <n v="0"/>
    <n v="150965.04327649207"/>
    <n v="4787.3801235079318"/>
    <n v="155752.4234"/>
  </r>
  <r>
    <x v="0"/>
    <x v="0"/>
    <x v="1"/>
    <n v="0"/>
    <n v="27"/>
    <n v="4"/>
    <n v="20260105"/>
    <n v="20260204"/>
    <n v="191041.98240000001"/>
    <n v="31"/>
    <n v="6162.6445935483871"/>
    <n v="0"/>
    <n v="166391.40402580646"/>
    <n v="20324.598634809216"/>
    <n v="186716.00266061569"/>
    <n v="0"/>
    <n v="170246.4878556146"/>
    <n v="20795.494544385416"/>
    <n v="191041.98240000001"/>
  </r>
  <r>
    <x v="0"/>
    <x v="0"/>
    <x v="1"/>
    <n v="27"/>
    <n v="4"/>
    <n v="0"/>
    <n v="20251205"/>
    <n v="20260104"/>
    <n v="176375.53899999999"/>
    <n v="31"/>
    <n v="5689.5335161290323"/>
    <n v="129764.55848441314"/>
    <n v="22758.134064516129"/>
    <n v="0"/>
    <n v="152522.69254892928"/>
    <n v="150058.28682471722"/>
    <n v="26317.25217528276"/>
    <n v="0"/>
    <n v="176375.53899999999"/>
  </r>
  <r>
    <x v="0"/>
    <x v="0"/>
    <x v="1"/>
    <n v="0"/>
    <n v="16"/>
    <n v="16"/>
    <n v="20260116"/>
    <n v="20260216"/>
    <n v="818859.57290000003"/>
    <n v="32"/>
    <n v="25589.361653125001"/>
    <n v="0"/>
    <n v="409429.78645000001"/>
    <n v="337578.12706916413"/>
    <n v="747007.91351916408"/>
    <n v="0"/>
    <n v="448811.17588908132"/>
    <n v="370048.39701091876"/>
    <n v="818859.57290000003"/>
  </r>
  <r>
    <x v="0"/>
    <x v="0"/>
    <x v="0"/>
    <n v="0"/>
    <n v="24"/>
    <n v="4"/>
    <n v="20260108"/>
    <n v="20260204"/>
    <n v="904930.84539999999"/>
    <n v="28"/>
    <n v="32318.958764285715"/>
    <n v="0"/>
    <n v="775655.0103428571"/>
    <n v="106588.95790724772"/>
    <n v="882243.96825010481"/>
    <n v="0"/>
    <n v="795600.95564101811"/>
    <n v="109329.88975898191"/>
    <n v="904930.84539999999"/>
  </r>
  <r>
    <x v="0"/>
    <x v="0"/>
    <x v="0"/>
    <n v="29"/>
    <n v="7"/>
    <n v="0"/>
    <n v="20251203"/>
    <n v="20260107"/>
    <n v="1154703.9129000001"/>
    <n v="36"/>
    <n v="32075.108691666668"/>
    <n v="785745.32140020328"/>
    <n v="224525.76084166666"/>
    <n v="0"/>
    <n v="1010271.08224187"/>
    <n v="898078.95436372061"/>
    <n v="256624.9585362795"/>
    <n v="0"/>
    <n v="1154703.9129000001"/>
  </r>
  <r>
    <x v="0"/>
    <x v="0"/>
    <x v="1"/>
    <n v="23"/>
    <n v="1"/>
    <n v="0"/>
    <n v="20251209"/>
    <n v="20260101"/>
    <n v="229932.90289999999"/>
    <n v="24"/>
    <n v="9580.5376208333328"/>
    <n v="186137.28960892191"/>
    <n v="9580.5376208333328"/>
    <n v="0"/>
    <n v="195717.82722975523"/>
    <n v="218677.51110620657"/>
    <n v="11255.391793793431"/>
    <n v="0"/>
    <n v="229932.90289999999"/>
  </r>
  <r>
    <x v="0"/>
    <x v="0"/>
    <x v="0"/>
    <n v="16"/>
    <n v="16"/>
    <n v="0"/>
    <n v="20251216"/>
    <n v="20260116"/>
    <n v="1393349.5689000001"/>
    <n v="32"/>
    <n v="43542.174028125002"/>
    <n v="588499.04312174534"/>
    <n v="696674.78445000004"/>
    <n v="0"/>
    <n v="1285173.8275717455"/>
    <n v="638034.22575221281"/>
    <n v="755315.34314778715"/>
    <n v="0"/>
    <n v="1393349.5688999998"/>
  </r>
  <r>
    <x v="0"/>
    <x v="0"/>
    <x v="0"/>
    <n v="0"/>
    <n v="27"/>
    <n v="0"/>
    <n v="20260102"/>
    <n v="20260128"/>
    <n v="965.57910000000004"/>
    <n v="27"/>
    <n v="35.762188888888893"/>
    <n v="0"/>
    <n v="965.57910000000015"/>
    <n v="0"/>
    <n v="965.57910000000015"/>
    <n v="0"/>
    <n v="965.57910000000004"/>
    <n v="0"/>
    <n v="965.57910000000004"/>
  </r>
  <r>
    <x v="0"/>
    <x v="0"/>
    <x v="0"/>
    <n v="0"/>
    <n v="28"/>
    <n v="6"/>
    <n v="20260104"/>
    <n v="20260206"/>
    <n v="194899.0416"/>
    <n v="34"/>
    <n v="5732.3247529411765"/>
    <n v="0"/>
    <n v="160505.09308235295"/>
    <n v="28358.085091394427"/>
    <n v="188863.17817374738"/>
    <n v="0"/>
    <n v="165634.66270217474"/>
    <n v="29264.378897825245"/>
    <n v="194899.0416"/>
  </r>
  <r>
    <x v="0"/>
    <x v="0"/>
    <x v="1"/>
    <n v="30"/>
    <n v="4"/>
    <n v="0"/>
    <n v="20251202"/>
    <n v="20260104"/>
    <n v="154720.15599999999"/>
    <n v="34"/>
    <n v="4550.5928235294114"/>
    <n v="115320.07108874801"/>
    <n v="18202.371294117645"/>
    <n v="0"/>
    <n v="133522.44238286564"/>
    <n v="133628.01840922443"/>
    <n v="21092.137590775554"/>
    <n v="0"/>
    <n v="154720.15599999999"/>
  </r>
  <r>
    <x v="0"/>
    <x v="0"/>
    <x v="0"/>
    <n v="0"/>
    <n v="27"/>
    <n v="6"/>
    <n v="20260105"/>
    <n v="20260206"/>
    <n v="512581.13740000001"/>
    <n v="33"/>
    <n v="15532.76173939394"/>
    <n v="0"/>
    <n v="419384.56696363637"/>
    <n v="76841.316236328916"/>
    <n v="496225.88319996529"/>
    <n v="0"/>
    <n v="433207.18571949378"/>
    <n v="79373.951680506216"/>
    <n v="512581.13740000001"/>
  </r>
  <r>
    <x v="0"/>
    <x v="0"/>
    <x v="0"/>
    <n v="0"/>
    <n v="23"/>
    <n v="6"/>
    <n v="20260109"/>
    <n v="20260206"/>
    <n v="155058.1139"/>
    <n v="29"/>
    <n v="5346.8315137931031"/>
    <n v="0"/>
    <n v="122977.12481724138"/>
    <n v="26451.031574876659"/>
    <n v="149428.15639211802"/>
    <n v="0"/>
    <n v="127610.49515305505"/>
    <n v="27447.618746944958"/>
    <n v="155058.1139"/>
  </r>
  <r>
    <x v="0"/>
    <x v="0"/>
    <x v="1"/>
    <n v="24"/>
    <n v="4"/>
    <n v="0"/>
    <n v="20251208"/>
    <n v="20260104"/>
    <n v="4956.5226000000002"/>
    <n v="28"/>
    <n v="177.01866428571429"/>
    <n v="3588.7728462826472"/>
    <n v="708.07465714285718"/>
    <n v="0"/>
    <n v="4296.8475034255043"/>
    <n v="4139.7405201570609"/>
    <n v="816.78207984293897"/>
    <n v="0"/>
    <n v="4956.5226000000002"/>
  </r>
  <r>
    <x v="0"/>
    <x v="0"/>
    <x v="0"/>
    <n v="0"/>
    <n v="15"/>
    <n v="15"/>
    <n v="20260117"/>
    <n v="20260215"/>
    <n v="398806.50679999997"/>
    <n v="30"/>
    <n v="13293.550226666666"/>
    <n v="0"/>
    <n v="199403.25339999999"/>
    <n v="164409.57410041883"/>
    <n v="363812.82750041882"/>
    <n v="0"/>
    <n v="218583.04304269666"/>
    <n v="180223.46375730334"/>
    <n v="398806.50679999997"/>
  </r>
  <r>
    <x v="0"/>
    <x v="0"/>
    <x v="0"/>
    <n v="0"/>
    <n v="25"/>
    <n v="7"/>
    <n v="20260107"/>
    <n v="20260207"/>
    <n v="216974.79519999999"/>
    <n v="32"/>
    <n v="6780.4623499999998"/>
    <n v="0"/>
    <n v="169511.55875"/>
    <n v="39133.817312992622"/>
    <n v="208645.37606299261"/>
    <n v="0"/>
    <n v="176278.70043336001"/>
    <n v="40696.094766640002"/>
    <n v="216974.79519999999"/>
  </r>
  <r>
    <x v="0"/>
    <x v="0"/>
    <x v="0"/>
    <n v="0"/>
    <n v="14"/>
    <n v="19"/>
    <n v="20260118"/>
    <n v="20260219"/>
    <n v="49849.076999999997"/>
    <n v="33"/>
    <n v="1510.5780909090909"/>
    <n v="0"/>
    <n v="21148.093272727274"/>
    <n v="23664.190179476584"/>
    <n v="44812.283452203861"/>
    <n v="0"/>
    <n v="23525.088407507112"/>
    <n v="26323.988592492882"/>
    <n v="49849.07699999999"/>
  </r>
  <r>
    <x v="0"/>
    <x v="0"/>
    <x v="1"/>
    <n v="28"/>
    <n v="8"/>
    <n v="0"/>
    <n v="20251204"/>
    <n v="20260108"/>
    <n v="268578.53879999998"/>
    <n v="36"/>
    <n v="7460.5149666666657"/>
    <n v="176458.46882668266"/>
    <n v="59684.119733333326"/>
    <n v="0"/>
    <n v="236142.58856001598"/>
    <n v="200696.35894717393"/>
    <n v="67882.179852826055"/>
    <n v="0"/>
    <n v="268578.53879999998"/>
  </r>
  <r>
    <x v="0"/>
    <x v="0"/>
    <x v="0"/>
    <n v="27"/>
    <n v="8"/>
    <n v="0"/>
    <n v="20251205"/>
    <n v="20260108"/>
    <n v="203945.89679999999"/>
    <n v="35"/>
    <n v="5827.0256228571425"/>
    <n v="132900.42234286244"/>
    <n v="46616.20498285714"/>
    <n v="0"/>
    <n v="179516.62732571957"/>
    <n v="150985.99067725768"/>
    <n v="52959.906122742323"/>
    <n v="0"/>
    <n v="203945.89679999999"/>
  </r>
  <r>
    <x v="0"/>
    <x v="0"/>
    <x v="0"/>
    <n v="0"/>
    <n v="12"/>
    <n v="0"/>
    <n v="20260104"/>
    <n v="20260115"/>
    <n v="41.951099999999997"/>
    <n v="12"/>
    <n v="3.4959249999999997"/>
    <n v="0"/>
    <n v="41.951099999999997"/>
    <n v="0"/>
    <n v="41.951099999999997"/>
    <n v="0"/>
    <n v="41.951099999999997"/>
    <n v="0"/>
    <n v="41.951099999999997"/>
  </r>
  <r>
    <x v="0"/>
    <x v="0"/>
    <x v="1"/>
    <n v="15"/>
    <n v="18"/>
    <n v="0"/>
    <n v="20251217"/>
    <n v="20260118"/>
    <n v="18088.1502"/>
    <n v="33"/>
    <n v="548.12576363636367"/>
    <n v="6945.2381787802478"/>
    <n v="9866.2637454545456"/>
    <n v="0"/>
    <n v="16811.501924234792"/>
    <n v="7472.6524684539572"/>
    <n v="10615.497731546046"/>
    <n v="0"/>
    <n v="18088.150200000004"/>
  </r>
  <r>
    <x v="0"/>
    <x v="0"/>
    <x v="1"/>
    <n v="0"/>
    <n v="19"/>
    <n v="0"/>
    <n v="20260109"/>
    <n v="20260127"/>
    <n v="168.02959999999999"/>
    <n v="19"/>
    <n v="8.8436631578947367"/>
    <n v="0"/>
    <n v="168.02959999999999"/>
    <n v="0"/>
    <n v="168.02959999999999"/>
    <n v="0"/>
    <n v="168.02959999999999"/>
    <n v="0"/>
    <n v="168.02959999999999"/>
  </r>
  <r>
    <x v="0"/>
    <x v="0"/>
    <x v="1"/>
    <n v="0"/>
    <n v="19"/>
    <n v="0"/>
    <n v="20260102"/>
    <n v="20260120"/>
    <n v="3020.8325"/>
    <n v="19"/>
    <n v="158.99118421052631"/>
    <n v="0"/>
    <n v="3020.8325"/>
    <n v="0"/>
    <n v="3020.8325"/>
    <n v="0"/>
    <n v="3020.8325"/>
    <n v="0"/>
    <n v="3020.8325"/>
  </r>
  <r>
    <x v="0"/>
    <x v="0"/>
    <x v="1"/>
    <n v="23"/>
    <n v="2"/>
    <n v="0"/>
    <n v="20251209"/>
    <n v="20260102"/>
    <n v="630.12570000000005"/>
    <n v="25"/>
    <n v="25.205028000000002"/>
    <n v="489.70066003758376"/>
    <n v="50.410056000000004"/>
    <n v="0"/>
    <n v="540.11071603758376"/>
    <n v="571.31429174453251"/>
    <n v="58.811408255467477"/>
    <n v="0"/>
    <n v="630.12569999999994"/>
  </r>
  <r>
    <x v="0"/>
    <x v="0"/>
    <x v="0"/>
    <n v="24"/>
    <n v="2"/>
    <n v="0"/>
    <n v="20251208"/>
    <n v="20260102"/>
    <n v="23610.9323"/>
    <n v="26"/>
    <n v="908.11278076923077"/>
    <n v="18410.547284023593"/>
    <n v="1816.2255615384615"/>
    <n v="0"/>
    <n v="20226.772845562053"/>
    <n v="21490.832415434234"/>
    <n v="2120.0998845657673"/>
    <n v="0"/>
    <n v="23610.9323"/>
  </r>
  <r>
    <x v="0"/>
    <x v="0"/>
    <x v="0"/>
    <n v="23"/>
    <n v="2"/>
    <n v="0"/>
    <n v="20251209"/>
    <n v="20260102"/>
    <n v="90486.054799999998"/>
    <n v="25"/>
    <n v="3619.442192"/>
    <n v="70321.01810758865"/>
    <n v="7238.884384"/>
    <n v="0"/>
    <n v="77559.902491588655"/>
    <n v="82040.736175050406"/>
    <n v="8445.3186249495957"/>
    <n v="0"/>
    <n v="90486.054799999998"/>
  </r>
  <r>
    <x v="0"/>
    <x v="0"/>
    <x v="0"/>
    <n v="0"/>
    <n v="23"/>
    <n v="2"/>
    <n v="20260109"/>
    <n v="20260202"/>
    <n v="158866.39199999999"/>
    <n v="25"/>
    <n v="6354.6556799999998"/>
    <n v="0"/>
    <n v="146157.08064"/>
    <n v="10478.928664296382"/>
    <n v="156636.00930429637"/>
    <n v="0"/>
    <n v="148238.25102324644"/>
    <n v="10628.140976753568"/>
    <n v="158866.39200000002"/>
  </r>
  <r>
    <x v="0"/>
    <x v="0"/>
    <x v="0"/>
    <n v="0"/>
    <n v="22"/>
    <n v="2"/>
    <n v="20260110"/>
    <n v="20260202"/>
    <n v="2017.5407"/>
    <n v="24"/>
    <n v="84.064195833333329"/>
    <n v="0"/>
    <n v="1849.4123083333332"/>
    <n v="138.62320095979473"/>
    <n v="1988.0355092931279"/>
    <n v="0"/>
    <n v="1876.8601394198179"/>
    <n v="140.68056058018203"/>
    <n v="2017.5407"/>
  </r>
  <r>
    <x v="0"/>
    <x v="0"/>
    <x v="1"/>
    <n v="0"/>
    <n v="28"/>
    <n v="8"/>
    <n v="20260104"/>
    <n v="20260208"/>
    <n v="1596.9568999999999"/>
    <n v="36"/>
    <n v="44.359913888888883"/>
    <n v="0"/>
    <n v="1242.0775888888888"/>
    <n v="292.60082472068535"/>
    <n v="1534.6784136095741"/>
    <n v="0"/>
    <n v="1292.482098087354"/>
    <n v="304.47480191264606"/>
    <n v="1596.9569000000001"/>
  </r>
  <r>
    <x v="0"/>
    <x v="0"/>
    <x v="0"/>
    <n v="0"/>
    <n v="16"/>
    <n v="0"/>
    <n v="20260106"/>
    <n v="20260121"/>
    <n v="15234.335300000001"/>
    <n v="16"/>
    <n v="952.14595625000004"/>
    <n v="0"/>
    <n v="15234.335300000001"/>
    <n v="0"/>
    <n v="15234.335300000001"/>
    <n v="0"/>
    <n v="15234.335300000001"/>
    <n v="0"/>
    <n v="15234.335300000001"/>
  </r>
  <r>
    <x v="0"/>
    <x v="0"/>
    <x v="1"/>
    <n v="14"/>
    <n v="17"/>
    <n v="0"/>
    <n v="20251218"/>
    <n v="20260117"/>
    <n v="251.81909999999999"/>
    <n v="31"/>
    <n v="8.1231967741935485"/>
    <n v="96.066214675290922"/>
    <n v="138.09434516129033"/>
    <n v="0"/>
    <n v="234.16055983658126"/>
    <n v="103.31076991283872"/>
    <n v="148.50833008716126"/>
    <n v="0"/>
    <n v="251.81909999999999"/>
  </r>
  <r>
    <x v="0"/>
    <x v="0"/>
    <x v="0"/>
    <n v="29"/>
    <n v="10"/>
    <n v="0"/>
    <n v="20251203"/>
    <n v="20260110"/>
    <n v="10503.083699999999"/>
    <n v="39"/>
    <n v="269.30983846153845"/>
    <n v="6597.2947313246605"/>
    <n v="2693.0983846153845"/>
    <n v="0"/>
    <n v="9290.3931159400454"/>
    <n v="7458.4506696260114"/>
    <n v="3044.6330303739878"/>
    <n v="0"/>
    <n v="10503.083699999999"/>
  </r>
  <r>
    <x v="0"/>
    <x v="0"/>
    <x v="0"/>
    <n v="0"/>
    <n v="22"/>
    <n v="0"/>
    <n v="20260102"/>
    <n v="20260123"/>
    <n v="46578.8465"/>
    <n v="22"/>
    <n v="2117.2202954545455"/>
    <n v="0"/>
    <n v="46578.8465"/>
    <n v="0"/>
    <n v="46578.8465"/>
    <n v="0"/>
    <n v="46578.8465"/>
    <n v="0"/>
    <n v="46578.8465"/>
  </r>
  <r>
    <x v="0"/>
    <x v="0"/>
    <x v="0"/>
    <n v="0"/>
    <n v="28"/>
    <n v="9"/>
    <n v="20260104"/>
    <n v="20260209"/>
    <n v="6682.9466000000002"/>
    <n v="37"/>
    <n v="180.6201783783784"/>
    <n v="0"/>
    <n v="5057.3649945945954"/>
    <n v="1340.3050093373142"/>
    <n v="6397.6700039319094"/>
    <n v="0"/>
    <n v="5282.8764495219639"/>
    <n v="1400.070150478037"/>
    <n v="6682.9466000000011"/>
  </r>
  <r>
    <x v="0"/>
    <x v="0"/>
    <x v="0"/>
    <n v="0"/>
    <n v="20"/>
    <n v="0"/>
    <n v="20260104"/>
    <n v="20260123"/>
    <n v="419.649"/>
    <n v="20"/>
    <n v="20.98245"/>
    <n v="0"/>
    <n v="419.649"/>
    <n v="0"/>
    <n v="419.649"/>
    <n v="0"/>
    <n v="419.649"/>
    <n v="0"/>
    <n v="419.649"/>
  </r>
  <r>
    <x v="0"/>
    <x v="0"/>
    <x v="1"/>
    <n v="0"/>
    <n v="19"/>
    <n v="2"/>
    <n v="20260113"/>
    <n v="20260202"/>
    <n v="42.030099999999997"/>
    <n v="21"/>
    <n v="2.0014333333333334"/>
    <n v="0"/>
    <n v="38.027233333333335"/>
    <n v="3.300395518258028"/>
    <n v="41.327628851591363"/>
    <n v="0"/>
    <n v="38.67360562743221"/>
    <n v="3.3564943725677923"/>
    <n v="42.030100000000004"/>
  </r>
  <r>
    <x v="0"/>
    <x v="0"/>
    <x v="0"/>
    <n v="0"/>
    <n v="13"/>
    <n v="0"/>
    <n v="20260107"/>
    <n v="20260119"/>
    <n v="587.48090000000002"/>
    <n v="13"/>
    <n v="45.190838461538462"/>
    <n v="0"/>
    <n v="587.48090000000002"/>
    <n v="0"/>
    <n v="587.48090000000002"/>
    <n v="0"/>
    <n v="587.48090000000002"/>
    <n v="0"/>
    <n v="587.48090000000002"/>
  </r>
  <r>
    <x v="0"/>
    <x v="0"/>
    <x v="0"/>
    <n v="29"/>
    <n v="9"/>
    <n v="0"/>
    <n v="20251203"/>
    <n v="20260109"/>
    <n v="5083.2533999999996"/>
    <n v="38"/>
    <n v="133.76982631578946"/>
    <n v="3276.9652063394997"/>
    <n v="1203.9284368421052"/>
    <n v="0"/>
    <n v="4480.8936431816046"/>
    <n v="3717.4826838736126"/>
    <n v="1365.770716126387"/>
    <n v="0"/>
    <n v="5083.2533999999996"/>
  </r>
  <r>
    <x v="0"/>
    <x v="0"/>
    <x v="1"/>
    <n v="16"/>
    <n v="20"/>
    <n v="0"/>
    <n v="20251216"/>
    <n v="20260120"/>
    <n v="96994.589099999997"/>
    <n v="36"/>
    <n v="2694.2941416666667"/>
    <n v="36415.028869141555"/>
    <n v="53885.882833333337"/>
    <n v="0"/>
    <n v="90300.911702474899"/>
    <n v="39114.342210237272"/>
    <n v="57880.246889762719"/>
    <n v="0"/>
    <n v="96994.589099999983"/>
  </r>
  <r>
    <x v="0"/>
    <x v="0"/>
    <x v="0"/>
    <n v="0"/>
    <n v="19"/>
    <n v="0"/>
    <n v="20260102"/>
    <n v="20260120"/>
    <n v="461.51609999999999"/>
    <n v="19"/>
    <n v="24.29032105263158"/>
    <n v="0"/>
    <n v="461.51609999999999"/>
    <n v="0"/>
    <n v="461.51609999999999"/>
    <n v="0"/>
    <n v="461.51609999999999"/>
    <n v="0"/>
    <n v="461.51609999999999"/>
  </r>
  <r>
    <x v="0"/>
    <x v="0"/>
    <x v="0"/>
    <n v="22"/>
    <n v="8"/>
    <n v="0"/>
    <n v="20251210"/>
    <n v="20260108"/>
    <n v="2476.8620000000001"/>
    <n v="30"/>
    <n v="82.562066666666666"/>
    <n v="1534.3304551155782"/>
    <n v="660.49653333333333"/>
    <n v="0"/>
    <n v="2194.8269884489114"/>
    <n v="1731.4917393120713"/>
    <n v="745.37026068792886"/>
    <n v="0"/>
    <n v="2476.8620000000001"/>
  </r>
  <r>
    <x v="0"/>
    <x v="0"/>
    <x v="0"/>
    <n v="29"/>
    <n v="12"/>
    <n v="0"/>
    <n v="20251203"/>
    <n v="20260112"/>
    <n v="7688.4381000000003"/>
    <n v="41"/>
    <n v="187.52288048780488"/>
    <n v="4593.7560933990981"/>
    <n v="2250.2745658536587"/>
    <n v="0"/>
    <n v="6844.0306592527568"/>
    <n v="5160.5276377375194"/>
    <n v="2527.9104622624814"/>
    <n v="0"/>
    <n v="7688.4381000000012"/>
  </r>
  <r>
    <x v="0"/>
    <x v="0"/>
    <x v="0"/>
    <n v="13"/>
    <n v="3"/>
    <n v="0"/>
    <n v="20251219"/>
    <n v="20260103"/>
    <n v="8187.9732000000004"/>
    <n v="16"/>
    <n v="511.74832500000002"/>
    <n v="5619.7300116902888"/>
    <n v="1535.2449750000001"/>
    <n v="0"/>
    <n v="7154.9749866902894"/>
    <n v="6431.077510760213"/>
    <n v="1756.8956892397869"/>
    <n v="0"/>
    <n v="8187.9732000000004"/>
  </r>
  <r>
    <x v="0"/>
    <x v="0"/>
    <x v="0"/>
    <n v="3"/>
    <n v="31"/>
    <n v="1"/>
    <n v="20251229"/>
    <n v="20260201"/>
    <n v="38671.517099999997"/>
    <n v="35"/>
    <n v="1104.9004885714285"/>
    <n v="2800.0132692431393"/>
    <n v="34251.91514571428"/>
    <n v="910.99927233871927"/>
    <n v="37962.927687296135"/>
    <n v="2852.2763553348891"/>
    <n v="34891.237398123332"/>
    <n v="928.003346541778"/>
    <n v="38671.517100000005"/>
  </r>
  <r>
    <x v="0"/>
    <x v="1"/>
    <x v="1"/>
    <n v="31"/>
    <n v="5"/>
    <n v="0"/>
    <n v="20251126"/>
    <n v="20260105"/>
    <n v="4801.8069999999998"/>
    <n v="36"/>
    <n v="133.38352777777777"/>
    <n v="3492.847002277023"/>
    <n v="666.91763888888886"/>
    <n v="0"/>
    <n v="4159.7646411659116"/>
    <n v="4031.9533993543255"/>
    <n v="769.85360064567431"/>
    <n v="0"/>
    <n v="4801.8069999999998"/>
  </r>
  <r>
    <x v="0"/>
    <x v="0"/>
    <x v="0"/>
    <n v="1"/>
    <n v="31"/>
    <n v="1"/>
    <n v="20251231"/>
    <n v="20260201"/>
    <n v="97205.938500000004"/>
    <n v="33"/>
    <n v="2945.6345000000001"/>
    <n v="2488.2529457484816"/>
    <n v="91314.669500000004"/>
    <n v="2428.6991578267812"/>
    <n v="96231.621603575259"/>
    <n v="2513.4457757894056"/>
    <n v="92239.20370094903"/>
    <n v="2453.2890232615673"/>
    <n v="97205.938500000004"/>
  </r>
  <r>
    <x v="0"/>
    <x v="0"/>
    <x v="0"/>
    <n v="16"/>
    <n v="1"/>
    <n v="0"/>
    <n v="20251216"/>
    <n v="20260101"/>
    <n v="12723.15"/>
    <n v="17"/>
    <n v="748.42058823529408"/>
    <n v="10115.360793528358"/>
    <n v="748.42058823529408"/>
    <n v="0"/>
    <n v="10863.781381763652"/>
    <n v="11846.634993614623"/>
    <n v="876.51500638537459"/>
    <n v="0"/>
    <n v="12723.149999999998"/>
  </r>
  <r>
    <x v="0"/>
    <x v="0"/>
    <x v="0"/>
    <n v="6"/>
    <n v="31"/>
    <n v="1"/>
    <n v="20251226"/>
    <n v="20260201"/>
    <n v="14570.7363"/>
    <n v="38"/>
    <n v="383.44042894736845"/>
    <n v="1943.4117372960241"/>
    <n v="11886.653297368422"/>
    <n v="316.14969435658543"/>
    <n v="14146.214729021032"/>
    <n v="2001.7326534972565"/>
    <n v="12243.366441353786"/>
    <n v="325.63720514895601"/>
    <n v="14570.736299999999"/>
  </r>
  <r>
    <x v="0"/>
    <x v="0"/>
    <x v="0"/>
    <n v="13"/>
    <n v="1"/>
    <n v="0"/>
    <n v="20251219"/>
    <n v="20260101"/>
    <n v="17470.553800000002"/>
    <n v="14"/>
    <n v="1247.8967"/>
    <n v="13703.694167400103"/>
    <n v="1247.8967"/>
    <n v="0"/>
    <n v="14951.590867400102"/>
    <n v="16012.418232518181"/>
    <n v="1458.1355674818212"/>
    <n v="0"/>
    <n v="17470.553800000002"/>
  </r>
  <r>
    <x v="0"/>
    <x v="0"/>
    <x v="0"/>
    <n v="16"/>
    <n v="4"/>
    <n v="0"/>
    <n v="20251216"/>
    <n v="20260104"/>
    <n v="22039.874"/>
    <n v="20"/>
    <n v="1101.9937"/>
    <n v="14894.117081919123"/>
    <n v="4407.9748"/>
    <n v="0"/>
    <n v="19302.091881919121"/>
    <n v="17006.678127682153"/>
    <n v="5033.1958723178495"/>
    <n v="0"/>
    <n v="22039.874000000003"/>
  </r>
  <r>
    <x v="0"/>
    <x v="1"/>
    <x v="0"/>
    <n v="31"/>
    <n v="1"/>
    <n v="0"/>
    <n v="20251126"/>
    <n v="20260101"/>
    <n v="14314.6432"/>
    <n v="32"/>
    <n v="447.33260000000001"/>
    <n v="11714.072621725181"/>
    <n v="447.33260000000001"/>
    <n v="0"/>
    <n v="12161.405221725181"/>
    <n v="13788.108112649301"/>
    <n v="526.53508735069943"/>
    <n v="0"/>
    <n v="14314.6432"/>
  </r>
  <r>
    <x v="0"/>
    <x v="0"/>
    <x v="0"/>
    <n v="15"/>
    <n v="3"/>
    <n v="0"/>
    <n v="20251217"/>
    <n v="20260103"/>
    <n v="1889.2655"/>
    <n v="18"/>
    <n v="104.95919444444445"/>
    <n v="1329.9258178150237"/>
    <n v="314.87758333333335"/>
    <n v="0"/>
    <n v="1644.8034011483571"/>
    <n v="1527.5886245146332"/>
    <n v="361.67687548536645"/>
    <n v="0"/>
    <n v="1889.2654999999997"/>
  </r>
  <r>
    <x v="0"/>
    <x v="0"/>
    <x v="0"/>
    <n v="20"/>
    <n v="4"/>
    <n v="0"/>
    <n v="20251212"/>
    <n v="20260104"/>
    <n v="3149.2946000000002"/>
    <n v="24"/>
    <n v="131.22060833333333"/>
    <n v="2216.9082092725648"/>
    <n v="524.88243333333332"/>
    <n v="0"/>
    <n v="2741.790642605898"/>
    <n v="2546.4004959627769"/>
    <n v="602.89410403722366"/>
    <n v="0"/>
    <n v="3149.2946000000006"/>
  </r>
  <r>
    <x v="0"/>
    <x v="0"/>
    <x v="0"/>
    <n v="9"/>
    <n v="4"/>
    <n v="0"/>
    <n v="20251223"/>
    <n v="20260104"/>
    <n v="8143.8747999999996"/>
    <n v="13"/>
    <n v="626.45190769230771"/>
    <n v="4762.6198166019121"/>
    <n v="2505.8076307692309"/>
    <n v="0"/>
    <n v="7268.427447371143"/>
    <n v="5336.2546145291963"/>
    <n v="2807.6201854708029"/>
    <n v="0"/>
    <n v="8143.8747999999996"/>
  </r>
  <r>
    <x v="0"/>
    <x v="0"/>
    <x v="0"/>
    <n v="1"/>
    <n v="3"/>
    <n v="0"/>
    <n v="20251231"/>
    <n v="20260103"/>
    <n v="41.9343"/>
    <n v="4"/>
    <n v="10.483575"/>
    <n v="8.8557444502110272"/>
    <n v="31.450724999999998"/>
    <n v="0"/>
    <n v="40.306469450211026"/>
    <n v="9.2133955060789869"/>
    <n v="32.720904493921012"/>
    <n v="0"/>
    <n v="41.9343"/>
  </r>
  <r>
    <x v="0"/>
    <x v="0"/>
    <x v="0"/>
    <n v="2"/>
    <n v="15"/>
    <n v="0"/>
    <n v="20251230"/>
    <n v="20260115"/>
    <n v="125.83839999999999"/>
    <n v="17"/>
    <n v="7.4022588235294116"/>
    <n v="12.505755430851822"/>
    <n v="111.03388235294118"/>
    <n v="0"/>
    <n v="123.539637783793"/>
    <n v="12.738456113687555"/>
    <n v="113.09994388631243"/>
    <n v="0"/>
    <n v="125.83839999999998"/>
  </r>
  <r>
    <x v="0"/>
    <x v="0"/>
    <x v="1"/>
    <n v="0"/>
    <n v="20"/>
    <n v="19"/>
    <n v="20260112"/>
    <n v="20260219"/>
    <n v="967.85199999999998"/>
    <n v="39"/>
    <n v="24.816717948717947"/>
    <n v="0"/>
    <n v="496.33435897435896"/>
    <n v="388.7700587630423"/>
    <n v="885.10441773740126"/>
    <n v="0"/>
    <n v="542.73619290031957"/>
    <n v="425.11580709968035"/>
    <n v="967.85199999999986"/>
  </r>
  <r>
    <x v="0"/>
    <x v="0"/>
    <x v="0"/>
    <n v="0"/>
    <n v="11"/>
    <n v="4"/>
    <n v="20260121"/>
    <n v="20260204"/>
    <n v="5428.7695999999996"/>
    <n v="15"/>
    <n v="361.91797333333329"/>
    <n v="0"/>
    <n v="3981.0977066666665"/>
    <n v="1193.6170316270291"/>
    <n v="5174.7147382936955"/>
    <n v="0"/>
    <n v="4176.5514231434099"/>
    <n v="1252.2181768565893"/>
    <n v="5428.7695999999996"/>
  </r>
  <r>
    <x v="0"/>
    <x v="0"/>
    <x v="0"/>
    <n v="0"/>
    <n v="11"/>
    <n v="0"/>
    <n v="20260121"/>
    <n v="20260131"/>
    <n v="1849.4123"/>
    <n v="11"/>
    <n v="168.12839090909091"/>
    <n v="0"/>
    <n v="1849.4123"/>
    <n v="0"/>
    <n v="1849.4123"/>
    <n v="0"/>
    <n v="1849.4123"/>
    <n v="0"/>
    <n v="1849.4123"/>
  </r>
  <r>
    <x v="0"/>
    <x v="0"/>
    <x v="0"/>
    <n v="27"/>
    <n v="5"/>
    <n v="0"/>
    <n v="20251205"/>
    <n v="20260105"/>
    <n v="3562117.0731000002"/>
    <n v="32"/>
    <n v="111316.158534375"/>
    <n v="2538853.5146941063"/>
    <n v="556580.79267187498"/>
    <n v="0"/>
    <n v="3095434.3073659814"/>
    <n v="2921623.4469170268"/>
    <n v="640493.62618297315"/>
    <n v="0"/>
    <n v="3562117.0730999997"/>
  </r>
  <r>
    <x v="0"/>
    <x v="0"/>
    <x v="0"/>
    <n v="0"/>
    <n v="30"/>
    <n v="1"/>
    <n v="20260102"/>
    <n v="20260201"/>
    <n v="21830477.478100002"/>
    <n v="31"/>
    <n v="704208.95090645168"/>
    <n v="0"/>
    <n v="21126268.52719355"/>
    <n v="580625.90114305762"/>
    <n v="21706894.428336609"/>
    <n v="0"/>
    <n v="21246545.921241347"/>
    <n v="583931.55685865402"/>
    <n v="21830477.478100002"/>
  </r>
  <r>
    <x v="0"/>
    <x v="0"/>
    <x v="1"/>
    <n v="0"/>
    <n v="16"/>
    <n v="19"/>
    <n v="20260116"/>
    <n v="20260219"/>
    <n v="17275304.147"/>
    <n v="35"/>
    <n v="493580.11848571431"/>
    <n v="0"/>
    <n v="7897281.8957714289"/>
    <n v="7732254.2031741012"/>
    <n v="15629536.09894553"/>
    <n v="0"/>
    <n v="8728854.5111234933"/>
    <n v="8546449.6358765066"/>
    <n v="17275304.147"/>
  </r>
  <r>
    <x v="0"/>
    <x v="0"/>
    <x v="1"/>
    <n v="26"/>
    <n v="3"/>
    <n v="0"/>
    <n v="20251206"/>
    <n v="20260103"/>
    <n v="194105.18400000001"/>
    <n v="29"/>
    <n v="6693.2822068965525"/>
    <n v="147003.66198486008"/>
    <n v="20079.846620689656"/>
    <n v="0"/>
    <n v="167083.50860554975"/>
    <n v="170777.9127718012"/>
    <n v="23327.271228198781"/>
    <n v="0"/>
    <n v="194105.18399999998"/>
  </r>
  <r>
    <x v="0"/>
    <x v="0"/>
    <x v="1"/>
    <n v="27"/>
    <n v="1"/>
    <n v="0"/>
    <n v="20251205"/>
    <n v="20260101"/>
    <n v="368922.886"/>
    <n v="28"/>
    <n v="13175.817357142858"/>
    <n v="300508.66510830738"/>
    <n v="13175.817357142858"/>
    <n v="0"/>
    <n v="313684.48246545024"/>
    <n v="353426.86743191088"/>
    <n v="15496.018568089097"/>
    <n v="0"/>
    <n v="368922.886"/>
  </r>
  <r>
    <x v="0"/>
    <x v="0"/>
    <x v="0"/>
    <n v="28"/>
    <n v="2"/>
    <n v="0"/>
    <n v="20251204"/>
    <n v="20260102"/>
    <n v="4569079.6096000001"/>
    <n v="30"/>
    <n v="152302.65365333334"/>
    <n v="3602310.7227831851"/>
    <n v="304605.30730666668"/>
    <n v="0"/>
    <n v="3906916.0300898519"/>
    <n v="4212848.2783218548"/>
    <n v="356231.33127814485"/>
    <n v="0"/>
    <n v="4569079.6096000001"/>
  </r>
  <r>
    <x v="0"/>
    <x v="0"/>
    <x v="1"/>
    <n v="29"/>
    <n v="6"/>
    <n v="0"/>
    <n v="20251203"/>
    <n v="20260106"/>
    <n v="634092.66859999998"/>
    <n v="35"/>
    <n v="18116.93338857143"/>
    <n v="443811.29881837498"/>
    <n v="108701.60033142858"/>
    <n v="0"/>
    <n v="552512.89914980356"/>
    <n v="509341.03304305719"/>
    <n v="124751.63555694281"/>
    <n v="0"/>
    <n v="634092.66859999998"/>
  </r>
  <r>
    <x v="0"/>
    <x v="0"/>
    <x v="1"/>
    <n v="0"/>
    <n v="26"/>
    <n v="3"/>
    <n v="20260106"/>
    <n v="20260203"/>
    <n v="1086541.0574"/>
    <n v="29"/>
    <n v="37466.933013793103"/>
    <n v="0"/>
    <n v="974140.25835862069"/>
    <n v="92675.35601272159"/>
    <n v="1066815.6143713424"/>
    <n v="0"/>
    <n v="992152.13211573486"/>
    <n v="94388.92528426506"/>
    <n v="1086541.0573999998"/>
  </r>
  <r>
    <x v="0"/>
    <x v="0"/>
    <x v="1"/>
    <n v="28"/>
    <n v="3"/>
    <n v="0"/>
    <n v="20251204"/>
    <n v="20260103"/>
    <n v="711704.22930000001"/>
    <n v="31"/>
    <n v="22958.20094516129"/>
    <n v="543014.65835789486"/>
    <n v="68874.602835483878"/>
    <n v="0"/>
    <n v="611889.26119337871"/>
    <n v="631594.3969526072"/>
    <n v="80109.832347392861"/>
    <n v="0"/>
    <n v="711704.22930000001"/>
  </r>
  <r>
    <x v="0"/>
    <x v="0"/>
    <x v="1"/>
    <n v="30"/>
    <n v="6"/>
    <n v="0"/>
    <n v="20251202"/>
    <n v="20260106"/>
    <n v="492859.73810000002"/>
    <n v="36"/>
    <n v="13690.548280555557"/>
    <n v="346942.70882559434"/>
    <n v="82143.289683333336"/>
    <n v="0"/>
    <n v="429085.99850892765"/>
    <n v="398507.74250777432"/>
    <n v="94351.995592225692"/>
    <n v="0"/>
    <n v="492859.73810000002"/>
  </r>
  <r>
    <x v="0"/>
    <x v="0"/>
    <x v="1"/>
    <n v="0"/>
    <n v="24"/>
    <n v="7"/>
    <n v="20260108"/>
    <n v="20260207"/>
    <n v="50781.246099999997"/>
    <n v="31"/>
    <n v="1638.1047129032256"/>
    <n v="0"/>
    <n v="39314.513109677413"/>
    <n v="9454.4128800165181"/>
    <n v="48768.925989693933"/>
    <n v="0"/>
    <n v="40936.722000933572"/>
    <n v="9844.5240990664188"/>
    <n v="50781.246099999989"/>
  </r>
  <r>
    <x v="0"/>
    <x v="0"/>
    <x v="0"/>
    <n v="27"/>
    <n v="7"/>
    <n v="0"/>
    <n v="20251205"/>
    <n v="20260107"/>
    <n v="1358962.9453"/>
    <n v="34"/>
    <n v="39969.498391176472"/>
    <n v="911608.00738252455"/>
    <n v="279786.48873823532"/>
    <n v="0"/>
    <n v="1191394.4961207598"/>
    <n v="1039824.7656048016"/>
    <n v="319138.17969519855"/>
    <n v="0"/>
    <n v="1358962.9453000003"/>
  </r>
  <r>
    <x v="0"/>
    <x v="0"/>
    <x v="0"/>
    <n v="0"/>
    <n v="26"/>
    <n v="6"/>
    <n v="20260106"/>
    <n v="20260206"/>
    <n v="620980.45759999997"/>
    <n v="32"/>
    <n v="19405.639299999999"/>
    <n v="0"/>
    <n v="504546.62179999996"/>
    <n v="96000.627012618745"/>
    <n v="600547.24881261867"/>
    <n v="0"/>
    <n v="521713.47501028591"/>
    <n v="99266.982589714084"/>
    <n v="620980.45759999997"/>
  </r>
  <r>
    <x v="0"/>
    <x v="0"/>
    <x v="0"/>
    <n v="30"/>
    <n v="7"/>
    <n v="0"/>
    <n v="20251202"/>
    <n v="20260107"/>
    <n v="472055.38059999997"/>
    <n v="37"/>
    <n v="12758.253529729729"/>
    <n v="323316.71082704893"/>
    <n v="89307.774708108103"/>
    <n v="0"/>
    <n v="412624.48553515703"/>
    <n v="369884.47931260412"/>
    <n v="102170.90128739584"/>
    <n v="0"/>
    <n v="472055.38059999997"/>
  </r>
  <r>
    <x v="0"/>
    <x v="0"/>
    <x v="1"/>
    <n v="0"/>
    <n v="16"/>
    <n v="18"/>
    <n v="20260116"/>
    <n v="20260218"/>
    <n v="442781.4276"/>
    <n v="34"/>
    <n v="13022.983164705882"/>
    <n v="0"/>
    <n v="208367.73063529411"/>
    <n v="193275.96427908601"/>
    <n v="401643.69491438009"/>
    <n v="0"/>
    <n v="229709.47236240192"/>
    <n v="213071.95523759813"/>
    <n v="442781.42760000005"/>
  </r>
  <r>
    <x v="0"/>
    <x v="0"/>
    <x v="0"/>
    <n v="14"/>
    <n v="15"/>
    <n v="0"/>
    <n v="20251218"/>
    <n v="20260115"/>
    <n v="67028.994300000006"/>
    <n v="29"/>
    <n v="2311.344631034483"/>
    <n v="27334.328551407463"/>
    <n v="34670.169465517247"/>
    <n v="0"/>
    <n v="62004.498016924714"/>
    <n v="29549.349019267989"/>
    <n v="37479.645280732017"/>
    <n v="0"/>
    <n v="67028.994300000006"/>
  </r>
  <r>
    <x v="0"/>
    <x v="0"/>
    <x v="1"/>
    <n v="0"/>
    <n v="4"/>
    <n v="0"/>
    <n v="20260116"/>
    <n v="20260119"/>
    <n v="3901.3573000000001"/>
    <n v="4"/>
    <n v="975.33932500000003"/>
    <n v="0"/>
    <n v="3901.3573000000001"/>
    <n v="0"/>
    <n v="3901.3573000000001"/>
    <n v="0"/>
    <n v="3901.3573000000001"/>
    <n v="0"/>
    <n v="3901.3573000000001"/>
  </r>
  <r>
    <x v="0"/>
    <x v="0"/>
    <x v="1"/>
    <n v="0"/>
    <n v="27"/>
    <n v="6"/>
    <n v="20260105"/>
    <n v="20260206"/>
    <n v="35931.530200000001"/>
    <n v="33"/>
    <n v="1088.8342484848486"/>
    <n v="0"/>
    <n v="29398.524709090911"/>
    <n v="5386.5151748625449"/>
    <n v="34785.039883953454"/>
    <n v="0"/>
    <n v="30367.479294092729"/>
    <n v="5564.050905907272"/>
    <n v="35931.530200000001"/>
  </r>
  <r>
    <x v="0"/>
    <x v="0"/>
    <x v="0"/>
    <n v="0"/>
    <n v="27"/>
    <n v="5"/>
    <n v="20260105"/>
    <n v="20260205"/>
    <n v="875510.60450000002"/>
    <n v="32"/>
    <n v="27359.706390625"/>
    <n v="0"/>
    <n v="738712.07254687499"/>
    <n v="112791.48154548525"/>
    <n v="851503.55409236019"/>
    <n v="0"/>
    <n v="759539.11182009138"/>
    <n v="115971.49267990868"/>
    <n v="875510.60450000002"/>
  </r>
  <r>
    <x v="0"/>
    <x v="0"/>
    <x v="0"/>
    <n v="0"/>
    <n v="16"/>
    <n v="18"/>
    <n v="20260116"/>
    <n v="20260218"/>
    <n v="341757.01949999999"/>
    <n v="34"/>
    <n v="10051.677044117647"/>
    <n v="0"/>
    <n v="160826.83270588235"/>
    <n v="149178.38322857628"/>
    <n v="310005.21593445865"/>
    <n v="0"/>
    <n v="177299.27167679626"/>
    <n v="164457.74782320371"/>
    <n v="341757.01949999994"/>
  </r>
  <r>
    <x v="0"/>
    <x v="0"/>
    <x v="0"/>
    <n v="25"/>
    <n v="7"/>
    <n v="0"/>
    <n v="20251207"/>
    <n v="20260107"/>
    <n v="293499.32929999998"/>
    <n v="32"/>
    <n v="9171.8540406249995"/>
    <n v="193692.50355534832"/>
    <n v="64202.978284375"/>
    <n v="0"/>
    <n v="257895.4818397233"/>
    <n v="220432.7872609371"/>
    <n v="73066.542039062901"/>
    <n v="0"/>
    <n v="293499.32929999998"/>
  </r>
  <r>
    <x v="0"/>
    <x v="0"/>
    <x v="0"/>
    <n v="23"/>
    <n v="9"/>
    <n v="0"/>
    <n v="20251209"/>
    <n v="20260109"/>
    <n v="10579.8866"/>
    <n v="32"/>
    <n v="330.62145624999999"/>
    <n v="6423.5415786172543"/>
    <n v="2975.5931062499999"/>
    <n v="0"/>
    <n v="9399.1346848672547"/>
    <n v="7230.4891621111346"/>
    <n v="3349.3974378888656"/>
    <n v="0"/>
    <n v="10579.8866"/>
  </r>
  <r>
    <x v="0"/>
    <x v="0"/>
    <x v="0"/>
    <n v="0"/>
    <n v="23"/>
    <n v="4"/>
    <n v="20260109"/>
    <n v="20260204"/>
    <n v="356776.63530000002"/>
    <n v="27"/>
    <n v="13213.949455555556"/>
    <n v="0"/>
    <n v="303920.83747777779"/>
    <n v="43580.027208770713"/>
    <n v="347500.86468654848"/>
    <n v="0"/>
    <n v="312033.33519957436"/>
    <n v="44743.300100425709"/>
    <n v="356776.63530000008"/>
  </r>
  <r>
    <x v="0"/>
    <x v="0"/>
    <x v="1"/>
    <n v="0"/>
    <n v="23"/>
    <n v="6"/>
    <n v="20260109"/>
    <n v="20260206"/>
    <n v="2312.4176000000002"/>
    <n v="29"/>
    <n v="79.738537931034486"/>
    <n v="0"/>
    <n v="1833.9863724137931"/>
    <n v="394.47036606770246"/>
    <n v="2228.4567384814954"/>
    <n v="0"/>
    <n v="1903.0848983945962"/>
    <n v="409.33270160540411"/>
    <n v="2312.4176000000002"/>
  </r>
  <r>
    <x v="0"/>
    <x v="0"/>
    <x v="1"/>
    <n v="0"/>
    <n v="28"/>
    <n v="6"/>
    <n v="20260104"/>
    <n v="20260206"/>
    <n v="10799.709699999999"/>
    <n v="34"/>
    <n v="317.63852058823528"/>
    <n v="0"/>
    <n v="8893.8785764705881"/>
    <n v="1571.3729740318936"/>
    <n v="10465.251550502482"/>
    <n v="0"/>
    <n v="9178.1173409367075"/>
    <n v="1621.5923590632915"/>
    <n v="10799.709699999999"/>
  </r>
  <r>
    <x v="0"/>
    <x v="0"/>
    <x v="1"/>
    <n v="30"/>
    <n v="8"/>
    <n v="0"/>
    <n v="20251202"/>
    <n v="20260108"/>
    <n v="88400.189899999998"/>
    <n v="38"/>
    <n v="2326.320786842105"/>
    <n v="58953.083459089648"/>
    <n v="18610.56629473684"/>
    <n v="0"/>
    <n v="77563.649753826496"/>
    <n v="67189.511962296136"/>
    <n v="21210.677937703847"/>
    <n v="0"/>
    <n v="88400.189899999983"/>
  </r>
  <r>
    <x v="0"/>
    <x v="0"/>
    <x v="1"/>
    <n v="30"/>
    <n v="7"/>
    <n v="0"/>
    <n v="20251202"/>
    <n v="20260107"/>
    <n v="118875.2602"/>
    <n v="37"/>
    <n v="3212.8448702702703"/>
    <n v="81419.171788111154"/>
    <n v="22489.914091891893"/>
    <n v="0"/>
    <n v="103909.08588000305"/>
    <n v="93146.091601243228"/>
    <n v="25729.168598756773"/>
    <n v="0"/>
    <n v="118875.2602"/>
  </r>
  <r>
    <x v="0"/>
    <x v="0"/>
    <x v="1"/>
    <n v="26"/>
    <n v="8"/>
    <n v="0"/>
    <n v="20251206"/>
    <n v="20260108"/>
    <n v="6804.3972999999996"/>
    <n v="34"/>
    <n v="200.12933235294116"/>
    <n v="4395.4137621979071"/>
    <n v="1601.0346588235293"/>
    <n v="0"/>
    <n v="5996.4484210214359"/>
    <n v="4987.6425904098287"/>
    <n v="1816.7547095901718"/>
    <n v="0"/>
    <n v="6804.3973000000005"/>
  </r>
  <r>
    <x v="0"/>
    <x v="0"/>
    <x v="0"/>
    <n v="0"/>
    <n v="20"/>
    <n v="0"/>
    <n v="20260103"/>
    <n v="20260122"/>
    <n v="1888.1537000000001"/>
    <n v="20"/>
    <n v="94.407685000000001"/>
    <n v="0"/>
    <n v="1888.1537000000001"/>
    <n v="0"/>
    <n v="1888.1537000000001"/>
    <n v="0"/>
    <n v="1888.1537000000001"/>
    <n v="0"/>
    <n v="1888.1537000000001"/>
  </r>
  <r>
    <x v="0"/>
    <x v="0"/>
    <x v="0"/>
    <n v="0"/>
    <n v="24"/>
    <n v="9"/>
    <n v="20260108"/>
    <n v="20260209"/>
    <n v="44736.873299999999"/>
    <n v="33"/>
    <n v="1355.6628272727273"/>
    <n v="0"/>
    <n v="32535.907854545454"/>
    <n v="10059.793400046445"/>
    <n v="42595.701254591899"/>
    <n v="0"/>
    <n v="34171.400975171484"/>
    <n v="10565.472324828515"/>
    <n v="44736.873299999999"/>
  </r>
  <r>
    <x v="0"/>
    <x v="0"/>
    <x v="0"/>
    <n v="0"/>
    <n v="19"/>
    <n v="0"/>
    <n v="20260103"/>
    <n v="20260121"/>
    <n v="27692.9215"/>
    <n v="19"/>
    <n v="1457.5221842105263"/>
    <n v="0"/>
    <n v="27692.9215"/>
    <n v="0"/>
    <n v="27692.9215"/>
    <n v="0"/>
    <n v="27692.9215"/>
    <n v="0"/>
    <n v="27692.9215"/>
  </r>
  <r>
    <x v="0"/>
    <x v="0"/>
    <x v="0"/>
    <n v="0"/>
    <n v="15"/>
    <n v="2"/>
    <n v="20260117"/>
    <n v="20260202"/>
    <n v="13118.3313"/>
    <n v="17"/>
    <n v="771.66654705882354"/>
    <n v="0"/>
    <n v="11574.998205882353"/>
    <n v="1272.4904552583594"/>
    <n v="12847.488661140713"/>
    <n v="0"/>
    <n v="11819.015004928458"/>
    <n v="1299.3162950715412"/>
    <n v="13118.3313"/>
  </r>
  <r>
    <x v="0"/>
    <x v="0"/>
    <x v="0"/>
    <n v="0"/>
    <n v="27"/>
    <n v="7"/>
    <n v="20260105"/>
    <n v="20260207"/>
    <n v="151378.26300000001"/>
    <n v="34"/>
    <n v="4452.3018529411765"/>
    <n v="0"/>
    <n v="120212.15002941177"/>
    <n v="25696.708917688858"/>
    <n v="145908.85894710064"/>
    <n v="0"/>
    <n v="124718.311103682"/>
    <n v="26659.951896317991"/>
    <n v="151378.26300000001"/>
  </r>
  <r>
    <x v="0"/>
    <x v="0"/>
    <x v="0"/>
    <n v="0"/>
    <n v="25"/>
    <n v="8"/>
    <n v="20260107"/>
    <n v="20260208"/>
    <n v="58850.472300000001"/>
    <n v="33"/>
    <n v="1783.3476454545455"/>
    <n v="0"/>
    <n v="44583.691136363639"/>
    <n v="11763.074949394644"/>
    <n v="56346.766085758281"/>
    <n v="0"/>
    <n v="46564.718128792236"/>
    <n v="12285.754171207771"/>
    <n v="58850.472300000009"/>
  </r>
  <r>
    <x v="0"/>
    <x v="0"/>
    <x v="0"/>
    <n v="0"/>
    <n v="31"/>
    <n v="0"/>
    <n v="20260101"/>
    <n v="20260131"/>
    <n v="63605.270700000001"/>
    <n v="31"/>
    <n v="2051.7829258064517"/>
    <n v="0"/>
    <n v="63605.270700000001"/>
    <n v="0"/>
    <n v="63605.270700000001"/>
    <n v="0"/>
    <n v="63605.270700000001"/>
    <n v="0"/>
    <n v="63605.270700000001"/>
  </r>
  <r>
    <x v="0"/>
    <x v="0"/>
    <x v="1"/>
    <n v="0"/>
    <n v="28"/>
    <n v="7"/>
    <n v="20260104"/>
    <n v="20260207"/>
    <n v="882.46659999999997"/>
    <n v="35"/>
    <n v="25.213331428571429"/>
    <n v="0"/>
    <n v="705.97328000000005"/>
    <n v="145.52015114096898"/>
    <n v="851.49343114096905"/>
    <n v="0"/>
    <n v="731.65313707429834"/>
    <n v="150.81346292570163"/>
    <n v="882.46659999999997"/>
  </r>
  <r>
    <x v="0"/>
    <x v="0"/>
    <x v="0"/>
    <n v="0"/>
    <n v="18"/>
    <n v="0"/>
    <n v="20260104"/>
    <n v="20260121"/>
    <n v="461.55959999999999"/>
    <n v="18"/>
    <n v="25.642199999999999"/>
    <n v="0"/>
    <n v="461.55959999999999"/>
    <n v="0"/>
    <n v="461.55959999999999"/>
    <n v="0"/>
    <n v="461.55959999999999"/>
    <n v="0"/>
    <n v="461.55959999999999"/>
  </r>
  <r>
    <x v="0"/>
    <x v="0"/>
    <x v="1"/>
    <n v="27"/>
    <n v="8"/>
    <n v="0"/>
    <n v="20251205"/>
    <n v="20260108"/>
    <n v="1638.2883999999999"/>
    <n v="35"/>
    <n v="46.808239999999998"/>
    <n v="1067.5832350426203"/>
    <n v="374.46591999999998"/>
    <n v="0"/>
    <n v="1442.0491550426204"/>
    <n v="1212.8638083443873"/>
    <n v="425.42459165561257"/>
    <n v="0"/>
    <n v="1638.2883999999999"/>
  </r>
  <r>
    <x v="0"/>
    <x v="0"/>
    <x v="0"/>
    <n v="0"/>
    <n v="18"/>
    <n v="0"/>
    <n v="20260106"/>
    <n v="20260123"/>
    <n v="2392.3937000000001"/>
    <n v="18"/>
    <n v="132.91076111111113"/>
    <n v="0"/>
    <n v="2392.3937000000005"/>
    <n v="0"/>
    <n v="2392.3937000000005"/>
    <n v="0"/>
    <n v="2392.3937000000001"/>
    <n v="0"/>
    <n v="2392.3937000000001"/>
  </r>
  <r>
    <x v="0"/>
    <x v="0"/>
    <x v="0"/>
    <n v="0"/>
    <n v="22"/>
    <n v="0"/>
    <n v="20260107"/>
    <n v="20260128"/>
    <n v="4031.4765000000002"/>
    <n v="22"/>
    <n v="183.24893181818183"/>
    <n v="0"/>
    <n v="4031.4765000000002"/>
    <n v="0"/>
    <n v="4031.4765000000002"/>
    <n v="0"/>
    <n v="4031.4765000000002"/>
    <n v="0"/>
    <n v="4031.4765000000002"/>
  </r>
  <r>
    <x v="0"/>
    <x v="0"/>
    <x v="1"/>
    <n v="0"/>
    <n v="25"/>
    <n v="0"/>
    <n v="20260103"/>
    <n v="20260127"/>
    <n v="41.981699999999996"/>
    <n v="25"/>
    <n v="1.6792679999999998"/>
    <n v="0"/>
    <n v="41.981699999999996"/>
    <n v="0"/>
    <n v="41.981699999999996"/>
    <n v="0"/>
    <n v="41.981699999999996"/>
    <n v="0"/>
    <n v="41.981699999999996"/>
  </r>
  <r>
    <x v="0"/>
    <x v="0"/>
    <x v="0"/>
    <n v="0"/>
    <n v="24"/>
    <n v="0"/>
    <n v="20260103"/>
    <n v="20260126"/>
    <n v="7682.6512000000002"/>
    <n v="24"/>
    <n v="320.1104666666667"/>
    <n v="0"/>
    <n v="7682.6512000000002"/>
    <n v="0"/>
    <n v="7682.6512000000002"/>
    <n v="0"/>
    <n v="7682.6512000000002"/>
    <n v="0"/>
    <n v="7682.6512000000002"/>
  </r>
  <r>
    <x v="0"/>
    <x v="0"/>
    <x v="0"/>
    <n v="0"/>
    <n v="12"/>
    <n v="0"/>
    <n v="20260108"/>
    <n v="20260119"/>
    <n v="9442.5475000000006"/>
    <n v="12"/>
    <n v="786.87895833333334"/>
    <n v="0"/>
    <n v="9442.5475000000006"/>
    <n v="0"/>
    <n v="9442.5475000000006"/>
    <n v="0"/>
    <n v="9442.5475000000006"/>
    <n v="0"/>
    <n v="9442.5475000000006"/>
  </r>
  <r>
    <x v="0"/>
    <x v="0"/>
    <x v="0"/>
    <n v="0"/>
    <n v="13"/>
    <n v="0"/>
    <n v="20260104"/>
    <n v="20260116"/>
    <n v="9187.5"/>
    <n v="13"/>
    <n v="706.73076923076928"/>
    <n v="0"/>
    <n v="9187.5"/>
    <n v="0"/>
    <n v="9187.5"/>
    <n v="0"/>
    <n v="9187.5"/>
    <n v="0"/>
    <n v="9187.5"/>
  </r>
  <r>
    <x v="0"/>
    <x v="0"/>
    <x v="0"/>
    <n v="0"/>
    <n v="17"/>
    <n v="0"/>
    <n v="20260105"/>
    <n v="20260121"/>
    <n v="41.962899999999998"/>
    <n v="17"/>
    <n v="2.4684058823529411"/>
    <n v="0"/>
    <n v="41.962899999999998"/>
    <n v="0"/>
    <n v="41.962899999999998"/>
    <n v="0"/>
    <n v="41.962899999999998"/>
    <n v="0"/>
    <n v="41.962899999999998"/>
  </r>
  <r>
    <x v="0"/>
    <x v="0"/>
    <x v="0"/>
    <n v="0"/>
    <n v="29"/>
    <n v="8"/>
    <n v="20260103"/>
    <n v="20260208"/>
    <n v="3025.6707999999999"/>
    <n v="37"/>
    <n v="81.77488648648648"/>
    <n v="0"/>
    <n v="2371.471708108108"/>
    <n v="539.3923731979927"/>
    <n v="2910.8640813061006"/>
    <n v="0"/>
    <n v="2465.0043766486278"/>
    <n v="560.66642335137215"/>
    <n v="3025.6707999999999"/>
  </r>
  <r>
    <x v="0"/>
    <x v="0"/>
    <x v="0"/>
    <n v="0"/>
    <n v="29"/>
    <n v="10"/>
    <n v="20260103"/>
    <n v="20260210"/>
    <n v="1975.4621999999999"/>
    <n v="39"/>
    <n v="50.652876923076924"/>
    <n v="0"/>
    <n v="1468.9334307692309"/>
    <n v="417.63701343320264"/>
    <n v="1886.5704442024335"/>
    <n v="0"/>
    <n v="1538.1468928014015"/>
    <n v="437.3153071985987"/>
    <n v="1975.4622000000002"/>
  </r>
  <r>
    <x v="0"/>
    <x v="1"/>
    <x v="0"/>
    <n v="31"/>
    <n v="5"/>
    <n v="0"/>
    <n v="20251127"/>
    <n v="20260105"/>
    <n v="2584.5486999999998"/>
    <n v="36"/>
    <n v="71.79301944444444"/>
    <n v="1880.0075011415447"/>
    <n v="358.9650972222222"/>
    <n v="0"/>
    <n v="2238.9725983637668"/>
    <n v="2170.1788340851276"/>
    <n v="414.36986591487261"/>
    <n v="0"/>
    <n v="2584.5487000000003"/>
  </r>
  <r>
    <x v="0"/>
    <x v="0"/>
    <x v="0"/>
    <n v="9"/>
    <n v="3"/>
    <n v="0"/>
    <n v="20251223"/>
    <n v="20260103"/>
    <n v="3652.7519000000002"/>
    <n v="12"/>
    <n v="304.3959916666667"/>
    <n v="2314.17985036756"/>
    <n v="913.18797500000005"/>
    <n v="0"/>
    <n v="3227.3678253675598"/>
    <n v="2619.200941066923"/>
    <n v="1033.5509589330777"/>
    <n v="0"/>
    <n v="3652.7519000000007"/>
  </r>
  <r>
    <x v="0"/>
    <x v="0"/>
    <x v="0"/>
    <n v="3"/>
    <n v="31"/>
    <n v="2"/>
    <n v="20251229"/>
    <n v="20260202"/>
    <n v="49765.880499999999"/>
    <n v="36"/>
    <n v="1382.3855694444444"/>
    <n v="3503.2095448335467"/>
    <n v="42853.952652777778"/>
    <n v="2279.5758729072577"/>
    <n v="48636.738070518579"/>
    <n v="3584.5394755271013"/>
    <n v="43848.842896878465"/>
    <n v="2332.4981275944397"/>
    <n v="49765.880500000007"/>
  </r>
  <r>
    <x v="0"/>
    <x v="0"/>
    <x v="1"/>
    <n v="1"/>
    <n v="31"/>
    <n v="3"/>
    <n v="20251231"/>
    <n v="20260203"/>
    <n v="16619.846000000001"/>
    <n v="35"/>
    <n v="474.85274285714291"/>
    <n v="401.12028026933825"/>
    <n v="14720.43502857143"/>
    <n v="1174.5596305334691"/>
    <n v="16296.114939374238"/>
    <n v="409.08874970227924"/>
    <n v="15012.864362949644"/>
    <n v="1197.8928873480781"/>
    <n v="16619.846000000001"/>
  </r>
  <r>
    <x v="0"/>
    <x v="0"/>
    <x v="0"/>
    <n v="8"/>
    <n v="27"/>
    <n v="0"/>
    <n v="20251224"/>
    <n v="20260127"/>
    <n v="209.91839999999999"/>
    <n v="35"/>
    <n v="5.9976685714285711"/>
    <n v="40.531074688268973"/>
    <n v="161.93705142857141"/>
    <n v="0"/>
    <n v="202.46812611684038"/>
    <n v="42.022507502894534"/>
    <n v="167.89589249710545"/>
    <n v="0"/>
    <n v="209.91839999999999"/>
  </r>
  <r>
    <x v="0"/>
    <x v="0"/>
    <x v="1"/>
    <n v="31"/>
    <n v="8"/>
    <n v="0"/>
    <n v="20251201"/>
    <n v="20260108"/>
    <n v="210.0814"/>
    <n v="39"/>
    <n v="5.3867025641025643"/>
    <n v="141.05885649186015"/>
    <n v="43.093620512820515"/>
    <n v="0"/>
    <n v="184.15247700468066"/>
    <n v="160.92013822575873"/>
    <n v="49.161261774241268"/>
    <n v="0"/>
    <n v="210.0814"/>
  </r>
  <r>
    <x v="0"/>
    <x v="0"/>
    <x v="0"/>
    <n v="10"/>
    <n v="7"/>
    <n v="0"/>
    <n v="20251222"/>
    <n v="20260107"/>
    <n v="1972.5361"/>
    <n v="17"/>
    <n v="116.03153529411765"/>
    <n v="980.14811238565801"/>
    <n v="812.22074705882346"/>
    <n v="0"/>
    <n v="1792.3688594444816"/>
    <n v="1078.6716834763517"/>
    <n v="893.86441652364806"/>
    <n v="0"/>
    <n v="1972.5360999999998"/>
  </r>
  <r>
    <x v="0"/>
    <x v="0"/>
    <x v="0"/>
    <n v="13"/>
    <n v="5"/>
    <n v="0"/>
    <n v="20251219"/>
    <n v="20260105"/>
    <n v="3316.3202000000001"/>
    <n v="18"/>
    <n v="184.24001111111113"/>
    <n v="2023.2193623599321"/>
    <n v="921.20005555555565"/>
    <n v="0"/>
    <n v="2944.4194179154879"/>
    <n v="2278.7661294447917"/>
    <n v="1037.5540705552082"/>
    <n v="0"/>
    <n v="3316.3202000000001"/>
  </r>
  <r>
    <x v="0"/>
    <x v="0"/>
    <x v="0"/>
    <n v="31"/>
    <n v="1"/>
    <n v="0"/>
    <n v="20251201"/>
    <n v="20260101"/>
    <n v="462.48349999999999"/>
    <n v="32"/>
    <n v="14.452609375"/>
    <n v="378.4631743632728"/>
    <n v="14.452609375"/>
    <n v="0"/>
    <n v="392.91578373827281"/>
    <n v="445.47198342438901"/>
    <n v="17.011516575610994"/>
    <n v="0"/>
    <n v="462.48349999999999"/>
  </r>
  <r>
    <x v="0"/>
    <x v="0"/>
    <x v="0"/>
    <n v="22"/>
    <n v="3"/>
    <n v="0"/>
    <n v="20251210"/>
    <n v="20260103"/>
    <n v="30450.345300000001"/>
    <n v="25"/>
    <n v="1218.0138120000001"/>
    <n v="22635.524544803309"/>
    <n v="3654.0414360000004"/>
    <n v="0"/>
    <n v="26289.565980803309"/>
    <n v="26217.988495480859"/>
    <n v="4232.3568045191432"/>
    <n v="0"/>
    <n v="30450.345300000001"/>
  </r>
  <r>
    <x v="0"/>
    <x v="0"/>
    <x v="0"/>
    <n v="20"/>
    <n v="3"/>
    <n v="0"/>
    <n v="20251212"/>
    <n v="20260103"/>
    <n v="45061.209499999997"/>
    <n v="23"/>
    <n v="1959.1830217391303"/>
    <n v="33099.442073365193"/>
    <n v="5877.5490652173903"/>
    <n v="0"/>
    <n v="38976.991138582584"/>
    <n v="38266.188590545535"/>
    <n v="6795.0209094544634"/>
    <n v="0"/>
    <n v="45061.209499999997"/>
  </r>
  <r>
    <x v="0"/>
    <x v="1"/>
    <x v="0"/>
    <n v="31"/>
    <n v="3"/>
    <n v="0"/>
    <n v="20251128"/>
    <n v="20260103"/>
    <n v="30.674199999999999"/>
    <n v="34"/>
    <n v="0.90218235294117644"/>
    <n v="23.624993126796124"/>
    <n v="2.7065470588235292"/>
    <n v="0"/>
    <n v="26.331540185619652"/>
    <n v="27.521282806151053"/>
    <n v="3.1529171938489471"/>
    <n v="0"/>
    <n v="30.674199999999999"/>
  </r>
  <r>
    <x v="0"/>
    <x v="0"/>
    <x v="0"/>
    <n v="9"/>
    <n v="8"/>
    <n v="0"/>
    <n v="20251223"/>
    <n v="20260108"/>
    <n v="5538.4539000000004"/>
    <n v="17"/>
    <n v="325.79140588235299"/>
    <n v="2476.8391422889486"/>
    <n v="2606.3312470588239"/>
    <n v="0"/>
    <n v="5083.1703893477725"/>
    <n v="2698.6817982788566"/>
    <n v="2839.7721017211434"/>
    <n v="0"/>
    <n v="5538.4539000000004"/>
  </r>
  <r>
    <x v="0"/>
    <x v="0"/>
    <x v="0"/>
    <n v="15"/>
    <n v="6"/>
    <n v="0"/>
    <n v="20251217"/>
    <n v="20260106"/>
    <n v="13347.0383"/>
    <n v="21"/>
    <n v="635.57325238095234"/>
    <n v="8053.2751983104872"/>
    <n v="3813.4395142857138"/>
    <n v="0"/>
    <n v="11866.7147125962"/>
    <n v="9057.8879762058496"/>
    <n v="4289.1503237941524"/>
    <n v="0"/>
    <n v="13347.038300000002"/>
  </r>
  <r>
    <x v="0"/>
    <x v="0"/>
    <x v="0"/>
    <n v="0"/>
    <n v="25"/>
    <n v="0"/>
    <n v="20260105"/>
    <n v="20260129"/>
    <n v="713.82330000000002"/>
    <n v="25"/>
    <n v="28.552932000000002"/>
    <n v="0"/>
    <n v="713.82330000000002"/>
    <n v="0"/>
    <n v="713.82330000000002"/>
    <n v="0"/>
    <n v="713.82330000000002"/>
    <n v="0"/>
    <n v="713.82330000000002"/>
  </r>
  <r>
    <x v="0"/>
    <x v="0"/>
    <x v="0"/>
    <n v="8"/>
    <n v="3"/>
    <n v="0"/>
    <n v="20251224"/>
    <n v="20260103"/>
    <n v="2225.0825"/>
    <n v="11"/>
    <n v="202.28022727272727"/>
    <n v="1366.9703322066223"/>
    <n v="606.84068181818179"/>
    <n v="0"/>
    <n v="1973.8110140248041"/>
    <n v="1540.9893564277775"/>
    <n v="684.09314357222252"/>
    <n v="0"/>
    <n v="2225.0825"/>
  </r>
  <r>
    <x v="0"/>
    <x v="0"/>
    <x v="0"/>
    <n v="0"/>
    <n v="10"/>
    <n v="1"/>
    <n v="20260122"/>
    <n v="20260201"/>
    <n v="3700.4769999999999"/>
    <n v="11"/>
    <n v="336.40699999999998"/>
    <n v="0"/>
    <n v="3364.0699999999997"/>
    <n v="277.3702567603122"/>
    <n v="3641.440256760312"/>
    <n v="0"/>
    <n v="3418.6098860963407"/>
    <n v="281.86711390365946"/>
    <n v="3700.4770000000003"/>
  </r>
  <r>
    <x v="0"/>
    <x v="0"/>
    <x v="0"/>
    <n v="0"/>
    <n v="13"/>
    <n v="5"/>
    <n v="20260119"/>
    <n v="20260205"/>
    <n v="32525.186900000001"/>
    <n v="18"/>
    <n v="1806.9548277777778"/>
    <n v="0"/>
    <n v="23490.412761111111"/>
    <n v="7449.2433946827505"/>
    <n v="30939.656155793862"/>
    <n v="0"/>
    <n v="24694.200270555015"/>
    <n v="7830.9866294449839"/>
    <n v="32525.186900000001"/>
  </r>
  <r>
    <x v="0"/>
    <x v="0"/>
    <x v="0"/>
    <n v="0"/>
    <n v="13"/>
    <n v="6"/>
    <n v="20260119"/>
    <n v="20260206"/>
    <n v="13127.272499999999"/>
    <n v="19"/>
    <n v="690.90907894736836"/>
    <n v="0"/>
    <n v="8981.8180263157883"/>
    <n v="3417.9603033051458"/>
    <n v="12399.778329620935"/>
    <n v="0"/>
    <n v="9508.7806928935606"/>
    <n v="3618.4918071064376"/>
    <n v="13127.272499999999"/>
  </r>
  <r>
    <x v="0"/>
    <x v="0"/>
    <x v="0"/>
    <n v="0"/>
    <n v="22"/>
    <n v="3"/>
    <n v="20260110"/>
    <n v="20260203"/>
    <n v="6894.7227999999996"/>
    <n v="25"/>
    <n v="275.78891199999998"/>
    <n v="0"/>
    <n v="6067.3560639999996"/>
    <n v="682.17047801996227"/>
    <n v="6749.5265420199621"/>
    <n v="0"/>
    <n v="6197.8774258823159"/>
    <n v="696.84537411768315"/>
    <n v="6894.7227999999996"/>
  </r>
  <r>
    <x v="0"/>
    <x v="0"/>
    <x v="0"/>
    <n v="0"/>
    <n v="20"/>
    <n v="3"/>
    <n v="20260112"/>
    <n v="20260203"/>
    <n v="8954.3104000000003"/>
    <n v="23"/>
    <n v="389.3178434782609"/>
    <n v="0"/>
    <n v="7786.3568695652175"/>
    <n v="962.98700865561307"/>
    <n v="8749.3438782208304"/>
    <n v="0"/>
    <n v="7968.76397426924"/>
    <n v="985.54642573076012"/>
    <n v="8954.3104000000003"/>
  </r>
  <r>
    <x v="0"/>
    <x v="0"/>
    <x v="0"/>
    <n v="0"/>
    <n v="2"/>
    <n v="3"/>
    <n v="20260130"/>
    <n v="20260203"/>
    <n v="50414.580399999999"/>
    <n v="5"/>
    <n v="10082.916079999999"/>
    <n v="0"/>
    <n v="20165.832159999998"/>
    <n v="24940.334374750946"/>
    <n v="45106.166534750941"/>
    <n v="0"/>
    <n v="22539.090436336923"/>
    <n v="27875.48996366308"/>
    <n v="50414.580400000006"/>
  </r>
  <r>
    <x v="0"/>
    <x v="0"/>
    <x v="0"/>
    <n v="0"/>
    <n v="20"/>
    <n v="4"/>
    <n v="20260112"/>
    <n v="20260204"/>
    <n v="16313.822200000001"/>
    <n v="24"/>
    <n v="679.74259166666673"/>
    <n v="0"/>
    <n v="13594.851833333334"/>
    <n v="2241.8127706201526"/>
    <n v="15836.664603953486"/>
    <n v="0"/>
    <n v="14004.463767514379"/>
    <n v="2309.358432485622"/>
    <n v="16313.822200000001"/>
  </r>
  <r>
    <x v="0"/>
    <x v="0"/>
    <x v="0"/>
    <n v="0"/>
    <n v="18"/>
    <n v="3"/>
    <n v="20260114"/>
    <n v="20260203"/>
    <n v="4666.9889000000003"/>
    <n v="21"/>
    <n v="222.23756666666668"/>
    <n v="0"/>
    <n v="4000.2762000000002"/>
    <n v="549.70994296896617"/>
    <n v="4549.9861429689663"/>
    <n v="0"/>
    <n v="4103.1431823552957"/>
    <n v="563.84571764470456"/>
    <n v="4666.9889000000003"/>
  </r>
  <r>
    <x v="0"/>
    <x v="0"/>
    <x v="0"/>
    <n v="0"/>
    <n v="26"/>
    <n v="4"/>
    <n v="20260106"/>
    <n v="20260204"/>
    <n v="4365275.8152999999"/>
    <n v="30"/>
    <n v="145509.19384333334"/>
    <n v="0"/>
    <n v="3783239.0399266668"/>
    <n v="479893.96721603785"/>
    <n v="4263133.0071427049"/>
    <n v="0"/>
    <n v="3873883.7978596161"/>
    <n v="491392.01744038315"/>
    <n v="4365275.815299999"/>
  </r>
  <r>
    <x v="0"/>
    <x v="0"/>
    <x v="1"/>
    <n v="0"/>
    <n v="26"/>
    <n v="4"/>
    <n v="20260106"/>
    <n v="20260204"/>
    <n v="1036046.0596"/>
    <n v="30"/>
    <n v="34534.868653333331"/>
    <n v="0"/>
    <n v="897906.58498666657"/>
    <n v="113897.09947246905"/>
    <n v="1011803.6844591356"/>
    <n v="0"/>
    <n v="919420.03528244712"/>
    <n v="116626.02431755293"/>
    <n v="1036046.0596"/>
  </r>
  <r>
    <x v="0"/>
    <x v="0"/>
    <x v="1"/>
    <n v="16"/>
    <n v="15"/>
    <n v="0"/>
    <n v="20251216"/>
    <n v="20260115"/>
    <n v="25134121.494899999"/>
    <n v="31"/>
    <n v="810778.11273870966"/>
    <n v="10958160.77586266"/>
    <n v="12161671.691080645"/>
    <n v="0"/>
    <n v="23119832.466943305"/>
    <n v="11912878.032095609"/>
    <n v="13221243.46280439"/>
    <n v="0"/>
    <n v="25134121.494899999"/>
  </r>
  <r>
    <x v="0"/>
    <x v="0"/>
    <x v="0"/>
    <n v="28"/>
    <n v="5"/>
    <n v="0"/>
    <n v="20251204"/>
    <n v="20260105"/>
    <n v="5494496.4453999996"/>
    <n v="33"/>
    <n v="166499.89228484847"/>
    <n v="3938108.3187504127"/>
    <n v="832499.46142424236"/>
    <n v="0"/>
    <n v="4770607.7801746549"/>
    <n v="4535674.101923788"/>
    <n v="958822.34347621223"/>
    <n v="0"/>
    <n v="5494496.4454000005"/>
  </r>
  <r>
    <x v="0"/>
    <x v="0"/>
    <x v="0"/>
    <n v="0"/>
    <n v="23"/>
    <n v="3"/>
    <n v="20260109"/>
    <n v="20260203"/>
    <n v="405437.71759999997"/>
    <n v="26"/>
    <n v="15593.758369230769"/>
    <n v="0"/>
    <n v="358656.44249230769"/>
    <n v="38571.534742723597"/>
    <n v="397227.97723503131"/>
    <n v="0"/>
    <n v="366069.00263870182"/>
    <n v="39368.714961298101"/>
    <n v="405437.71759999992"/>
  </r>
  <r>
    <x v="0"/>
    <x v="0"/>
    <x v="0"/>
    <n v="29"/>
    <n v="3"/>
    <n v="0"/>
    <n v="20251203"/>
    <n v="20260103"/>
    <n v="5937932.2271999996"/>
    <n v="32"/>
    <n v="185560.38209999999"/>
    <n v="4545680.6857271744"/>
    <n v="556681.14629999991"/>
    <n v="0"/>
    <n v="5102361.8320271745"/>
    <n v="5290088.1448495882"/>
    <n v="647844.0823504111"/>
    <n v="0"/>
    <n v="5937932.2271999996"/>
  </r>
  <r>
    <x v="0"/>
    <x v="0"/>
    <x v="0"/>
    <n v="26"/>
    <n v="5"/>
    <n v="0"/>
    <n v="20251206"/>
    <n v="20260105"/>
    <n v="1501297.3822000001"/>
    <n v="31"/>
    <n v="48428.947812903229"/>
    <n v="1063638.5041758758"/>
    <n v="242144.73906451615"/>
    <n v="0"/>
    <n v="1305783.2432403918"/>
    <n v="1222896.4571207871"/>
    <n v="278400.92507921311"/>
    <n v="0"/>
    <n v="1501297.3822000003"/>
  </r>
  <r>
    <x v="0"/>
    <x v="0"/>
    <x v="0"/>
    <n v="0"/>
    <n v="30"/>
    <n v="2"/>
    <n v="20260102"/>
    <n v="20260202"/>
    <n v="7786849.1771"/>
    <n v="32"/>
    <n v="243339.036784375"/>
    <n v="0"/>
    <n v="7300171.1035312498"/>
    <n v="401269.95640809584"/>
    <n v="7701441.0599393453"/>
    <n v="0"/>
    <n v="7381129.1819026414"/>
    <n v="405719.99519735895"/>
    <n v="7786849.1771"/>
  </r>
  <r>
    <x v="0"/>
    <x v="0"/>
    <x v="1"/>
    <n v="0"/>
    <n v="30"/>
    <n v="1"/>
    <n v="20260102"/>
    <n v="20260201"/>
    <n v="3907925.8026000001"/>
    <n v="31"/>
    <n v="126062.12266451614"/>
    <n v="0"/>
    <n v="3781863.6799354842"/>
    <n v="103939.22638710495"/>
    <n v="3885802.9063225891"/>
    <n v="0"/>
    <n v="3803394.8229047759"/>
    <n v="104530.97969522432"/>
    <n v="3907925.8026000001"/>
  </r>
  <r>
    <x v="0"/>
    <x v="0"/>
    <x v="0"/>
    <n v="27"/>
    <n v="6"/>
    <n v="0"/>
    <n v="20251205"/>
    <n v="20260106"/>
    <n v="3086698.5501000001"/>
    <n v="33"/>
    <n v="93536.319700000007"/>
    <n v="2133338.2066770038"/>
    <n v="561217.91820000007"/>
    <n v="0"/>
    <n v="2694556.124877004"/>
    <n v="2443805.8233889709"/>
    <n v="642892.72671102884"/>
    <n v="0"/>
    <n v="3086698.5500999996"/>
  </r>
  <r>
    <x v="0"/>
    <x v="0"/>
    <x v="1"/>
    <n v="0"/>
    <n v="28"/>
    <n v="2"/>
    <n v="20260104"/>
    <n v="20260202"/>
    <n v="538272.72140000004"/>
    <n v="30"/>
    <n v="17942.424046666667"/>
    <n v="0"/>
    <n v="502387.87330666668"/>
    <n v="29587.343692172479"/>
    <n v="531975.21699883917"/>
    <n v="0"/>
    <n v="508335.12374642817"/>
    <n v="29937.597653571815"/>
    <n v="538272.72140000004"/>
  </r>
  <r>
    <x v="0"/>
    <x v="0"/>
    <x v="0"/>
    <n v="0"/>
    <n v="26"/>
    <n v="3"/>
    <n v="20260106"/>
    <n v="20260203"/>
    <n v="5859641.3982999995"/>
    <n v="29"/>
    <n v="202056.5999413793"/>
    <n v="0"/>
    <n v="5253471.5984758623"/>
    <n v="499791.83850980568"/>
    <n v="5753263.4369856678"/>
    <n v="0"/>
    <n v="5350608.3982399646"/>
    <n v="509033.00006003544"/>
    <n v="5859641.3983000005"/>
  </r>
  <r>
    <x v="0"/>
    <x v="0"/>
    <x v="0"/>
    <n v="29"/>
    <n v="1"/>
    <n v="0"/>
    <n v="20251203"/>
    <n v="20260101"/>
    <n v="7489852.6793"/>
    <n v="30"/>
    <n v="249661.75597666667"/>
    <n v="6115974.8070375677"/>
    <n v="249661.75597666667"/>
    <n v="0"/>
    <n v="6365636.5630142344"/>
    <n v="7196098.9041025145"/>
    <n v="293753.77519748581"/>
    <n v="0"/>
    <n v="7489852.6793"/>
  </r>
  <r>
    <x v="0"/>
    <x v="0"/>
    <x v="0"/>
    <n v="0"/>
    <n v="27"/>
    <n v="2"/>
    <n v="20260105"/>
    <n v="20260202"/>
    <n v="923029.88190000004"/>
    <n v="29"/>
    <n v="31828.61661724138"/>
    <n v="0"/>
    <n v="859372.64866551722"/>
    <n v="52485.896925151865"/>
    <n v="911858.54559066903"/>
    <n v="0"/>
    <n v="869900.97119942994"/>
    <n v="53128.910700570224"/>
    <n v="923029.88190000015"/>
  </r>
  <r>
    <x v="0"/>
    <x v="0"/>
    <x v="1"/>
    <n v="0"/>
    <n v="29"/>
    <n v="3"/>
    <n v="20260103"/>
    <n v="20260203"/>
    <n v="1382005.3940000001"/>
    <n v="32"/>
    <n v="43187.668562500003"/>
    <n v="0"/>
    <n v="1252442.3883125"/>
    <n v="106825.73238422407"/>
    <n v="1359268.1206967239"/>
    <n v="0"/>
    <n v="1273392.725075399"/>
    <n v="108612.66892460122"/>
    <n v="1382005.3940000003"/>
  </r>
  <r>
    <x v="0"/>
    <x v="0"/>
    <x v="1"/>
    <n v="16"/>
    <n v="16"/>
    <n v="0"/>
    <n v="20251216"/>
    <n v="20260116"/>
    <n v="3090631.9426000002"/>
    <n v="32"/>
    <n v="96582.248206250006"/>
    <n v="1305368.0005782798"/>
    <n v="1545315.9713000001"/>
    <n v="0"/>
    <n v="2850683.9718782799"/>
    <n v="1415243.5272496741"/>
    <n v="1675388.4153503261"/>
    <n v="0"/>
    <n v="3090631.9426000002"/>
  </r>
  <r>
    <x v="0"/>
    <x v="0"/>
    <x v="1"/>
    <n v="29"/>
    <n v="5"/>
    <n v="0"/>
    <n v="20251203"/>
    <n v="20260105"/>
    <n v="1232529.8928"/>
    <n v="34"/>
    <n v="36250.879200000003"/>
    <n v="888039.35169342917"/>
    <n v="181254.39600000001"/>
    <n v="0"/>
    <n v="1069293.7476934292"/>
    <n v="1023605.5801372658"/>
    <n v="208924.31266273413"/>
    <n v="0"/>
    <n v="1232529.8928"/>
  </r>
  <r>
    <x v="0"/>
    <x v="0"/>
    <x v="0"/>
    <n v="29"/>
    <n v="4"/>
    <n v="0"/>
    <n v="20251203"/>
    <n v="20260104"/>
    <n v="1847222.4772000001"/>
    <n v="33"/>
    <n v="55976.438703030304"/>
    <n v="1371257.2338368557"/>
    <n v="223905.75481212122"/>
    <n v="0"/>
    <n v="1595162.9886489769"/>
    <n v="1587936.2813651257"/>
    <n v="259286.19583487455"/>
    <n v="0"/>
    <n v="1847222.4772000003"/>
  </r>
  <r>
    <x v="0"/>
    <x v="0"/>
    <x v="0"/>
    <n v="0"/>
    <n v="16"/>
    <n v="0"/>
    <n v="20260104"/>
    <n v="20260119"/>
    <n v="3272.1831999999999"/>
    <n v="16"/>
    <n v="204.51145"/>
    <n v="0"/>
    <n v="3272.1831999999999"/>
    <n v="0"/>
    <n v="3272.1831999999999"/>
    <n v="0"/>
    <n v="3272.1831999999999"/>
    <n v="0"/>
    <n v="3272.1831999999999"/>
  </r>
  <r>
    <x v="0"/>
    <x v="0"/>
    <x v="0"/>
    <n v="27"/>
    <n v="3"/>
    <n v="0"/>
    <n v="20251205"/>
    <n v="20260103"/>
    <n v="2130246.6667999998"/>
    <n v="30"/>
    <n v="71008.222226666665"/>
    <n v="1619526.5534309791"/>
    <n v="213024.66667999999"/>
    <n v="0"/>
    <n v="1832551.2201109792"/>
    <n v="1882616.4335158411"/>
    <n v="247630.23328415846"/>
    <n v="0"/>
    <n v="2130246.6667999998"/>
  </r>
  <r>
    <x v="0"/>
    <x v="0"/>
    <x v="0"/>
    <n v="0"/>
    <n v="15"/>
    <n v="19"/>
    <n v="20260117"/>
    <n v="20260219"/>
    <n v="1991238.5669"/>
    <n v="34"/>
    <n v="58565.840202941174"/>
    <n v="0"/>
    <n v="878487.60304411757"/>
    <n v="917472.05187463702"/>
    <n v="1795959.6549187545"/>
    <n v="0"/>
    <n v="974007.62368691317"/>
    <n v="1017230.9432130869"/>
    <n v="1991238.5669"/>
  </r>
  <r>
    <x v="0"/>
    <x v="0"/>
    <x v="1"/>
    <n v="0"/>
    <n v="24"/>
    <n v="4"/>
    <n v="20260108"/>
    <n v="20260204"/>
    <n v="208622.52919999999"/>
    <n v="28"/>
    <n v="7450.8046142857138"/>
    <n v="0"/>
    <n v="178819.31074285714"/>
    <n v="24572.991512487522"/>
    <n v="203392.30225534466"/>
    <n v="0"/>
    <n v="183417.64394869216"/>
    <n v="25204.885251307824"/>
    <n v="208622.52919999999"/>
  </r>
  <r>
    <x v="0"/>
    <x v="0"/>
    <x v="0"/>
    <n v="24"/>
    <n v="1"/>
    <n v="0"/>
    <n v="20251208"/>
    <n v="20260101"/>
    <n v="187472.266"/>
    <n v="25"/>
    <n v="7498.8906400000005"/>
    <n v="152028.12208908374"/>
    <n v="7498.8906400000005"/>
    <n v="0"/>
    <n v="159527.01272908374"/>
    <n v="178659.75207701669"/>
    <n v="8812.5139229833367"/>
    <n v="0"/>
    <n v="187472.26600000003"/>
  </r>
  <r>
    <x v="0"/>
    <x v="0"/>
    <x v="1"/>
    <n v="26"/>
    <n v="7"/>
    <n v="0"/>
    <n v="20251206"/>
    <n v="20260107"/>
    <n v="246287.10939999999"/>
    <n v="33"/>
    <n v="7463.2457393939394"/>
    <n v="163914.26807812921"/>
    <n v="52242.720175757575"/>
    <n v="0"/>
    <n v="216156.98825388678"/>
    <n v="186762.27680856962"/>
    <n v="59524.832591430379"/>
    <n v="0"/>
    <n v="246287.10939999999"/>
  </r>
  <r>
    <x v="0"/>
    <x v="0"/>
    <x v="1"/>
    <n v="0"/>
    <n v="25"/>
    <n v="6"/>
    <n v="20260107"/>
    <n v="20260206"/>
    <n v="198713.63519999999"/>
    <n v="31"/>
    <n v="6410.1172645161287"/>
    <n v="0"/>
    <n v="160252.93161290322"/>
    <n v="31711.157107715633"/>
    <n v="191964.08872061886"/>
    <n v="0"/>
    <n v="165887.49908636732"/>
    <n v="32826.13611363266"/>
    <n v="198713.63519999996"/>
  </r>
  <r>
    <x v="0"/>
    <x v="0"/>
    <x v="1"/>
    <n v="25"/>
    <n v="7"/>
    <n v="0"/>
    <n v="20251207"/>
    <n v="20260107"/>
    <n v="81718.544399999999"/>
    <n v="32"/>
    <n v="2553.7045125"/>
    <n v="53929.49104682976"/>
    <n v="17875.931587499999"/>
    <n v="0"/>
    <n v="71805.422634329763"/>
    <n v="61374.745066576346"/>
    <n v="20343.799333423649"/>
    <n v="0"/>
    <n v="81718.544399999999"/>
  </r>
  <r>
    <x v="0"/>
    <x v="0"/>
    <x v="1"/>
    <n v="16"/>
    <n v="17"/>
    <n v="0"/>
    <n v="20251216"/>
    <n v="20260117"/>
    <n v="2434.2509"/>
    <n v="33"/>
    <n v="73.765178787878781"/>
    <n v="996.9813887641676"/>
    <n v="1254.0080393939393"/>
    <n v="0"/>
    <n v="2250.9894281581069"/>
    <n v="1078.1493740147241"/>
    <n v="1356.1015259852759"/>
    <n v="0"/>
    <n v="2434.2509"/>
  </r>
  <r>
    <x v="0"/>
    <x v="0"/>
    <x v="0"/>
    <n v="0"/>
    <n v="28"/>
    <n v="8"/>
    <n v="20260104"/>
    <n v="20260208"/>
    <n v="8363.0110999999997"/>
    <n v="36"/>
    <n v="232.30586388888889"/>
    <n v="0"/>
    <n v="6504.5641888888895"/>
    <n v="1532.3043126638211"/>
    <n v="8036.8685015527108"/>
    <n v="0"/>
    <n v="6768.5246438747527"/>
    <n v="1594.4864561252471"/>
    <n v="8363.0110999999997"/>
  </r>
  <r>
    <x v="0"/>
    <x v="0"/>
    <x v="0"/>
    <n v="27"/>
    <n v="4"/>
    <n v="0"/>
    <n v="20251205"/>
    <n v="20260104"/>
    <n v="1150958.6037999999"/>
    <n v="31"/>
    <n v="37127.696896774192"/>
    <n v="846793.35866377479"/>
    <n v="148510.78758709677"/>
    <n v="0"/>
    <n v="995304.14625087159"/>
    <n v="979222.38691157999"/>
    <n v="171736.21688841988"/>
    <n v="0"/>
    <n v="1150958.6037999999"/>
  </r>
  <r>
    <x v="0"/>
    <x v="0"/>
    <x v="0"/>
    <n v="0"/>
    <n v="19"/>
    <n v="0"/>
    <n v="20260104"/>
    <n v="20260122"/>
    <n v="167.8398"/>
    <n v="19"/>
    <n v="8.8336736842105257"/>
    <n v="0"/>
    <n v="167.8398"/>
    <n v="0"/>
    <n v="167.8398"/>
    <n v="0"/>
    <n v="167.8398"/>
    <n v="0"/>
    <n v="167.8398"/>
  </r>
  <r>
    <x v="0"/>
    <x v="0"/>
    <x v="0"/>
    <n v="23"/>
    <n v="5"/>
    <n v="0"/>
    <n v="20251209"/>
    <n v="20260105"/>
    <n v="57031.2791"/>
    <n v="28"/>
    <n v="2036.8313964285715"/>
    <n v="39572.964537724176"/>
    <n v="10184.156982142857"/>
    <n v="0"/>
    <n v="49757.121519867032"/>
    <n v="45358.266644589072"/>
    <n v="11673.012455410928"/>
    <n v="0"/>
    <n v="57031.2791"/>
  </r>
  <r>
    <x v="0"/>
    <x v="0"/>
    <x v="1"/>
    <n v="0"/>
    <n v="24"/>
    <n v="2"/>
    <n v="20260108"/>
    <n v="20260202"/>
    <n v="27706.144499999999"/>
    <n v="26"/>
    <n v="1065.6209423076923"/>
    <n v="0"/>
    <n v="25574.902615384613"/>
    <n v="1757.225945815934"/>
    <n v="27332.128561200549"/>
    <n v="0"/>
    <n v="25924.872475579705"/>
    <n v="1781.2720244202937"/>
    <n v="27706.144499999999"/>
  </r>
  <r>
    <x v="0"/>
    <x v="0"/>
    <x v="1"/>
    <n v="0"/>
    <n v="29"/>
    <n v="6"/>
    <n v="20260103"/>
    <n v="20260206"/>
    <n v="80957.0671"/>
    <n v="35"/>
    <n v="2313.05906"/>
    <n v="0"/>
    <n v="67078.712740000003"/>
    <n v="11442.813949304857"/>
    <n v="78521.526689304854"/>
    <n v="0"/>
    <n v="69159.325821074162"/>
    <n v="11797.741278925843"/>
    <n v="80957.0671"/>
  </r>
  <r>
    <x v="0"/>
    <x v="0"/>
    <x v="0"/>
    <n v="0"/>
    <n v="25"/>
    <n v="0"/>
    <n v="20260104"/>
    <n v="20260128"/>
    <n v="18976.621999999999"/>
    <n v="25"/>
    <n v="759.06488000000002"/>
    <n v="0"/>
    <n v="18976.621999999999"/>
    <n v="0"/>
    <n v="18976.621999999999"/>
    <n v="0"/>
    <n v="18976.621999999999"/>
    <n v="0"/>
    <n v="18976.621999999999"/>
  </r>
  <r>
    <x v="0"/>
    <x v="0"/>
    <x v="0"/>
    <n v="0"/>
    <n v="25"/>
    <n v="0"/>
    <n v="20260102"/>
    <n v="20260126"/>
    <n v="923.57569999999998"/>
    <n v="25"/>
    <n v="36.943027999999998"/>
    <n v="0"/>
    <n v="923.57569999999998"/>
    <n v="0"/>
    <n v="923.57569999999998"/>
    <n v="0"/>
    <n v="923.57569999999998"/>
    <n v="0"/>
    <n v="923.57569999999998"/>
  </r>
  <r>
    <x v="0"/>
    <x v="0"/>
    <x v="0"/>
    <n v="0"/>
    <n v="29"/>
    <n v="7"/>
    <n v="20260103"/>
    <n v="20260207"/>
    <n v="48155.195500000002"/>
    <n v="36"/>
    <n v="1337.6443194444446"/>
    <n v="0"/>
    <n v="38791.685263888896"/>
    <n v="7720.2889308722797"/>
    <n v="46511.974194761176"/>
    <n v="0"/>
    <n v="40162.156519846052"/>
    <n v="7993.0389801539477"/>
    <n v="48155.195500000002"/>
  </r>
  <r>
    <x v="0"/>
    <x v="0"/>
    <x v="1"/>
    <n v="0"/>
    <n v="25"/>
    <n v="7"/>
    <n v="20260107"/>
    <n v="20260207"/>
    <n v="12736.0255"/>
    <n v="32"/>
    <n v="398.00079687499999"/>
    <n v="0"/>
    <n v="9950.0199218750004"/>
    <n v="2297.0838375544899"/>
    <n v="12247.10375942949"/>
    <n v="0"/>
    <n v="10347.238819867009"/>
    <n v="2388.786680132991"/>
    <n v="12736.0255"/>
  </r>
  <r>
    <x v="0"/>
    <x v="0"/>
    <x v="1"/>
    <n v="0"/>
    <n v="12"/>
    <n v="15"/>
    <n v="20260120"/>
    <n v="20260215"/>
    <n v="54342.7716"/>
    <n v="27"/>
    <n v="2012.6952444444444"/>
    <n v="0"/>
    <n v="24152.342933333333"/>
    <n v="24892.249421020442"/>
    <n v="49044.592354353779"/>
    <n v="0"/>
    <n v="26761.467322390617"/>
    <n v="27581.304277609383"/>
    <n v="54342.7716"/>
  </r>
  <r>
    <x v="0"/>
    <x v="0"/>
    <x v="0"/>
    <n v="0"/>
    <n v="14"/>
    <n v="0"/>
    <n v="20260102"/>
    <n v="20260115"/>
    <n v="1384.4177999999999"/>
    <n v="14"/>
    <n v="98.886985714285714"/>
    <n v="0"/>
    <n v="1384.4177999999999"/>
    <n v="0"/>
    <n v="1384.4177999999999"/>
    <n v="0"/>
    <n v="1384.4177999999999"/>
    <n v="0"/>
    <n v="1384.4177999999999"/>
  </r>
  <r>
    <x v="0"/>
    <x v="0"/>
    <x v="0"/>
    <n v="0"/>
    <n v="23"/>
    <n v="1"/>
    <n v="20260109"/>
    <n v="20260201"/>
    <n v="76767.368400000007"/>
    <n v="24"/>
    <n v="3198.6403500000001"/>
    <n v="0"/>
    <n v="73568.728050000005"/>
    <n v="2637.3045006893285"/>
    <n v="76206.032550689328"/>
    <n v="0"/>
    <n v="74110.637437753321"/>
    <n v="2656.7309622466942"/>
    <n v="76767.368400000021"/>
  </r>
  <r>
    <x v="0"/>
    <x v="0"/>
    <x v="1"/>
    <n v="24"/>
    <n v="1"/>
    <n v="0"/>
    <n v="20251208"/>
    <n v="20260101"/>
    <n v="12268.467500000001"/>
    <n v="25"/>
    <n v="490.73870000000005"/>
    <n v="9948.9493285153767"/>
    <n v="490.73870000000005"/>
    <n v="0"/>
    <n v="10439.688028515377"/>
    <n v="11691.763313486255"/>
    <n v="576.70418651374575"/>
    <n v="0"/>
    <n v="12268.467500000001"/>
  </r>
  <r>
    <x v="0"/>
    <x v="0"/>
    <x v="1"/>
    <n v="0"/>
    <n v="23"/>
    <n v="3"/>
    <n v="20260109"/>
    <n v="20260203"/>
    <n v="181007.2383"/>
    <n v="26"/>
    <n v="6961.8168576923072"/>
    <n v="0"/>
    <n v="160121.78772692307"/>
    <n v="17220.220708870969"/>
    <n v="177342.00843579404"/>
    <n v="0"/>
    <n v="163431.11732944218"/>
    <n v="17576.120970557826"/>
    <n v="181007.2383"/>
  </r>
  <r>
    <x v="0"/>
    <x v="0"/>
    <x v="0"/>
    <n v="0"/>
    <n v="24"/>
    <n v="0"/>
    <n v="20260104"/>
    <n v="20260127"/>
    <n v="10873.772300000001"/>
    <n v="24"/>
    <n v="453.07384583333334"/>
    <n v="0"/>
    <n v="10873.772300000001"/>
    <n v="0"/>
    <n v="10873.772300000001"/>
    <n v="0"/>
    <n v="10873.772300000001"/>
    <n v="0"/>
    <n v="10873.772300000001"/>
  </r>
  <r>
    <x v="0"/>
    <x v="0"/>
    <x v="0"/>
    <n v="30"/>
    <n v="14"/>
    <n v="0"/>
    <n v="20251202"/>
    <n v="20260114"/>
    <n v="6553.77"/>
    <n v="44"/>
    <n v="148.9493181818182"/>
    <n v="3774.6391794345527"/>
    <n v="2085.2904545454548"/>
    <n v="0"/>
    <n v="5859.9296339800076"/>
    <n v="4221.5723669365798"/>
    <n v="2332.1976330634197"/>
    <n v="0"/>
    <n v="6553.7699999999995"/>
  </r>
  <r>
    <x v="0"/>
    <x v="0"/>
    <x v="1"/>
    <n v="0"/>
    <n v="24"/>
    <n v="10"/>
    <n v="20260108"/>
    <n v="20260210"/>
    <n v="10638.3712"/>
    <n v="34"/>
    <n v="312.89327058823528"/>
    <n v="0"/>
    <n v="7509.4384941176468"/>
    <n v="2579.8299916955552"/>
    <n v="10089.268485813202"/>
    <n v="0"/>
    <n v="7918.1354244190779"/>
    <n v="2720.2357755809226"/>
    <n v="10638.371200000001"/>
  </r>
  <r>
    <x v="0"/>
    <x v="0"/>
    <x v="0"/>
    <n v="0"/>
    <n v="24"/>
    <n v="10"/>
    <n v="20260108"/>
    <n v="20260210"/>
    <n v="31662.820299999999"/>
    <n v="34"/>
    <n v="931.25942058823523"/>
    <n v="0"/>
    <n v="22350.226094117646"/>
    <n v="7678.3082575278877"/>
    <n v="30028.534351645532"/>
    <n v="0"/>
    <n v="23566.624471088722"/>
    <n v="8096.1958289112799"/>
    <n v="31662.820300000003"/>
  </r>
  <r>
    <x v="0"/>
    <x v="0"/>
    <x v="0"/>
    <n v="0"/>
    <n v="15"/>
    <n v="0"/>
    <n v="20260103"/>
    <n v="20260117"/>
    <n v="880.97239999999999"/>
    <n v="15"/>
    <n v="58.731493333333333"/>
    <n v="0"/>
    <n v="880.97239999999999"/>
    <n v="0"/>
    <n v="880.97239999999999"/>
    <n v="0"/>
    <n v="880.97239999999999"/>
    <n v="0"/>
    <n v="880.97239999999999"/>
  </r>
  <r>
    <x v="0"/>
    <x v="0"/>
    <x v="1"/>
    <n v="0"/>
    <n v="30"/>
    <n v="10"/>
    <n v="20260102"/>
    <n v="20260210"/>
    <n v="129155.5294"/>
    <n v="40"/>
    <n v="3228.8882349999999"/>
    <n v="0"/>
    <n v="96866.64705"/>
    <n v="26622.44123315809"/>
    <n v="123489.08828315808"/>
    <n v="0"/>
    <n v="101311.48634168011"/>
    <n v="27844.043058319909"/>
    <n v="129155.52940000001"/>
  </r>
  <r>
    <x v="0"/>
    <x v="0"/>
    <x v="0"/>
    <n v="0"/>
    <n v="28"/>
    <n v="11"/>
    <n v="20260104"/>
    <n v="20260211"/>
    <n v="8954.1"/>
    <n v="39"/>
    <n v="229.59230769230771"/>
    <n v="0"/>
    <n v="6428.584615384616"/>
    <n v="2082.3075937269082"/>
    <n v="8510.8922091115237"/>
    <n v="0"/>
    <n v="6763.3554849855709"/>
    <n v="2190.7445150144295"/>
    <n v="8954.1"/>
  </r>
  <r>
    <x v="0"/>
    <x v="0"/>
    <x v="1"/>
    <n v="0"/>
    <n v="15"/>
    <n v="0"/>
    <n v="20260117"/>
    <n v="20260131"/>
    <n v="6176325.3746999996"/>
    <n v="15"/>
    <n v="411755.02497999999"/>
    <n v="0"/>
    <n v="6176325.3746999996"/>
    <n v="0"/>
    <n v="6176325.3746999996"/>
    <n v="0"/>
    <n v="6176325.3746999996"/>
    <n v="0"/>
    <n v="6176325.3746999996"/>
  </r>
  <r>
    <x v="0"/>
    <x v="0"/>
    <x v="0"/>
    <n v="0"/>
    <n v="25"/>
    <n v="10"/>
    <n v="20260107"/>
    <n v="20260210"/>
    <n v="8451.0339999999997"/>
    <n v="35"/>
    <n v="241.45811428571429"/>
    <n v="0"/>
    <n v="6036.4528571428573"/>
    <n v="1990.8414259004533"/>
    <n v="8027.2942830433103"/>
    <n v="0"/>
    <n v="6355.1013001819192"/>
    <n v="2095.9326998180809"/>
    <n v="8451.0339999999997"/>
  </r>
  <r>
    <x v="0"/>
    <x v="0"/>
    <x v="1"/>
    <n v="0"/>
    <n v="27"/>
    <n v="7"/>
    <n v="20260105"/>
    <n v="20260207"/>
    <n v="12481.772300000001"/>
    <n v="34"/>
    <n v="367.11095"/>
    <n v="0"/>
    <n v="9911.9956500000008"/>
    <n v="2118.8013603377899"/>
    <n v="12030.79701033779"/>
    <n v="0"/>
    <n v="10283.547518554369"/>
    <n v="2198.2247814456314"/>
    <n v="12481.772300000001"/>
  </r>
  <r>
    <x v="0"/>
    <x v="0"/>
    <x v="0"/>
    <n v="0"/>
    <n v="15"/>
    <n v="0"/>
    <n v="20260105"/>
    <n v="20260119"/>
    <n v="293.68509999999998"/>
    <n v="15"/>
    <n v="19.579006666666665"/>
    <n v="0"/>
    <n v="293.68509999999998"/>
    <n v="0"/>
    <n v="293.68509999999998"/>
    <n v="0"/>
    <n v="293.68509999999998"/>
    <n v="0"/>
    <n v="293.68509999999998"/>
  </r>
  <r>
    <x v="0"/>
    <x v="0"/>
    <x v="0"/>
    <n v="0"/>
    <n v="29"/>
    <n v="11"/>
    <n v="20260103"/>
    <n v="20260211"/>
    <n v="5926.9440000000004"/>
    <n v="40"/>
    <n v="148.17360000000002"/>
    <n v="0"/>
    <n v="4297.0344000000005"/>
    <n v="1343.8734754273776"/>
    <n v="5640.9078754273778"/>
    <n v="0"/>
    <n v="4514.9261107094444"/>
    <n v="1412.0178892905565"/>
    <n v="5926.9440000000013"/>
  </r>
  <r>
    <x v="0"/>
    <x v="0"/>
    <x v="0"/>
    <n v="0"/>
    <n v="18"/>
    <n v="0"/>
    <n v="20260109"/>
    <n v="20260126"/>
    <n v="2688.5997000000002"/>
    <n v="18"/>
    <n v="149.36665000000002"/>
    <n v="0"/>
    <n v="2688.5997000000002"/>
    <n v="0"/>
    <n v="2688.5997000000002"/>
    <n v="0"/>
    <n v="2688.5997000000002"/>
    <n v="0"/>
    <n v="2688.5997000000002"/>
  </r>
  <r>
    <x v="0"/>
    <x v="0"/>
    <x v="0"/>
    <n v="0"/>
    <n v="16"/>
    <n v="2"/>
    <n v="20260116"/>
    <n v="20260202"/>
    <n v="18414.387599999998"/>
    <n v="18"/>
    <n v="1023.0215333333332"/>
    <n v="0"/>
    <n v="16368.344533333331"/>
    <n v="1686.9788403451469"/>
    <n v="18055.323373678479"/>
    <n v="0"/>
    <n v="16693.859997353957"/>
    <n v="1720.5276026460404"/>
    <n v="18414.387599999998"/>
  </r>
  <r>
    <x v="0"/>
    <x v="0"/>
    <x v="0"/>
    <n v="0"/>
    <n v="24"/>
    <n v="0"/>
    <n v="20260107"/>
    <n v="20260130"/>
    <n v="503.9701"/>
    <n v="24"/>
    <n v="20.998754166666668"/>
    <n v="0"/>
    <n v="503.9701"/>
    <n v="0"/>
    <n v="503.9701"/>
    <n v="0"/>
    <n v="503.9701"/>
    <n v="0"/>
    <n v="503.9701"/>
  </r>
  <r>
    <x v="0"/>
    <x v="0"/>
    <x v="0"/>
    <n v="0"/>
    <n v="25"/>
    <n v="0"/>
    <n v="20260106"/>
    <n v="20260130"/>
    <n v="3821.5038"/>
    <n v="25"/>
    <n v="152.860152"/>
    <n v="0"/>
    <n v="3821.5038"/>
    <n v="0"/>
    <n v="3821.5038"/>
    <n v="0"/>
    <n v="3821.5038"/>
    <n v="0"/>
    <n v="3821.5038"/>
  </r>
  <r>
    <x v="0"/>
    <x v="0"/>
    <x v="0"/>
    <n v="0"/>
    <n v="15"/>
    <n v="24"/>
    <n v="20260117"/>
    <n v="20260224"/>
    <n v="125852.5193"/>
    <n v="39"/>
    <n v="3226.9876743589743"/>
    <n v="0"/>
    <n v="48404.815115384612"/>
    <n v="63856.250301520115"/>
    <n v="112261.06541690472"/>
    <n v="0"/>
    <n v="54265.188967327726"/>
    <n v="71587.330332672282"/>
    <n v="125852.51930000001"/>
  </r>
  <r>
    <x v="0"/>
    <x v="0"/>
    <x v="1"/>
    <n v="29"/>
    <n v="8"/>
    <n v="0"/>
    <n v="20251203"/>
    <n v="20260108"/>
    <n v="3949.1595000000002"/>
    <n v="37"/>
    <n v="106.73404054054055"/>
    <n v="2614.6683958286399"/>
    <n v="853.87232432432438"/>
    <n v="0"/>
    <n v="3468.5407201529642"/>
    <n v="2976.9702499790933"/>
    <n v="972.18925002090691"/>
    <n v="0"/>
    <n v="3949.1595000000002"/>
  </r>
  <r>
    <x v="0"/>
    <x v="0"/>
    <x v="0"/>
    <n v="6"/>
    <n v="31"/>
    <n v="4"/>
    <n v="20251226"/>
    <n v="20260204"/>
    <n v="28902.4467"/>
    <n v="41"/>
    <n v="704.93772439024394"/>
    <n v="3572.8737613914873"/>
    <n v="21853.069456097561"/>
    <n v="2324.9071227905742"/>
    <n v="27750.85034027962"/>
    <n v="3721.1397916899105"/>
    <n v="22759.921495792751"/>
    <n v="2421.3854125173398"/>
    <n v="28902.4467"/>
  </r>
  <r>
    <x v="0"/>
    <x v="1"/>
    <x v="0"/>
    <n v="31"/>
    <n v="2"/>
    <n v="0"/>
    <n v="20251127"/>
    <n v="20260102"/>
    <n v="1086.1206999999999"/>
    <n v="33"/>
    <n v="32.912748484848485"/>
    <n v="861.86950365810708"/>
    <n v="65.825496969696971"/>
    <n v="0"/>
    <n v="927.69500062780401"/>
    <n v="1009.0539541425875"/>
    <n v="77.066745857412556"/>
    <n v="0"/>
    <n v="1086.1206999999999"/>
  </r>
  <r>
    <x v="0"/>
    <x v="0"/>
    <x v="1"/>
    <n v="10"/>
    <n v="15"/>
    <n v="0"/>
    <n v="20251222"/>
    <n v="20260115"/>
    <n v="546.08330000000001"/>
    <n v="25"/>
    <n v="21.843332"/>
    <n v="184.51622288495761"/>
    <n v="327.64998000000003"/>
    <n v="0"/>
    <n v="512.16620288495767"/>
    <n v="196.73540996844355"/>
    <n v="349.34789003155646"/>
    <n v="0"/>
    <n v="546.08330000000001"/>
  </r>
  <r>
    <x v="0"/>
    <x v="0"/>
    <x v="0"/>
    <n v="9"/>
    <n v="5"/>
    <n v="0"/>
    <n v="20251223"/>
    <n v="20260105"/>
    <n v="22455.4516"/>
    <n v="14"/>
    <n v="1603.9608285714287"/>
    <n v="12194.161328916502"/>
    <n v="8019.8041428571432"/>
    <n v="0"/>
    <n v="20213.965471773645"/>
    <n v="13546.347445108691"/>
    <n v="8909.1041548913108"/>
    <n v="0"/>
    <n v="22455.4516"/>
  </r>
  <r>
    <x v="0"/>
    <x v="1"/>
    <x v="0"/>
    <n v="31"/>
    <n v="5"/>
    <n v="0"/>
    <n v="20251129"/>
    <n v="20260105"/>
    <n v="86.270300000000006"/>
    <n v="36"/>
    <n v="2.3963972222222223"/>
    <n v="62.753242423225153"/>
    <n v="11.981986111111112"/>
    <n v="0"/>
    <n v="74.735228534336272"/>
    <n v="72.438944203362908"/>
    <n v="13.831355796637082"/>
    <n v="0"/>
    <n v="86.270299999999992"/>
  </r>
  <r>
    <x v="0"/>
    <x v="0"/>
    <x v="0"/>
    <n v="9"/>
    <n v="2"/>
    <n v="0"/>
    <n v="20251223"/>
    <n v="20260102"/>
    <n v="251.9376"/>
    <n v="11"/>
    <n v="22.903418181818182"/>
    <n v="174.12393826442681"/>
    <n v="45.806836363636364"/>
    <n v="0"/>
    <n v="219.93077462806318"/>
    <n v="199.46443231092158"/>
    <n v="52.473167689078423"/>
    <n v="0"/>
    <n v="251.9376"/>
  </r>
  <r>
    <x v="0"/>
    <x v="1"/>
    <x v="0"/>
    <n v="31"/>
    <n v="6"/>
    <n v="0"/>
    <n v="20251126"/>
    <n v="20260106"/>
    <n v="90.041200000000003"/>
    <n v="37"/>
    <n v="2.4335459459459461"/>
    <n v="63.726037268725129"/>
    <n v="14.601275675675677"/>
    <n v="0"/>
    <n v="78.327312944400802"/>
    <n v="73.25629657427065"/>
    <n v="16.784903425729361"/>
    <n v="0"/>
    <n v="90.041200000000003"/>
  </r>
  <r>
    <x v="0"/>
    <x v="0"/>
    <x v="0"/>
    <n v="10"/>
    <n v="6"/>
    <n v="0"/>
    <n v="20251222"/>
    <n v="20260106"/>
    <n v="587.60550000000001"/>
    <n v="16"/>
    <n v="36.72534375"/>
    <n v="310.22838973933489"/>
    <n v="220.35206249999999"/>
    <n v="0"/>
    <n v="530.58045223933482"/>
    <n v="343.57072013792981"/>
    <n v="244.03477986207022"/>
    <n v="0"/>
    <n v="587.60550000000001"/>
  </r>
  <r>
    <x v="0"/>
    <x v="0"/>
    <x v="0"/>
    <n v="31"/>
    <n v="3"/>
    <n v="0"/>
    <n v="20251126"/>
    <n v="20260103"/>
    <n v="89845.313899999994"/>
    <n v="34"/>
    <n v="2642.5092323529411"/>
    <n v="69198.053196573674"/>
    <n v="7927.5276970588238"/>
    <n v="0"/>
    <n v="77125.58089363249"/>
    <n v="80610.359606748156"/>
    <n v="9234.9542932518489"/>
    <n v="0"/>
    <n v="89845.313900000008"/>
  </r>
  <r>
    <x v="0"/>
    <x v="1"/>
    <x v="0"/>
    <n v="31"/>
    <n v="3"/>
    <n v="0"/>
    <n v="20251126"/>
    <n v="20260103"/>
    <n v="13212.546200000001"/>
    <n v="34"/>
    <n v="388.60430000000002"/>
    <n v="10176.184323062254"/>
    <n v="1165.8129000000001"/>
    <n v="0"/>
    <n v="11341.997223062255"/>
    <n v="11854.464682356391"/>
    <n v="1358.0815176436088"/>
    <n v="0"/>
    <n v="13212.546199999999"/>
  </r>
  <r>
    <x v="0"/>
    <x v="0"/>
    <x v="0"/>
    <n v="15"/>
    <n v="5"/>
    <n v="0"/>
    <n v="20251217"/>
    <n v="20260105"/>
    <n v="1595.0418"/>
    <n v="20"/>
    <n v="79.752089999999995"/>
    <n v="1010.5295117508537"/>
    <n v="398.76044999999999"/>
    <n v="0"/>
    <n v="1409.2899617508538"/>
    <n v="1143.7226228261156"/>
    <n v="451.3191771738841"/>
    <n v="0"/>
    <n v="1595.0417999999997"/>
  </r>
  <r>
    <x v="0"/>
    <x v="1"/>
    <x v="0"/>
    <n v="31"/>
    <n v="4"/>
    <n v="0"/>
    <n v="20251128"/>
    <n v="20260104"/>
    <n v="129.41159999999999"/>
    <n v="35"/>
    <n v="3.6974742857142857"/>
    <n v="96.823889651276431"/>
    <n v="14.789897142857143"/>
    <n v="0"/>
    <n v="111.61378679413357"/>
    <n v="112.26332192371873"/>
    <n v="17.148278076281258"/>
    <n v="0"/>
    <n v="129.41159999999999"/>
  </r>
  <r>
    <x v="0"/>
    <x v="0"/>
    <x v="0"/>
    <n v="17"/>
    <n v="7"/>
    <n v="0"/>
    <n v="20251215"/>
    <n v="20260107"/>
    <n v="2224.7159000000001"/>
    <n v="24"/>
    <n v="92.696495833333344"/>
    <n v="1331.1527923452518"/>
    <n v="648.87547083333345"/>
    <n v="0"/>
    <n v="1980.0282631785853"/>
    <n v="1495.6537931967782"/>
    <n v="729.06210680322158"/>
    <n v="0"/>
    <n v="2224.7158999999997"/>
  </r>
  <r>
    <x v="0"/>
    <x v="0"/>
    <x v="0"/>
    <n v="14"/>
    <n v="5"/>
    <n v="0"/>
    <n v="20251218"/>
    <n v="20260105"/>
    <n v="8353.3750999999993"/>
    <n v="19"/>
    <n v="439.65132105263154"/>
    <n v="5199.3863209980418"/>
    <n v="2198.2566052631578"/>
    <n v="0"/>
    <n v="7397.6429262612"/>
    <n v="5871.1166059290426"/>
    <n v="2482.2584940709567"/>
    <n v="0"/>
    <n v="8353.3750999999993"/>
  </r>
  <r>
    <x v="0"/>
    <x v="0"/>
    <x v="0"/>
    <n v="23"/>
    <n v="14"/>
    <n v="0"/>
    <n v="20251209"/>
    <n v="20260114"/>
    <n v="41.985700000000001"/>
    <n v="37"/>
    <n v="1.1347486486486487"/>
    <n v="22.046679028485883"/>
    <n v="15.886481081081081"/>
    <n v="0"/>
    <n v="37.933160109566963"/>
    <n v="24.402007346939879"/>
    <n v="17.583692653060123"/>
    <n v="0"/>
    <n v="41.985700000000001"/>
  </r>
  <r>
    <x v="0"/>
    <x v="0"/>
    <x v="1"/>
    <n v="10"/>
    <n v="16"/>
    <n v="0"/>
    <n v="20251222"/>
    <n v="20260116"/>
    <n v="377.72859999999997"/>
    <n v="26"/>
    <n v="14.528023076923075"/>
    <n v="122.72193382123871"/>
    <n v="232.4483692307692"/>
    <n v="0"/>
    <n v="355.17030305200791"/>
    <n v="130.51649829181031"/>
    <n v="247.21210170818966"/>
    <n v="0"/>
    <n v="377.72859999999997"/>
  </r>
  <r>
    <x v="0"/>
    <x v="0"/>
    <x v="0"/>
    <n v="0"/>
    <n v="4"/>
    <n v="0"/>
    <n v="20260103"/>
    <n v="20260106"/>
    <n v="111076.0517"/>
    <n v="4"/>
    <n v="27769.012924999999"/>
    <n v="0"/>
    <n v="111076.0517"/>
    <n v="0"/>
    <n v="111076.0517"/>
    <n v="0"/>
    <n v="111076.0517"/>
    <n v="0"/>
    <n v="111076.0517"/>
  </r>
  <r>
    <x v="0"/>
    <x v="0"/>
    <x v="0"/>
    <n v="8"/>
    <n v="1"/>
    <n v="0"/>
    <n v="20251224"/>
    <n v="20260101"/>
    <n v="335.9248"/>
    <n v="9"/>
    <n v="37.324977777777775"/>
    <n v="252.23492162534669"/>
    <n v="37.324977777777775"/>
    <n v="0"/>
    <n v="289.55989940312446"/>
    <n v="292.62327336993121"/>
    <n v="43.301526630068828"/>
    <n v="0"/>
    <n v="335.92480000000006"/>
  </r>
  <r>
    <x v="0"/>
    <x v="0"/>
    <x v="0"/>
    <n v="12"/>
    <n v="3"/>
    <n v="0"/>
    <n v="20251220"/>
    <n v="20260103"/>
    <n v="293.96179999999998"/>
    <n v="15"/>
    <n v="19.597453333333331"/>
    <n v="198.65365232177334"/>
    <n v="58.792359999999988"/>
    <n v="0"/>
    <n v="257.44601232177331"/>
    <n v="226.83041266179993"/>
    <n v="67.131387338200085"/>
    <n v="0"/>
    <n v="293.96180000000004"/>
  </r>
  <r>
    <x v="0"/>
    <x v="0"/>
    <x v="1"/>
    <n v="0"/>
    <n v="17"/>
    <n v="4"/>
    <n v="20260115"/>
    <n v="20260204"/>
    <n v="14215.5337"/>
    <n v="21"/>
    <n v="676.93017619047623"/>
    <n v="0"/>
    <n v="11507.812995238095"/>
    <n v="2232.5373345828807"/>
    <n v="13740.350329820976"/>
    <n v="0"/>
    <n v="11905.788391149159"/>
    <n v="2309.7453088508419"/>
    <n v="14215.5337"/>
  </r>
  <r>
    <x v="0"/>
    <x v="0"/>
    <x v="1"/>
    <n v="0"/>
    <n v="13"/>
    <n v="1"/>
    <n v="20260119"/>
    <n v="20260201"/>
    <n v="168.17189999999999"/>
    <n v="14"/>
    <n v="12.01227857142857"/>
    <n v="0"/>
    <n v="156.15962142857143"/>
    <n v="9.9042195662799504"/>
    <n v="166.06384099485138"/>
    <n v="0"/>
    <n v="158.14195361010459"/>
    <n v="10.029946389895411"/>
    <n v="168.17189999999999"/>
  </r>
  <r>
    <x v="0"/>
    <x v="0"/>
    <x v="0"/>
    <n v="0"/>
    <n v="18"/>
    <n v="4"/>
    <n v="20260114"/>
    <n v="20260204"/>
    <n v="588.72609999999997"/>
    <n v="22"/>
    <n v="26.760277272727272"/>
    <n v="0"/>
    <n v="481.68499090909091"/>
    <n v="88.256248866563553"/>
    <n v="569.94123977565448"/>
    <n v="0"/>
    <n v="497.56098758193059"/>
    <n v="91.165112418069384"/>
    <n v="588.7260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A7432-0D32-40EF-BE1C-92D690DED717}" name="피벗 테이블2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8" indent="0" compact="0" compactData="0" multipleFieldFilters="0">
  <location ref="A8:G13" firstHeaderRow="0" firstDataRow="1" firstDataCol="3"/>
  <pivotFields count="19"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2"/>
    <field x="1"/>
  </rowFields>
  <rowItems count="5">
    <i>
      <x/>
      <x/>
      <x/>
    </i>
    <i r="2">
      <x v="1"/>
    </i>
    <i r="1">
      <x v="1"/>
      <x/>
    </i>
    <i r="2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12월보정공급량" fld="15" baseField="0" baseItem="0"/>
    <dataField name="합계 : 1월보정공급량" fld="16" baseField="0" baseItem="0"/>
    <dataField name="합계 : 2월보정공급량" fld="17" baseField="0" baseItem="0"/>
    <dataField name="합계 : 보정공급량합계" fld="18" baseField="0" baseItem="0"/>
  </dataFields>
  <formats count="1"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DE27-2A47-4206-8E4C-1411E24FB53E}">
  <dimension ref="A2:G17"/>
  <sheetViews>
    <sheetView tabSelected="1" workbookViewId="0">
      <selection activeCell="E16" sqref="E16"/>
    </sheetView>
  </sheetViews>
  <sheetFormatPr defaultRowHeight="16.5" x14ac:dyDescent="0.3"/>
  <cols>
    <col min="1" max="1" width="22.125" bestFit="1" customWidth="1"/>
    <col min="2" max="2" width="21.875" bestFit="1" customWidth="1"/>
    <col min="3" max="3" width="16.875" bestFit="1" customWidth="1"/>
    <col min="4" max="4" width="21.875" bestFit="1" customWidth="1"/>
    <col min="5" max="6" width="20.625" bestFit="1" customWidth="1"/>
    <col min="7" max="7" width="21.5" bestFit="1" customWidth="1"/>
  </cols>
  <sheetData>
    <row r="2" spans="1:7" x14ac:dyDescent="0.3">
      <c r="A2" s="1" t="s">
        <v>19</v>
      </c>
      <c r="B2" s="4" t="s">
        <v>29</v>
      </c>
      <c r="C2" s="4" t="s">
        <v>31</v>
      </c>
      <c r="D2" s="4" t="s">
        <v>35</v>
      </c>
    </row>
    <row r="3" spans="1:7" x14ac:dyDescent="0.3">
      <c r="A3" s="1" t="s">
        <v>20</v>
      </c>
      <c r="B3" s="2">
        <v>6476731</v>
      </c>
      <c r="C3" s="2">
        <v>7667260</v>
      </c>
      <c r="D3" s="2">
        <v>5709938</v>
      </c>
    </row>
    <row r="4" spans="1:7" x14ac:dyDescent="0.3">
      <c r="A4" s="1" t="s">
        <v>21</v>
      </c>
      <c r="B4" s="2">
        <v>31</v>
      </c>
      <c r="C4" s="2">
        <v>31</v>
      </c>
      <c r="D4" s="2">
        <v>28</v>
      </c>
    </row>
    <row r="5" spans="1:7" x14ac:dyDescent="0.3">
      <c r="A5" s="1" t="s">
        <v>10</v>
      </c>
      <c r="B5" s="2">
        <f>B3/B4</f>
        <v>208926.80645161291</v>
      </c>
      <c r="C5" s="2">
        <f>C3/C4</f>
        <v>247330.96774193548</v>
      </c>
      <c r="D5" s="2">
        <f>D3/D4</f>
        <v>203926.35714285713</v>
      </c>
    </row>
    <row r="6" spans="1:7" x14ac:dyDescent="0.3">
      <c r="A6" s="1" t="s">
        <v>22</v>
      </c>
      <c r="B6" s="2">
        <f>B5/C5</f>
        <v>0.84472562558202025</v>
      </c>
      <c r="C6" s="2">
        <v>1</v>
      </c>
      <c r="D6" s="2">
        <f>D5/C5</f>
        <v>0.82450798217727994</v>
      </c>
    </row>
    <row r="7" spans="1:7" ht="17.25" thickBot="1" x14ac:dyDescent="0.35"/>
    <row r="8" spans="1:7" ht="17.25" thickBot="1" x14ac:dyDescent="0.35">
      <c r="A8" s="3" t="s">
        <v>23</v>
      </c>
      <c r="B8" s="3" t="s">
        <v>26</v>
      </c>
      <c r="C8" s="3" t="s">
        <v>24</v>
      </c>
      <c r="D8" t="s">
        <v>30</v>
      </c>
      <c r="E8" s="8" t="s">
        <v>34</v>
      </c>
      <c r="F8" t="s">
        <v>38</v>
      </c>
      <c r="G8" t="s">
        <v>18</v>
      </c>
    </row>
    <row r="9" spans="1:7" x14ac:dyDescent="0.3">
      <c r="A9" t="s">
        <v>13</v>
      </c>
      <c r="B9" t="s">
        <v>14</v>
      </c>
      <c r="C9" t="s">
        <v>16</v>
      </c>
      <c r="D9" s="5">
        <v>4031.9533993543255</v>
      </c>
      <c r="E9" s="9">
        <v>769.85360064567431</v>
      </c>
      <c r="F9" s="5">
        <v>0</v>
      </c>
      <c r="G9" s="5">
        <v>4801.8069999999998</v>
      </c>
    </row>
    <row r="10" spans="1:7" x14ac:dyDescent="0.3">
      <c r="C10" t="s">
        <v>25</v>
      </c>
      <c r="D10" s="5">
        <v>45858819.610623695</v>
      </c>
      <c r="E10" s="6">
        <v>80775797.49684</v>
      </c>
      <c r="F10" s="5">
        <v>20994600.996836312</v>
      </c>
      <c r="G10" s="5">
        <v>147629218.10429993</v>
      </c>
    </row>
    <row r="11" spans="1:7" x14ac:dyDescent="0.3">
      <c r="B11" t="s">
        <v>15</v>
      </c>
      <c r="C11" t="s">
        <v>16</v>
      </c>
      <c r="D11" s="5">
        <v>41474.37671910302</v>
      </c>
      <c r="E11" s="6">
        <v>3620.7176808969812</v>
      </c>
      <c r="F11" s="5">
        <v>0</v>
      </c>
      <c r="G11" s="5">
        <v>45095.094400000002</v>
      </c>
    </row>
    <row r="12" spans="1:7" x14ac:dyDescent="0.3">
      <c r="C12" t="s">
        <v>25</v>
      </c>
      <c r="D12" s="5">
        <v>131137792.50011609</v>
      </c>
      <c r="E12" s="6">
        <v>159744035.87682745</v>
      </c>
      <c r="F12" s="5">
        <v>18715905.26185669</v>
      </c>
      <c r="G12" s="5">
        <v>309597733.63879973</v>
      </c>
    </row>
    <row r="13" spans="1:7" ht="17.25" thickBot="1" x14ac:dyDescent="0.35">
      <c r="A13" t="s">
        <v>17</v>
      </c>
      <c r="D13" s="5">
        <v>177042118.44085824</v>
      </c>
      <c r="E13" s="7">
        <v>240524223.944949</v>
      </c>
      <c r="F13" s="5">
        <v>39710506.258693002</v>
      </c>
      <c r="G13" s="5">
        <v>457276848.64449966</v>
      </c>
    </row>
    <row r="16" spans="1:7" x14ac:dyDescent="0.3">
      <c r="E16">
        <f>GETPIVOTDATA("합계 : 1월보정공급량",$A$8,"상품","일반용(1)","서비스","일반용(1)(기타)","용도","업무용")+GETPIVOTDATA("합계 : 1월보정공급량",$A$8,"상품","일반용(1)","서비스","일반용(1)(동절기)","용도","업무용")</f>
        <v>80776567.350440651</v>
      </c>
    </row>
    <row r="17" spans="5:5" x14ac:dyDescent="0.3">
      <c r="E17">
        <f>GETPIVOTDATA("합계 : 1월보정공급량",$A$8,"상품","일반용(1)","서비스","일반용(1)(기타)","용도","영업용")+GETPIVOTDATA("합계 : 1월보정공급량",$A$8,"상품","일반용(1)","서비스","일반용(1)(동절기)","용도","영업용")</f>
        <v>159747656.59450835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7CE4-068E-4220-B194-7E4D930DC5D0}">
  <dimension ref="A2:S639"/>
  <sheetViews>
    <sheetView workbookViewId="0">
      <selection activeCell="F2" sqref="F2:I6"/>
    </sheetView>
  </sheetViews>
  <sheetFormatPr defaultRowHeight="16.5" x14ac:dyDescent="0.3"/>
  <cols>
    <col min="1" max="1" width="10.125" customWidth="1"/>
    <col min="2" max="2" width="16.875" bestFit="1" customWidth="1"/>
    <col min="3" max="4" width="12.75" bestFit="1" customWidth="1"/>
    <col min="7" max="7" width="15.25" customWidth="1"/>
    <col min="8" max="8" width="14.25" customWidth="1"/>
    <col min="10" max="10" width="7.125" bestFit="1" customWidth="1"/>
    <col min="11" max="14" width="12.75" bestFit="1" customWidth="1"/>
    <col min="15" max="15" width="13" bestFit="1" customWidth="1"/>
    <col min="16" max="18" width="16.125" bestFit="1" customWidth="1"/>
    <col min="19" max="19" width="15.125" bestFit="1" customWidth="1"/>
  </cols>
  <sheetData>
    <row r="2" spans="1:19" x14ac:dyDescent="0.3">
      <c r="B2" s="4" t="s">
        <v>29</v>
      </c>
      <c r="C2" s="4" t="s">
        <v>31</v>
      </c>
      <c r="D2" s="4" t="s">
        <v>35</v>
      </c>
    </row>
    <row r="3" spans="1:19" x14ac:dyDescent="0.3">
      <c r="A3" t="s">
        <v>20</v>
      </c>
      <c r="B3" s="2">
        <v>6476731</v>
      </c>
      <c r="C3" s="2">
        <v>7667260</v>
      </c>
      <c r="D3" s="2">
        <v>5709938</v>
      </c>
    </row>
    <row r="4" spans="1:19" x14ac:dyDescent="0.3">
      <c r="A4" t="s">
        <v>21</v>
      </c>
      <c r="B4" s="2">
        <v>31</v>
      </c>
      <c r="C4" s="2">
        <v>31</v>
      </c>
      <c r="D4" s="2">
        <v>28</v>
      </c>
    </row>
    <row r="5" spans="1:19" x14ac:dyDescent="0.3">
      <c r="A5" t="s">
        <v>10</v>
      </c>
      <c r="B5">
        <f>B3/B4</f>
        <v>208926.80645161291</v>
      </c>
      <c r="C5">
        <f>C3/C4</f>
        <v>247330.96774193548</v>
      </c>
      <c r="D5">
        <f>D3/D4</f>
        <v>203926.35714285713</v>
      </c>
    </row>
    <row r="6" spans="1:19" x14ac:dyDescent="0.3">
      <c r="A6" t="s">
        <v>22</v>
      </c>
      <c r="B6">
        <f>B5/C5</f>
        <v>0.84472562558202025</v>
      </c>
      <c r="C6">
        <v>1</v>
      </c>
      <c r="D6">
        <f>D5/C5</f>
        <v>0.82450798217727994</v>
      </c>
    </row>
    <row r="9" spans="1:19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27</v>
      </c>
      <c r="M9" t="s">
        <v>32</v>
      </c>
      <c r="N9" t="s">
        <v>36</v>
      </c>
      <c r="O9" t="s">
        <v>11</v>
      </c>
      <c r="P9" t="s">
        <v>28</v>
      </c>
      <c r="Q9" t="s">
        <v>33</v>
      </c>
      <c r="R9" t="s">
        <v>37</v>
      </c>
      <c r="S9" t="s">
        <v>12</v>
      </c>
    </row>
    <row r="10" spans="1:19" x14ac:dyDescent="0.3">
      <c r="A10" t="s">
        <v>13</v>
      </c>
      <c r="B10" t="s">
        <v>25</v>
      </c>
      <c r="C10" t="s">
        <v>15</v>
      </c>
      <c r="D10">
        <v>25</v>
      </c>
      <c r="E10">
        <v>4</v>
      </c>
      <c r="F10">
        <v>0</v>
      </c>
      <c r="G10">
        <v>20251207</v>
      </c>
      <c r="H10">
        <v>20260104</v>
      </c>
      <c r="I10">
        <v>260008.2242</v>
      </c>
      <c r="J10">
        <f>IF(D10&lt;0,0,D10)+E10+F10</f>
        <v>29</v>
      </c>
      <c r="K10">
        <f>I10/J10</f>
        <v>8965.8008344827576</v>
      </c>
      <c r="L10">
        <f t="shared" ref="L10" si="0">IF(D10&lt;0,0,D10)*$K10*$B$6</f>
        <v>189341.04296880617</v>
      </c>
      <c r="M10">
        <f>IF(E10&lt;0,0,E10)*$K10*$C$6</f>
        <v>35863.203337931031</v>
      </c>
      <c r="N10">
        <f>IF(F10&lt;0,0,F10)*$K10*$D$6</f>
        <v>0</v>
      </c>
      <c r="O10">
        <f>L10+M10+N10</f>
        <v>225204.24630673719</v>
      </c>
      <c r="P10">
        <f>L10/$O10*$I10</f>
        <v>218602.57591875797</v>
      </c>
      <c r="Q10">
        <f>M10/$O10*$I10</f>
        <v>41405.648281242036</v>
      </c>
      <c r="R10">
        <f>N10/$O10*$I10</f>
        <v>0</v>
      </c>
      <c r="S10">
        <f>P10+Q10+R10</f>
        <v>260008.2242</v>
      </c>
    </row>
    <row r="11" spans="1:19" x14ac:dyDescent="0.3">
      <c r="A11" t="s">
        <v>13</v>
      </c>
      <c r="B11" t="s">
        <v>25</v>
      </c>
      <c r="C11" t="s">
        <v>14</v>
      </c>
      <c r="D11">
        <v>28</v>
      </c>
      <c r="E11">
        <v>6</v>
      </c>
      <c r="F11">
        <v>0</v>
      </c>
      <c r="G11">
        <v>20251204</v>
      </c>
      <c r="H11">
        <v>20260106</v>
      </c>
      <c r="I11">
        <v>1313193.6335</v>
      </c>
      <c r="J11">
        <f t="shared" ref="J11:J74" si="1">IF(D11&lt;0,0,D11)+E11+F11</f>
        <v>34</v>
      </c>
      <c r="K11">
        <f t="shared" ref="K11:K74" si="2">I11/J11</f>
        <v>38623.342161764704</v>
      </c>
      <c r="L11">
        <f t="shared" ref="L11:L74" si="3">IF(D11&lt;0,0,D11)*$K11*$B$6</f>
        <v>913531.55235062307</v>
      </c>
      <c r="M11">
        <f t="shared" ref="M11:M74" si="4">IF(E11&lt;0,0,E11)*$K11*$C$6</f>
        <v>231740.05297058821</v>
      </c>
      <c r="N11">
        <f t="shared" ref="N11:N74" si="5">IF(F11&lt;0,0,F11)*$K11*$D$6</f>
        <v>0</v>
      </c>
      <c r="O11">
        <f t="shared" ref="O11:O74" si="6">L11+M11+N11</f>
        <v>1145271.6053212113</v>
      </c>
      <c r="P11">
        <f t="shared" ref="P11:P74" si="7">L11/$O11*$I11</f>
        <v>1047475.3874752263</v>
      </c>
      <c r="Q11">
        <f t="shared" ref="Q11:Q74" si="8">M11/$O11*$I11</f>
        <v>265718.24602477375</v>
      </c>
      <c r="R11">
        <f t="shared" ref="R11:R74" si="9">N11/$O11*$I11</f>
        <v>0</v>
      </c>
      <c r="S11">
        <f t="shared" ref="S11:S74" si="10">P11+Q11+R11</f>
        <v>1313193.6335</v>
      </c>
    </row>
    <row r="12" spans="1:19" x14ac:dyDescent="0.3">
      <c r="A12" t="s">
        <v>13</v>
      </c>
      <c r="B12" t="s">
        <v>25</v>
      </c>
      <c r="C12" t="s">
        <v>15</v>
      </c>
      <c r="D12">
        <v>0</v>
      </c>
      <c r="E12">
        <v>25</v>
      </c>
      <c r="F12">
        <v>3</v>
      </c>
      <c r="G12">
        <v>20260107</v>
      </c>
      <c r="H12">
        <v>20260203</v>
      </c>
      <c r="I12">
        <v>2755025.7985</v>
      </c>
      <c r="J12">
        <f t="shared" si="1"/>
        <v>28</v>
      </c>
      <c r="K12">
        <f t="shared" si="2"/>
        <v>98393.77851785715</v>
      </c>
      <c r="L12">
        <f t="shared" si="3"/>
        <v>0</v>
      </c>
      <c r="M12">
        <f t="shared" si="4"/>
        <v>2459844.4629464289</v>
      </c>
      <c r="N12">
        <f t="shared" si="5"/>
        <v>243379.3673536698</v>
      </c>
      <c r="O12">
        <f t="shared" si="6"/>
        <v>2703223.8303000988</v>
      </c>
      <c r="P12">
        <f t="shared" si="7"/>
        <v>0</v>
      </c>
      <c r="Q12">
        <f t="shared" si="8"/>
        <v>2506982.5442321757</v>
      </c>
      <c r="R12">
        <f t="shared" si="9"/>
        <v>248043.2542678242</v>
      </c>
      <c r="S12">
        <f t="shared" si="10"/>
        <v>2755025.7985</v>
      </c>
    </row>
    <row r="13" spans="1:19" x14ac:dyDescent="0.3">
      <c r="A13" t="s">
        <v>13</v>
      </c>
      <c r="B13" t="s">
        <v>25</v>
      </c>
      <c r="C13" t="s">
        <v>15</v>
      </c>
      <c r="D13">
        <v>29</v>
      </c>
      <c r="E13">
        <v>6</v>
      </c>
      <c r="F13">
        <v>0</v>
      </c>
      <c r="G13">
        <v>20251203</v>
      </c>
      <c r="H13">
        <v>20260106</v>
      </c>
      <c r="I13">
        <v>2062359.8785000001</v>
      </c>
      <c r="J13">
        <f t="shared" si="1"/>
        <v>35</v>
      </c>
      <c r="K13">
        <f t="shared" si="2"/>
        <v>58924.567957142863</v>
      </c>
      <c r="L13">
        <f t="shared" si="3"/>
        <v>1443477.6833626854</v>
      </c>
      <c r="M13">
        <f t="shared" si="4"/>
        <v>353547.40774285718</v>
      </c>
      <c r="N13">
        <f t="shared" si="5"/>
        <v>0</v>
      </c>
      <c r="O13">
        <f t="shared" si="6"/>
        <v>1797025.0911055426</v>
      </c>
      <c r="P13">
        <f t="shared" si="7"/>
        <v>1656610.4026103921</v>
      </c>
      <c r="Q13">
        <f t="shared" si="8"/>
        <v>405749.47588960797</v>
      </c>
      <c r="R13">
        <f t="shared" si="9"/>
        <v>0</v>
      </c>
      <c r="S13">
        <f t="shared" si="10"/>
        <v>2062359.8785000001</v>
      </c>
    </row>
    <row r="14" spans="1:19" x14ac:dyDescent="0.3">
      <c r="A14" t="s">
        <v>13</v>
      </c>
      <c r="B14" t="s">
        <v>25</v>
      </c>
      <c r="C14" t="s">
        <v>14</v>
      </c>
      <c r="D14">
        <v>0</v>
      </c>
      <c r="E14">
        <v>28</v>
      </c>
      <c r="F14">
        <v>3</v>
      </c>
      <c r="G14">
        <v>20260104</v>
      </c>
      <c r="H14">
        <v>20260203</v>
      </c>
      <c r="I14">
        <v>811296.34920000006</v>
      </c>
      <c r="J14">
        <f t="shared" si="1"/>
        <v>31</v>
      </c>
      <c r="K14">
        <f t="shared" si="2"/>
        <v>26170.849974193548</v>
      </c>
      <c r="L14">
        <f t="shared" si="3"/>
        <v>0</v>
      </c>
      <c r="M14">
        <f t="shared" si="4"/>
        <v>732783.79927741934</v>
      </c>
      <c r="N14">
        <f t="shared" si="5"/>
        <v>64734.224112259923</v>
      </c>
      <c r="O14">
        <f t="shared" si="6"/>
        <v>797518.02338967926</v>
      </c>
      <c r="P14">
        <f t="shared" si="7"/>
        <v>0</v>
      </c>
      <c r="Q14">
        <f t="shared" si="8"/>
        <v>745443.7438038839</v>
      </c>
      <c r="R14">
        <f t="shared" si="9"/>
        <v>65852.605396116167</v>
      </c>
      <c r="S14">
        <f t="shared" si="10"/>
        <v>811296.34920000006</v>
      </c>
    </row>
    <row r="15" spans="1:19" x14ac:dyDescent="0.3">
      <c r="A15" t="s">
        <v>13</v>
      </c>
      <c r="B15" t="s">
        <v>25</v>
      </c>
      <c r="C15" t="s">
        <v>14</v>
      </c>
      <c r="D15">
        <v>0</v>
      </c>
      <c r="E15">
        <v>29</v>
      </c>
      <c r="F15">
        <v>2</v>
      </c>
      <c r="G15">
        <v>20260103</v>
      </c>
      <c r="H15">
        <v>20260202</v>
      </c>
      <c r="I15">
        <v>2287347.7048999998</v>
      </c>
      <c r="J15">
        <f t="shared" si="1"/>
        <v>31</v>
      </c>
      <c r="K15">
        <f t="shared" si="2"/>
        <v>73785.409835483864</v>
      </c>
      <c r="L15">
        <f t="shared" si="3"/>
        <v>0</v>
      </c>
      <c r="M15">
        <f t="shared" si="4"/>
        <v>2139776.885229032</v>
      </c>
      <c r="N15">
        <f t="shared" si="5"/>
        <v>121673.31875515686</v>
      </c>
      <c r="O15">
        <f t="shared" si="6"/>
        <v>2261450.2039841888</v>
      </c>
      <c r="P15">
        <f t="shared" si="7"/>
        <v>0</v>
      </c>
      <c r="Q15">
        <f t="shared" si="8"/>
        <v>2164281.0170234093</v>
      </c>
      <c r="R15">
        <f t="shared" si="9"/>
        <v>123066.68787659051</v>
      </c>
      <c r="S15">
        <f t="shared" si="10"/>
        <v>2287347.7048999998</v>
      </c>
    </row>
    <row r="16" spans="1:19" x14ac:dyDescent="0.3">
      <c r="A16" t="s">
        <v>13</v>
      </c>
      <c r="B16" t="s">
        <v>25</v>
      </c>
      <c r="C16" t="s">
        <v>15</v>
      </c>
      <c r="D16">
        <v>0</v>
      </c>
      <c r="E16">
        <v>28</v>
      </c>
      <c r="F16">
        <v>4</v>
      </c>
      <c r="G16">
        <v>20260104</v>
      </c>
      <c r="H16">
        <v>20260204</v>
      </c>
      <c r="I16">
        <v>3221943.9531999999</v>
      </c>
      <c r="J16">
        <f t="shared" si="1"/>
        <v>32</v>
      </c>
      <c r="K16">
        <f t="shared" si="2"/>
        <v>100685.7485375</v>
      </c>
      <c r="L16">
        <f t="shared" si="3"/>
        <v>0</v>
      </c>
      <c r="M16">
        <f t="shared" si="4"/>
        <v>2819200.9590499997</v>
      </c>
      <c r="N16">
        <f t="shared" si="5"/>
        <v>332064.81344265252</v>
      </c>
      <c r="O16">
        <f t="shared" si="6"/>
        <v>3151265.7724926523</v>
      </c>
      <c r="P16">
        <f t="shared" si="7"/>
        <v>0</v>
      </c>
      <c r="Q16">
        <f t="shared" si="8"/>
        <v>2882431.4223683798</v>
      </c>
      <c r="R16">
        <f t="shared" si="9"/>
        <v>339512.53083161998</v>
      </c>
      <c r="S16">
        <f t="shared" si="10"/>
        <v>3221943.9531999999</v>
      </c>
    </row>
    <row r="17" spans="1:19" x14ac:dyDescent="0.3">
      <c r="A17" t="s">
        <v>13</v>
      </c>
      <c r="B17" t="s">
        <v>25</v>
      </c>
      <c r="C17" t="s">
        <v>15</v>
      </c>
      <c r="D17">
        <v>0</v>
      </c>
      <c r="E17">
        <v>30</v>
      </c>
      <c r="F17">
        <v>3</v>
      </c>
      <c r="G17">
        <v>20260102</v>
      </c>
      <c r="H17">
        <v>20260203</v>
      </c>
      <c r="I17">
        <v>4315791.6845000004</v>
      </c>
      <c r="J17">
        <f t="shared" si="1"/>
        <v>33</v>
      </c>
      <c r="K17">
        <f t="shared" si="2"/>
        <v>130781.56619696971</v>
      </c>
      <c r="L17">
        <f t="shared" si="3"/>
        <v>0</v>
      </c>
      <c r="M17">
        <f t="shared" si="4"/>
        <v>3923446.9859090913</v>
      </c>
      <c r="N17">
        <f t="shared" si="5"/>
        <v>323491.33575314359</v>
      </c>
      <c r="O17">
        <f t="shared" si="6"/>
        <v>4246938.3216622351</v>
      </c>
      <c r="P17">
        <f t="shared" si="7"/>
        <v>0</v>
      </c>
      <c r="Q17">
        <f t="shared" si="8"/>
        <v>3987055.754964584</v>
      </c>
      <c r="R17">
        <f t="shared" si="9"/>
        <v>328735.92953541607</v>
      </c>
      <c r="S17">
        <f t="shared" si="10"/>
        <v>4315791.6845000004</v>
      </c>
    </row>
    <row r="18" spans="1:19" x14ac:dyDescent="0.3">
      <c r="A18" t="s">
        <v>13</v>
      </c>
      <c r="B18" t="s">
        <v>25</v>
      </c>
      <c r="C18" t="s">
        <v>15</v>
      </c>
      <c r="D18">
        <v>26</v>
      </c>
      <c r="E18">
        <v>4</v>
      </c>
      <c r="F18">
        <v>0</v>
      </c>
      <c r="G18">
        <v>20251206</v>
      </c>
      <c r="H18">
        <v>20260104</v>
      </c>
      <c r="I18">
        <v>538812.87100000004</v>
      </c>
      <c r="J18">
        <f t="shared" si="1"/>
        <v>30</v>
      </c>
      <c r="K18">
        <f t="shared" si="2"/>
        <v>17960.429033333334</v>
      </c>
      <c r="L18">
        <f t="shared" si="3"/>
        <v>394462.50092350342</v>
      </c>
      <c r="M18">
        <f t="shared" si="4"/>
        <v>71841.716133333335</v>
      </c>
      <c r="N18">
        <f t="shared" si="5"/>
        <v>0</v>
      </c>
      <c r="O18">
        <f t="shared" si="6"/>
        <v>466304.21705683676</v>
      </c>
      <c r="P18">
        <f t="shared" si="7"/>
        <v>455800.02249588678</v>
      </c>
      <c r="Q18">
        <f t="shared" si="8"/>
        <v>83012.848504113295</v>
      </c>
      <c r="R18">
        <f t="shared" si="9"/>
        <v>0</v>
      </c>
      <c r="S18">
        <f t="shared" si="10"/>
        <v>538812.87100000004</v>
      </c>
    </row>
    <row r="19" spans="1:19" x14ac:dyDescent="0.3">
      <c r="A19" t="s">
        <v>13</v>
      </c>
      <c r="B19" t="s">
        <v>25</v>
      </c>
      <c r="C19" t="s">
        <v>15</v>
      </c>
      <c r="D19">
        <v>26</v>
      </c>
      <c r="E19">
        <v>7</v>
      </c>
      <c r="F19">
        <v>0</v>
      </c>
      <c r="G19">
        <v>20251206</v>
      </c>
      <c r="H19">
        <v>20260107</v>
      </c>
      <c r="I19">
        <v>965352.61809999996</v>
      </c>
      <c r="J19">
        <f t="shared" si="1"/>
        <v>33</v>
      </c>
      <c r="K19">
        <f t="shared" si="2"/>
        <v>29253.109639393937</v>
      </c>
      <c r="L19">
        <f t="shared" si="3"/>
        <v>642482.13484926824</v>
      </c>
      <c r="M19">
        <f t="shared" si="4"/>
        <v>204771.76747575757</v>
      </c>
      <c r="N19">
        <f t="shared" si="5"/>
        <v>0</v>
      </c>
      <c r="O19">
        <f t="shared" si="6"/>
        <v>847253.90232502576</v>
      </c>
      <c r="P19">
        <f t="shared" si="7"/>
        <v>732037.71532619884</v>
      </c>
      <c r="Q19">
        <f t="shared" si="8"/>
        <v>233314.90277380112</v>
      </c>
      <c r="R19">
        <f t="shared" si="9"/>
        <v>0</v>
      </c>
      <c r="S19">
        <f t="shared" si="10"/>
        <v>965352.61809999996</v>
      </c>
    </row>
    <row r="20" spans="1:19" x14ac:dyDescent="0.3">
      <c r="A20" t="s">
        <v>13</v>
      </c>
      <c r="B20" t="s">
        <v>25</v>
      </c>
      <c r="C20" t="s">
        <v>14</v>
      </c>
      <c r="D20">
        <v>0</v>
      </c>
      <c r="E20">
        <v>24</v>
      </c>
      <c r="F20">
        <v>6</v>
      </c>
      <c r="G20">
        <v>20260108</v>
      </c>
      <c r="H20">
        <v>20260206</v>
      </c>
      <c r="I20">
        <v>270500.6347</v>
      </c>
      <c r="J20">
        <f t="shared" si="1"/>
        <v>30</v>
      </c>
      <c r="K20">
        <f t="shared" si="2"/>
        <v>9016.6878233333337</v>
      </c>
      <c r="L20">
        <f t="shared" si="3"/>
        <v>0</v>
      </c>
      <c r="M20">
        <f t="shared" si="4"/>
        <v>216400.50776000001</v>
      </c>
      <c r="N20">
        <f t="shared" si="5"/>
        <v>44605.986498834107</v>
      </c>
      <c r="O20">
        <f t="shared" si="6"/>
        <v>261006.49425883411</v>
      </c>
      <c r="P20">
        <f t="shared" si="7"/>
        <v>0</v>
      </c>
      <c r="Q20">
        <f t="shared" si="8"/>
        <v>224272.10044985704</v>
      </c>
      <c r="R20">
        <f t="shared" si="9"/>
        <v>46228.53425014297</v>
      </c>
      <c r="S20">
        <f t="shared" si="10"/>
        <v>270500.6347</v>
      </c>
    </row>
    <row r="21" spans="1:19" x14ac:dyDescent="0.3">
      <c r="A21" t="s">
        <v>13</v>
      </c>
      <c r="B21" t="s">
        <v>25</v>
      </c>
      <c r="C21" t="s">
        <v>14</v>
      </c>
      <c r="D21">
        <v>0</v>
      </c>
      <c r="E21">
        <v>29</v>
      </c>
      <c r="F21">
        <v>4</v>
      </c>
      <c r="G21">
        <v>20260103</v>
      </c>
      <c r="H21">
        <v>20260204</v>
      </c>
      <c r="I21">
        <v>525862.41500000004</v>
      </c>
      <c r="J21">
        <f t="shared" si="1"/>
        <v>33</v>
      </c>
      <c r="K21">
        <f t="shared" si="2"/>
        <v>15935.224696969699</v>
      </c>
      <c r="L21">
        <f t="shared" si="3"/>
        <v>0</v>
      </c>
      <c r="M21">
        <f t="shared" si="4"/>
        <v>462121.51621212129</v>
      </c>
      <c r="N21">
        <f t="shared" si="5"/>
        <v>52554.879841760172</v>
      </c>
      <c r="O21">
        <f t="shared" si="6"/>
        <v>514676.39605388144</v>
      </c>
      <c r="P21">
        <f t="shared" si="7"/>
        <v>0</v>
      </c>
      <c r="Q21">
        <f t="shared" si="8"/>
        <v>472165.30309528095</v>
      </c>
      <c r="R21">
        <f t="shared" si="9"/>
        <v>53697.111904719146</v>
      </c>
      <c r="S21">
        <f t="shared" si="10"/>
        <v>525862.41500000004</v>
      </c>
    </row>
    <row r="22" spans="1:19" x14ac:dyDescent="0.3">
      <c r="A22" t="s">
        <v>13</v>
      </c>
      <c r="B22" t="s">
        <v>25</v>
      </c>
      <c r="C22" t="s">
        <v>14</v>
      </c>
      <c r="D22">
        <v>25</v>
      </c>
      <c r="E22">
        <v>6</v>
      </c>
      <c r="F22">
        <v>0</v>
      </c>
      <c r="G22">
        <v>20251207</v>
      </c>
      <c r="H22">
        <v>20260106</v>
      </c>
      <c r="I22">
        <v>421849.56060000003</v>
      </c>
      <c r="J22">
        <f t="shared" si="1"/>
        <v>31</v>
      </c>
      <c r="K22">
        <f t="shared" si="2"/>
        <v>13608.050341935485</v>
      </c>
      <c r="L22">
        <f t="shared" si="3"/>
        <v>287376.72095107689</v>
      </c>
      <c r="M22">
        <f t="shared" si="4"/>
        <v>81648.302051612904</v>
      </c>
      <c r="N22">
        <f t="shared" si="5"/>
        <v>0</v>
      </c>
      <c r="O22">
        <f t="shared" si="6"/>
        <v>369025.02300268982</v>
      </c>
      <c r="P22">
        <f t="shared" si="7"/>
        <v>328513.61263649852</v>
      </c>
      <c r="Q22">
        <f t="shared" si="8"/>
        <v>93335.947963501458</v>
      </c>
      <c r="R22">
        <f t="shared" si="9"/>
        <v>0</v>
      </c>
      <c r="S22">
        <f t="shared" si="10"/>
        <v>421849.56059999997</v>
      </c>
    </row>
    <row r="23" spans="1:19" x14ac:dyDescent="0.3">
      <c r="A23" t="s">
        <v>13</v>
      </c>
      <c r="B23" t="s">
        <v>25</v>
      </c>
      <c r="C23" t="s">
        <v>14</v>
      </c>
      <c r="D23">
        <v>27</v>
      </c>
      <c r="E23">
        <v>5</v>
      </c>
      <c r="F23">
        <v>0</v>
      </c>
      <c r="G23">
        <v>20251205</v>
      </c>
      <c r="H23">
        <v>20260105</v>
      </c>
      <c r="I23">
        <v>1694072.0433</v>
      </c>
      <c r="J23">
        <f t="shared" si="1"/>
        <v>32</v>
      </c>
      <c r="K23">
        <f t="shared" si="2"/>
        <v>52939.751353125001</v>
      </c>
      <c r="L23">
        <f t="shared" si="3"/>
        <v>1207428.2436579783</v>
      </c>
      <c r="M23">
        <f t="shared" si="4"/>
        <v>264698.75676562497</v>
      </c>
      <c r="N23">
        <f t="shared" si="5"/>
        <v>0</v>
      </c>
      <c r="O23">
        <f t="shared" si="6"/>
        <v>1472127.0004236032</v>
      </c>
      <c r="P23">
        <f t="shared" si="7"/>
        <v>1389466.0116166738</v>
      </c>
      <c r="Q23">
        <f t="shared" si="8"/>
        <v>304606.03168332617</v>
      </c>
      <c r="R23">
        <f t="shared" si="9"/>
        <v>0</v>
      </c>
      <c r="S23">
        <f t="shared" si="10"/>
        <v>1694072.0433</v>
      </c>
    </row>
    <row r="24" spans="1:19" x14ac:dyDescent="0.3">
      <c r="A24" t="s">
        <v>13</v>
      </c>
      <c r="B24" t="s">
        <v>25</v>
      </c>
      <c r="C24" t="s">
        <v>14</v>
      </c>
      <c r="D24">
        <v>30</v>
      </c>
      <c r="E24">
        <v>3</v>
      </c>
      <c r="F24">
        <v>0</v>
      </c>
      <c r="G24">
        <v>20251202</v>
      </c>
      <c r="H24">
        <v>20260103</v>
      </c>
      <c r="I24">
        <v>788428.18429999996</v>
      </c>
      <c r="J24">
        <f t="shared" si="1"/>
        <v>33</v>
      </c>
      <c r="K24">
        <f t="shared" si="2"/>
        <v>23891.76316060606</v>
      </c>
      <c r="L24">
        <f t="shared" si="3"/>
        <v>605459.53746301262</v>
      </c>
      <c r="M24">
        <f t="shared" si="4"/>
        <v>71675.289481818181</v>
      </c>
      <c r="N24">
        <f t="shared" si="5"/>
        <v>0</v>
      </c>
      <c r="O24">
        <f t="shared" si="6"/>
        <v>677134.82694483083</v>
      </c>
      <c r="P24">
        <f t="shared" si="7"/>
        <v>704972.39957792568</v>
      </c>
      <c r="Q24">
        <f t="shared" si="8"/>
        <v>83455.784722074241</v>
      </c>
      <c r="R24">
        <f t="shared" si="9"/>
        <v>0</v>
      </c>
      <c r="S24">
        <f t="shared" si="10"/>
        <v>788428.18429999996</v>
      </c>
    </row>
    <row r="25" spans="1:19" x14ac:dyDescent="0.3">
      <c r="A25" t="s">
        <v>13</v>
      </c>
      <c r="B25" t="s">
        <v>25</v>
      </c>
      <c r="C25" t="s">
        <v>14</v>
      </c>
      <c r="D25">
        <v>0</v>
      </c>
      <c r="E25">
        <v>26</v>
      </c>
      <c r="F25">
        <v>6</v>
      </c>
      <c r="G25">
        <v>20260106</v>
      </c>
      <c r="H25">
        <v>20260206</v>
      </c>
      <c r="I25">
        <v>141026.5864</v>
      </c>
      <c r="J25">
        <f t="shared" si="1"/>
        <v>32</v>
      </c>
      <c r="K25">
        <f t="shared" si="2"/>
        <v>4407.080825</v>
      </c>
      <c r="L25">
        <f t="shared" si="3"/>
        <v>0</v>
      </c>
      <c r="M25">
        <f t="shared" si="4"/>
        <v>114584.10145</v>
      </c>
      <c r="N25">
        <f t="shared" si="5"/>
        <v>21802.039909877592</v>
      </c>
      <c r="O25">
        <f t="shared" si="6"/>
        <v>136386.1413598776</v>
      </c>
      <c r="P25">
        <f t="shared" si="7"/>
        <v>0</v>
      </c>
      <c r="Q25">
        <f t="shared" si="8"/>
        <v>118482.74701580935</v>
      </c>
      <c r="R25">
        <f t="shared" si="9"/>
        <v>22543.839384190636</v>
      </c>
      <c r="S25">
        <f t="shared" si="10"/>
        <v>141026.58639999997</v>
      </c>
    </row>
    <row r="26" spans="1:19" x14ac:dyDescent="0.3">
      <c r="A26" t="s">
        <v>13</v>
      </c>
      <c r="B26" t="s">
        <v>25</v>
      </c>
      <c r="C26" t="s">
        <v>14</v>
      </c>
      <c r="D26">
        <v>29</v>
      </c>
      <c r="E26">
        <v>1</v>
      </c>
      <c r="F26">
        <v>0</v>
      </c>
      <c r="G26">
        <v>20251203</v>
      </c>
      <c r="H26">
        <v>20260101</v>
      </c>
      <c r="I26">
        <v>1419289.8112999999</v>
      </c>
      <c r="J26">
        <f t="shared" si="1"/>
        <v>30</v>
      </c>
      <c r="K26">
        <f t="shared" si="2"/>
        <v>47309.660376666667</v>
      </c>
      <c r="L26">
        <f t="shared" si="3"/>
        <v>1158946.7912748274</v>
      </c>
      <c r="M26">
        <f t="shared" si="4"/>
        <v>47309.660376666667</v>
      </c>
      <c r="N26">
        <f t="shared" si="5"/>
        <v>0</v>
      </c>
      <c r="O26">
        <f t="shared" si="6"/>
        <v>1206256.451651494</v>
      </c>
      <c r="P26">
        <f t="shared" si="7"/>
        <v>1363624.9326941811</v>
      </c>
      <c r="Q26">
        <f t="shared" si="8"/>
        <v>55664.878605818943</v>
      </c>
      <c r="R26">
        <f t="shared" si="9"/>
        <v>0</v>
      </c>
      <c r="S26">
        <f t="shared" si="10"/>
        <v>1419289.8112999999</v>
      </c>
    </row>
    <row r="27" spans="1:19" x14ac:dyDescent="0.3">
      <c r="A27" t="s">
        <v>13</v>
      </c>
      <c r="B27" t="s">
        <v>25</v>
      </c>
      <c r="C27" t="s">
        <v>15</v>
      </c>
      <c r="D27">
        <v>0</v>
      </c>
      <c r="E27">
        <v>23</v>
      </c>
      <c r="F27">
        <v>7</v>
      </c>
      <c r="G27">
        <v>20260109</v>
      </c>
      <c r="H27">
        <v>20260207</v>
      </c>
      <c r="I27">
        <v>304096.79460000002</v>
      </c>
      <c r="J27">
        <f t="shared" si="1"/>
        <v>30</v>
      </c>
      <c r="K27">
        <f t="shared" si="2"/>
        <v>10136.55982</v>
      </c>
      <c r="L27">
        <f t="shared" si="3"/>
        <v>0</v>
      </c>
      <c r="M27">
        <f t="shared" si="4"/>
        <v>233140.87586</v>
      </c>
      <c r="N27">
        <f t="shared" si="5"/>
        <v>58503.721383852448</v>
      </c>
      <c r="O27">
        <f t="shared" si="6"/>
        <v>291644.59724385245</v>
      </c>
      <c r="P27">
        <f t="shared" si="7"/>
        <v>0</v>
      </c>
      <c r="Q27">
        <f t="shared" si="8"/>
        <v>243095.17031780697</v>
      </c>
      <c r="R27">
        <f t="shared" si="9"/>
        <v>61001.624282193065</v>
      </c>
      <c r="S27">
        <f t="shared" si="10"/>
        <v>304096.79460000002</v>
      </c>
    </row>
    <row r="28" spans="1:19" x14ac:dyDescent="0.3">
      <c r="A28" t="s">
        <v>13</v>
      </c>
      <c r="B28" t="s">
        <v>25</v>
      </c>
      <c r="C28" t="s">
        <v>14</v>
      </c>
      <c r="D28">
        <v>0</v>
      </c>
      <c r="E28">
        <v>29</v>
      </c>
      <c r="F28">
        <v>5</v>
      </c>
      <c r="G28">
        <v>20260103</v>
      </c>
      <c r="H28">
        <v>20260205</v>
      </c>
      <c r="I28">
        <v>44887.727500000001</v>
      </c>
      <c r="J28">
        <f t="shared" si="1"/>
        <v>34</v>
      </c>
      <c r="K28">
        <f t="shared" si="2"/>
        <v>1320.2272794117648</v>
      </c>
      <c r="L28">
        <f t="shared" si="3"/>
        <v>0</v>
      </c>
      <c r="M28">
        <f t="shared" si="4"/>
        <v>38286.59110294118</v>
      </c>
      <c r="N28">
        <f t="shared" si="5"/>
        <v>5442.6896508159716</v>
      </c>
      <c r="O28">
        <f t="shared" si="6"/>
        <v>43729.28075375715</v>
      </c>
      <c r="P28">
        <f t="shared" si="7"/>
        <v>0</v>
      </c>
      <c r="Q28">
        <f t="shared" si="8"/>
        <v>39300.85376913246</v>
      </c>
      <c r="R28">
        <f t="shared" si="9"/>
        <v>5586.8737308675436</v>
      </c>
      <c r="S28">
        <f t="shared" si="10"/>
        <v>44887.727500000001</v>
      </c>
    </row>
    <row r="29" spans="1:19" x14ac:dyDescent="0.3">
      <c r="A29" t="s">
        <v>13</v>
      </c>
      <c r="B29" t="s">
        <v>25</v>
      </c>
      <c r="C29" t="s">
        <v>15</v>
      </c>
      <c r="D29">
        <v>0</v>
      </c>
      <c r="E29">
        <v>25</v>
      </c>
      <c r="F29">
        <v>6</v>
      </c>
      <c r="G29">
        <v>20260107</v>
      </c>
      <c r="H29">
        <v>20260206</v>
      </c>
      <c r="I29">
        <v>841502.40179999999</v>
      </c>
      <c r="J29">
        <f t="shared" si="1"/>
        <v>31</v>
      </c>
      <c r="K29">
        <f t="shared" si="2"/>
        <v>27145.238767741936</v>
      </c>
      <c r="L29">
        <f t="shared" si="3"/>
        <v>0</v>
      </c>
      <c r="M29">
        <f t="shared" si="4"/>
        <v>678630.96919354843</v>
      </c>
      <c r="N29">
        <f t="shared" si="5"/>
        <v>134288.79625266825</v>
      </c>
      <c r="O29">
        <f t="shared" si="6"/>
        <v>812919.76544621668</v>
      </c>
      <c r="P29">
        <f t="shared" si="7"/>
        <v>0</v>
      </c>
      <c r="Q29">
        <f t="shared" si="8"/>
        <v>702491.94912706944</v>
      </c>
      <c r="R29">
        <f t="shared" si="9"/>
        <v>139010.45267293064</v>
      </c>
      <c r="S29">
        <f t="shared" si="10"/>
        <v>841502.40180000011</v>
      </c>
    </row>
    <row r="30" spans="1:19" x14ac:dyDescent="0.3">
      <c r="A30" t="s">
        <v>13</v>
      </c>
      <c r="B30" t="s">
        <v>25</v>
      </c>
      <c r="C30" t="s">
        <v>15</v>
      </c>
      <c r="D30">
        <v>14</v>
      </c>
      <c r="E30">
        <v>16</v>
      </c>
      <c r="F30">
        <v>0</v>
      </c>
      <c r="G30">
        <v>20251218</v>
      </c>
      <c r="H30">
        <v>20260116</v>
      </c>
      <c r="I30">
        <v>271131.56430000003</v>
      </c>
      <c r="J30">
        <f t="shared" si="1"/>
        <v>30</v>
      </c>
      <c r="K30">
        <f t="shared" si="2"/>
        <v>9037.7188100000003</v>
      </c>
      <c r="L30">
        <f t="shared" si="3"/>
        <v>106881.49745856298</v>
      </c>
      <c r="M30">
        <f t="shared" si="4"/>
        <v>144603.50096</v>
      </c>
      <c r="N30">
        <f t="shared" si="5"/>
        <v>0</v>
      </c>
      <c r="O30">
        <f t="shared" si="6"/>
        <v>251484.99841856299</v>
      </c>
      <c r="P30">
        <f t="shared" si="7"/>
        <v>115231.31710796957</v>
      </c>
      <c r="Q30">
        <f t="shared" si="8"/>
        <v>155900.24719203045</v>
      </c>
      <c r="R30">
        <f t="shared" si="9"/>
        <v>0</v>
      </c>
      <c r="S30">
        <f t="shared" si="10"/>
        <v>271131.56430000003</v>
      </c>
    </row>
    <row r="31" spans="1:19" x14ac:dyDescent="0.3">
      <c r="A31" t="s">
        <v>13</v>
      </c>
      <c r="B31" t="s">
        <v>25</v>
      </c>
      <c r="C31" t="s">
        <v>14</v>
      </c>
      <c r="D31">
        <v>25</v>
      </c>
      <c r="E31">
        <v>8</v>
      </c>
      <c r="F31">
        <v>0</v>
      </c>
      <c r="G31">
        <v>20251207</v>
      </c>
      <c r="H31">
        <v>20260108</v>
      </c>
      <c r="I31">
        <v>134217.7311</v>
      </c>
      <c r="J31">
        <f t="shared" si="1"/>
        <v>33</v>
      </c>
      <c r="K31">
        <f t="shared" si="2"/>
        <v>4067.2039727272727</v>
      </c>
      <c r="L31">
        <f t="shared" si="3"/>
        <v>85891.785505793086</v>
      </c>
      <c r="M31">
        <f t="shared" si="4"/>
        <v>32537.631781818181</v>
      </c>
      <c r="N31">
        <f t="shared" si="5"/>
        <v>0</v>
      </c>
      <c r="O31">
        <f t="shared" si="6"/>
        <v>118429.41728761127</v>
      </c>
      <c r="P31">
        <f t="shared" si="7"/>
        <v>97342.373497613778</v>
      </c>
      <c r="Q31">
        <f t="shared" si="8"/>
        <v>36875.357602386219</v>
      </c>
      <c r="R31">
        <f t="shared" si="9"/>
        <v>0</v>
      </c>
      <c r="S31">
        <f t="shared" si="10"/>
        <v>134217.7311</v>
      </c>
    </row>
    <row r="32" spans="1:19" x14ac:dyDescent="0.3">
      <c r="A32" t="s">
        <v>13</v>
      </c>
      <c r="B32" t="s">
        <v>25</v>
      </c>
      <c r="C32" t="s">
        <v>14</v>
      </c>
      <c r="D32">
        <v>28</v>
      </c>
      <c r="E32">
        <v>1</v>
      </c>
      <c r="F32">
        <v>0</v>
      </c>
      <c r="G32">
        <v>20251204</v>
      </c>
      <c r="H32">
        <v>20260101</v>
      </c>
      <c r="I32">
        <v>737819.55339999998</v>
      </c>
      <c r="J32">
        <f t="shared" si="1"/>
        <v>29</v>
      </c>
      <c r="K32">
        <f t="shared" si="2"/>
        <v>25442.053565517239</v>
      </c>
      <c r="L32">
        <f t="shared" si="3"/>
        <v>601763.52919823886</v>
      </c>
      <c r="M32">
        <f t="shared" si="4"/>
        <v>25442.053565517239</v>
      </c>
      <c r="N32">
        <f t="shared" si="5"/>
        <v>0</v>
      </c>
      <c r="O32">
        <f t="shared" si="6"/>
        <v>627205.58276375604</v>
      </c>
      <c r="P32">
        <f t="shared" si="7"/>
        <v>707890.53950861807</v>
      </c>
      <c r="Q32">
        <f t="shared" si="8"/>
        <v>29929.013891382016</v>
      </c>
      <c r="R32">
        <f t="shared" si="9"/>
        <v>0</v>
      </c>
      <c r="S32">
        <f t="shared" si="10"/>
        <v>737819.55340000009</v>
      </c>
    </row>
    <row r="33" spans="1:19" x14ac:dyDescent="0.3">
      <c r="A33" t="s">
        <v>13</v>
      </c>
      <c r="B33" t="s">
        <v>25</v>
      </c>
      <c r="C33" t="s">
        <v>14</v>
      </c>
      <c r="D33">
        <v>0</v>
      </c>
      <c r="E33">
        <v>25</v>
      </c>
      <c r="F33">
        <v>1</v>
      </c>
      <c r="G33">
        <v>20260107</v>
      </c>
      <c r="H33">
        <v>20260201</v>
      </c>
      <c r="I33">
        <v>96484.479699999996</v>
      </c>
      <c r="J33">
        <f t="shared" si="1"/>
        <v>26</v>
      </c>
      <c r="K33">
        <f t="shared" si="2"/>
        <v>3710.9415269230767</v>
      </c>
      <c r="L33">
        <f t="shared" si="3"/>
        <v>0</v>
      </c>
      <c r="M33">
        <f t="shared" si="4"/>
        <v>92773.538173076915</v>
      </c>
      <c r="N33">
        <f t="shared" si="5"/>
        <v>3059.7009103412202</v>
      </c>
      <c r="O33">
        <f t="shared" si="6"/>
        <v>95833.239083418128</v>
      </c>
      <c r="P33">
        <f t="shared" si="7"/>
        <v>0</v>
      </c>
      <c r="Q33">
        <f t="shared" si="8"/>
        <v>93403.986405654388</v>
      </c>
      <c r="R33">
        <f t="shared" si="9"/>
        <v>3080.4932943456079</v>
      </c>
      <c r="S33">
        <f t="shared" si="10"/>
        <v>96484.479699999996</v>
      </c>
    </row>
    <row r="34" spans="1:19" x14ac:dyDescent="0.3">
      <c r="A34" t="s">
        <v>13</v>
      </c>
      <c r="B34" t="s">
        <v>25</v>
      </c>
      <c r="C34" t="s">
        <v>15</v>
      </c>
      <c r="D34">
        <v>15</v>
      </c>
      <c r="E34">
        <v>16</v>
      </c>
      <c r="F34">
        <v>0</v>
      </c>
      <c r="G34">
        <v>20251217</v>
      </c>
      <c r="H34">
        <v>20260116</v>
      </c>
      <c r="I34">
        <v>1328540.2653000001</v>
      </c>
      <c r="J34">
        <f t="shared" si="1"/>
        <v>31</v>
      </c>
      <c r="K34">
        <f t="shared" si="2"/>
        <v>42856.137590322585</v>
      </c>
      <c r="L34">
        <f t="shared" si="3"/>
        <v>543025.16454021563</v>
      </c>
      <c r="M34">
        <f t="shared" si="4"/>
        <v>685698.20144516136</v>
      </c>
      <c r="N34">
        <f t="shared" si="5"/>
        <v>0</v>
      </c>
      <c r="O34">
        <f t="shared" si="6"/>
        <v>1228723.365985377</v>
      </c>
      <c r="P34">
        <f t="shared" si="7"/>
        <v>587138.501744273</v>
      </c>
      <c r="Q34">
        <f t="shared" si="8"/>
        <v>741401.76355572708</v>
      </c>
      <c r="R34">
        <f t="shared" si="9"/>
        <v>0</v>
      </c>
      <c r="S34">
        <f t="shared" si="10"/>
        <v>1328540.2653000001</v>
      </c>
    </row>
    <row r="35" spans="1:19" x14ac:dyDescent="0.3">
      <c r="A35" t="s">
        <v>13</v>
      </c>
      <c r="B35" t="s">
        <v>25</v>
      </c>
      <c r="C35" t="s">
        <v>14</v>
      </c>
      <c r="D35">
        <v>27</v>
      </c>
      <c r="E35">
        <v>2</v>
      </c>
      <c r="F35">
        <v>0</v>
      </c>
      <c r="G35">
        <v>20251205</v>
      </c>
      <c r="H35">
        <v>20260102</v>
      </c>
      <c r="I35">
        <v>252791.98190000001</v>
      </c>
      <c r="J35">
        <f t="shared" si="1"/>
        <v>29</v>
      </c>
      <c r="K35">
        <f t="shared" si="2"/>
        <v>8716.964893103448</v>
      </c>
      <c r="L35">
        <f t="shared" si="3"/>
        <v>198812.9778075896</v>
      </c>
      <c r="M35">
        <f t="shared" si="4"/>
        <v>17433.929786206896</v>
      </c>
      <c r="N35">
        <f t="shared" si="5"/>
        <v>0</v>
      </c>
      <c r="O35">
        <f t="shared" si="6"/>
        <v>216246.9075937965</v>
      </c>
      <c r="P35">
        <f t="shared" si="7"/>
        <v>232411.77063131821</v>
      </c>
      <c r="Q35">
        <f t="shared" si="8"/>
        <v>20380.211268681807</v>
      </c>
      <c r="R35">
        <f t="shared" si="9"/>
        <v>0</v>
      </c>
      <c r="S35">
        <f t="shared" si="10"/>
        <v>252791.98190000001</v>
      </c>
    </row>
    <row r="36" spans="1:19" x14ac:dyDescent="0.3">
      <c r="A36" t="s">
        <v>13</v>
      </c>
      <c r="B36" t="s">
        <v>25</v>
      </c>
      <c r="C36" t="s">
        <v>15</v>
      </c>
      <c r="D36">
        <v>0</v>
      </c>
      <c r="E36">
        <v>28</v>
      </c>
      <c r="F36">
        <v>7</v>
      </c>
      <c r="G36">
        <v>20260104</v>
      </c>
      <c r="H36">
        <v>20260207</v>
      </c>
      <c r="I36">
        <v>52401.704400000002</v>
      </c>
      <c r="J36">
        <f t="shared" si="1"/>
        <v>35</v>
      </c>
      <c r="K36">
        <f t="shared" si="2"/>
        <v>1497.1915542857143</v>
      </c>
      <c r="L36">
        <f t="shared" si="3"/>
        <v>0</v>
      </c>
      <c r="M36">
        <f t="shared" si="4"/>
        <v>41921.363519999999</v>
      </c>
      <c r="N36">
        <f t="shared" si="5"/>
        <v>8641.1247114988582</v>
      </c>
      <c r="O36">
        <f t="shared" si="6"/>
        <v>50562.488231498857</v>
      </c>
      <c r="P36">
        <f t="shared" si="7"/>
        <v>0</v>
      </c>
      <c r="Q36">
        <f t="shared" si="8"/>
        <v>43446.257809984039</v>
      </c>
      <c r="R36">
        <f t="shared" si="9"/>
        <v>8955.4465900159576</v>
      </c>
      <c r="S36">
        <f t="shared" si="10"/>
        <v>52401.704399999995</v>
      </c>
    </row>
    <row r="37" spans="1:19" x14ac:dyDescent="0.3">
      <c r="A37" t="s">
        <v>13</v>
      </c>
      <c r="B37" t="s">
        <v>25</v>
      </c>
      <c r="C37" t="s">
        <v>14</v>
      </c>
      <c r="D37">
        <v>0</v>
      </c>
      <c r="E37">
        <v>12</v>
      </c>
      <c r="F37">
        <v>19</v>
      </c>
      <c r="G37">
        <v>20260120</v>
      </c>
      <c r="H37">
        <v>20260219</v>
      </c>
      <c r="I37">
        <v>284363.28169999999</v>
      </c>
      <c r="J37">
        <f t="shared" si="1"/>
        <v>31</v>
      </c>
      <c r="K37">
        <f t="shared" si="2"/>
        <v>9173.0090870967742</v>
      </c>
      <c r="L37">
        <f t="shared" si="3"/>
        <v>0</v>
      </c>
      <c r="M37">
        <f t="shared" si="4"/>
        <v>110076.10904516128</v>
      </c>
      <c r="N37">
        <f t="shared" si="5"/>
        <v>143701.16504502427</v>
      </c>
      <c r="O37">
        <f t="shared" si="6"/>
        <v>253777.27409018556</v>
      </c>
      <c r="P37">
        <f t="shared" si="7"/>
        <v>0</v>
      </c>
      <c r="Q37">
        <f t="shared" si="8"/>
        <v>123342.81592813302</v>
      </c>
      <c r="R37">
        <f t="shared" si="9"/>
        <v>161020.46577186699</v>
      </c>
      <c r="S37">
        <f t="shared" si="10"/>
        <v>284363.28169999999</v>
      </c>
    </row>
    <row r="38" spans="1:19" x14ac:dyDescent="0.3">
      <c r="A38" t="s">
        <v>13</v>
      </c>
      <c r="B38" t="s">
        <v>25</v>
      </c>
      <c r="C38" t="s">
        <v>14</v>
      </c>
      <c r="D38">
        <v>26</v>
      </c>
      <c r="E38">
        <v>4</v>
      </c>
      <c r="F38">
        <v>0</v>
      </c>
      <c r="G38">
        <v>20251206</v>
      </c>
      <c r="H38">
        <v>20260104</v>
      </c>
      <c r="I38">
        <v>24765.778200000001</v>
      </c>
      <c r="J38">
        <f t="shared" si="1"/>
        <v>30</v>
      </c>
      <c r="K38">
        <f t="shared" si="2"/>
        <v>825.52593999999999</v>
      </c>
      <c r="L38">
        <f t="shared" si="3"/>
        <v>18130.915818617817</v>
      </c>
      <c r="M38">
        <f t="shared" si="4"/>
        <v>3302.10376</v>
      </c>
      <c r="N38">
        <f t="shared" si="5"/>
        <v>0</v>
      </c>
      <c r="O38">
        <f t="shared" si="6"/>
        <v>21433.019578617816</v>
      </c>
      <c r="P38">
        <f t="shared" si="7"/>
        <v>20950.209002501986</v>
      </c>
      <c r="Q38">
        <f t="shared" si="8"/>
        <v>3815.5691974980155</v>
      </c>
      <c r="R38">
        <f t="shared" si="9"/>
        <v>0</v>
      </c>
      <c r="S38">
        <f t="shared" si="10"/>
        <v>24765.778200000001</v>
      </c>
    </row>
    <row r="39" spans="1:19" x14ac:dyDescent="0.3">
      <c r="A39" t="s">
        <v>13</v>
      </c>
      <c r="B39" t="s">
        <v>25</v>
      </c>
      <c r="C39" t="s">
        <v>15</v>
      </c>
      <c r="D39">
        <v>0</v>
      </c>
      <c r="E39">
        <v>22</v>
      </c>
      <c r="F39">
        <v>0</v>
      </c>
      <c r="G39">
        <v>20260106</v>
      </c>
      <c r="H39">
        <v>20260127</v>
      </c>
      <c r="I39">
        <v>1343.7307000000001</v>
      </c>
      <c r="J39">
        <f t="shared" si="1"/>
        <v>22</v>
      </c>
      <c r="K39">
        <f t="shared" si="2"/>
        <v>61.078668181818188</v>
      </c>
      <c r="L39">
        <f t="shared" si="3"/>
        <v>0</v>
      </c>
      <c r="M39">
        <f t="shared" si="4"/>
        <v>1343.7307000000001</v>
      </c>
      <c r="N39">
        <f t="shared" si="5"/>
        <v>0</v>
      </c>
      <c r="O39">
        <f t="shared" si="6"/>
        <v>1343.7307000000001</v>
      </c>
      <c r="P39">
        <f t="shared" si="7"/>
        <v>0</v>
      </c>
      <c r="Q39">
        <f t="shared" si="8"/>
        <v>1343.7307000000001</v>
      </c>
      <c r="R39">
        <f t="shared" si="9"/>
        <v>0</v>
      </c>
      <c r="S39">
        <f t="shared" si="10"/>
        <v>1343.7307000000001</v>
      </c>
    </row>
    <row r="40" spans="1:19" x14ac:dyDescent="0.3">
      <c r="A40" t="s">
        <v>13</v>
      </c>
      <c r="B40" t="s">
        <v>25</v>
      </c>
      <c r="C40" t="s">
        <v>15</v>
      </c>
      <c r="D40">
        <v>13</v>
      </c>
      <c r="E40">
        <v>15</v>
      </c>
      <c r="F40">
        <v>0</v>
      </c>
      <c r="G40">
        <v>20251219</v>
      </c>
      <c r="H40">
        <v>20260115</v>
      </c>
      <c r="I40">
        <v>125.91840000000001</v>
      </c>
      <c r="J40">
        <f t="shared" si="1"/>
        <v>28</v>
      </c>
      <c r="K40">
        <f t="shared" si="2"/>
        <v>4.4970857142857144</v>
      </c>
      <c r="L40">
        <f t="shared" si="3"/>
        <v>49.384446062847566</v>
      </c>
      <c r="M40">
        <f t="shared" si="4"/>
        <v>67.456285714285713</v>
      </c>
      <c r="N40">
        <f t="shared" si="5"/>
        <v>0</v>
      </c>
      <c r="O40">
        <f t="shared" si="6"/>
        <v>116.84073177713327</v>
      </c>
      <c r="P40">
        <f t="shared" si="7"/>
        <v>53.221255452091071</v>
      </c>
      <c r="Q40">
        <f t="shared" si="8"/>
        <v>72.697144547908934</v>
      </c>
      <c r="R40">
        <f t="shared" si="9"/>
        <v>0</v>
      </c>
      <c r="S40">
        <f t="shared" si="10"/>
        <v>125.91840000000001</v>
      </c>
    </row>
    <row r="41" spans="1:19" x14ac:dyDescent="0.3">
      <c r="A41" t="s">
        <v>13</v>
      </c>
      <c r="B41" t="s">
        <v>25</v>
      </c>
      <c r="C41" t="s">
        <v>15</v>
      </c>
      <c r="D41">
        <v>28</v>
      </c>
      <c r="E41">
        <v>10</v>
      </c>
      <c r="F41">
        <v>0</v>
      </c>
      <c r="G41">
        <v>20251204</v>
      </c>
      <c r="H41">
        <v>20260110</v>
      </c>
      <c r="I41">
        <v>4789.2936</v>
      </c>
      <c r="J41">
        <f t="shared" si="1"/>
        <v>38</v>
      </c>
      <c r="K41">
        <f t="shared" si="2"/>
        <v>126.03404210526315</v>
      </c>
      <c r="L41">
        <f t="shared" si="3"/>
        <v>2980.9971817359751</v>
      </c>
      <c r="M41">
        <f t="shared" si="4"/>
        <v>1260.3404210526314</v>
      </c>
      <c r="N41">
        <f t="shared" si="5"/>
        <v>0</v>
      </c>
      <c r="O41">
        <f t="shared" si="6"/>
        <v>4241.3376027886061</v>
      </c>
      <c r="P41">
        <f t="shared" si="7"/>
        <v>3366.1245722857207</v>
      </c>
      <c r="Q41">
        <f t="shared" si="8"/>
        <v>1423.1690277142793</v>
      </c>
      <c r="R41">
        <f t="shared" si="9"/>
        <v>0</v>
      </c>
      <c r="S41">
        <f t="shared" si="10"/>
        <v>4789.2936</v>
      </c>
    </row>
    <row r="42" spans="1:19" x14ac:dyDescent="0.3">
      <c r="A42" t="s">
        <v>13</v>
      </c>
      <c r="B42" t="s">
        <v>25</v>
      </c>
      <c r="C42" t="s">
        <v>15</v>
      </c>
      <c r="D42">
        <v>0</v>
      </c>
      <c r="E42">
        <v>19</v>
      </c>
      <c r="F42">
        <v>0</v>
      </c>
      <c r="G42">
        <v>20260106</v>
      </c>
      <c r="H42">
        <v>20260124</v>
      </c>
      <c r="I42">
        <v>419.80709999999999</v>
      </c>
      <c r="J42">
        <f t="shared" si="1"/>
        <v>19</v>
      </c>
      <c r="K42">
        <f t="shared" si="2"/>
        <v>22.095110526315789</v>
      </c>
      <c r="L42">
        <f t="shared" si="3"/>
        <v>0</v>
      </c>
      <c r="M42">
        <f t="shared" si="4"/>
        <v>419.80709999999999</v>
      </c>
      <c r="N42">
        <f t="shared" si="5"/>
        <v>0</v>
      </c>
      <c r="O42">
        <f t="shared" si="6"/>
        <v>419.80709999999999</v>
      </c>
      <c r="P42">
        <f t="shared" si="7"/>
        <v>0</v>
      </c>
      <c r="Q42">
        <f t="shared" si="8"/>
        <v>419.80709999999999</v>
      </c>
      <c r="R42">
        <f t="shared" si="9"/>
        <v>0</v>
      </c>
      <c r="S42">
        <f t="shared" si="10"/>
        <v>419.80709999999999</v>
      </c>
    </row>
    <row r="43" spans="1:19" x14ac:dyDescent="0.3">
      <c r="A43" t="s">
        <v>13</v>
      </c>
      <c r="B43" t="s">
        <v>25</v>
      </c>
      <c r="C43" t="s">
        <v>15</v>
      </c>
      <c r="D43">
        <v>0</v>
      </c>
      <c r="E43">
        <v>13</v>
      </c>
      <c r="F43">
        <v>0</v>
      </c>
      <c r="G43">
        <v>20260108</v>
      </c>
      <c r="H43">
        <v>20260120</v>
      </c>
      <c r="I43">
        <v>2728.1682000000001</v>
      </c>
      <c r="J43">
        <f t="shared" si="1"/>
        <v>13</v>
      </c>
      <c r="K43">
        <f t="shared" si="2"/>
        <v>209.85909230769232</v>
      </c>
      <c r="L43">
        <f t="shared" si="3"/>
        <v>0</v>
      </c>
      <c r="M43">
        <f t="shared" si="4"/>
        <v>2728.1682000000001</v>
      </c>
      <c r="N43">
        <f t="shared" si="5"/>
        <v>0</v>
      </c>
      <c r="O43">
        <f t="shared" si="6"/>
        <v>2728.1682000000001</v>
      </c>
      <c r="P43">
        <f t="shared" si="7"/>
        <v>0</v>
      </c>
      <c r="Q43">
        <f t="shared" si="8"/>
        <v>2728.1682000000001</v>
      </c>
      <c r="R43">
        <f t="shared" si="9"/>
        <v>0</v>
      </c>
      <c r="S43">
        <f t="shared" si="10"/>
        <v>2728.1682000000001</v>
      </c>
    </row>
    <row r="44" spans="1:19" x14ac:dyDescent="0.3">
      <c r="A44" t="s">
        <v>13</v>
      </c>
      <c r="B44" t="s">
        <v>25</v>
      </c>
      <c r="C44" t="s">
        <v>15</v>
      </c>
      <c r="D44">
        <v>0</v>
      </c>
      <c r="E44">
        <v>23</v>
      </c>
      <c r="F44">
        <v>9</v>
      </c>
      <c r="G44">
        <v>20260109</v>
      </c>
      <c r="H44">
        <v>20260209</v>
      </c>
      <c r="I44">
        <v>7106.9318000000003</v>
      </c>
      <c r="J44">
        <f t="shared" si="1"/>
        <v>32</v>
      </c>
      <c r="K44">
        <f t="shared" si="2"/>
        <v>222.09161875000001</v>
      </c>
      <c r="L44">
        <f t="shared" si="3"/>
        <v>0</v>
      </c>
      <c r="M44">
        <f t="shared" si="4"/>
        <v>5108.10723125</v>
      </c>
      <c r="N44">
        <f t="shared" si="5"/>
        <v>1648.0468119064342</v>
      </c>
      <c r="O44">
        <f t="shared" si="6"/>
        <v>6756.1540431564345</v>
      </c>
      <c r="P44">
        <f t="shared" si="7"/>
        <v>0</v>
      </c>
      <c r="Q44">
        <f t="shared" si="8"/>
        <v>5373.3188272036577</v>
      </c>
      <c r="R44">
        <f t="shared" si="9"/>
        <v>1733.6129727963425</v>
      </c>
      <c r="S44">
        <f t="shared" si="10"/>
        <v>7106.9318000000003</v>
      </c>
    </row>
    <row r="45" spans="1:19" x14ac:dyDescent="0.3">
      <c r="A45" t="s">
        <v>13</v>
      </c>
      <c r="B45" t="s">
        <v>25</v>
      </c>
      <c r="C45" t="s">
        <v>15</v>
      </c>
      <c r="D45">
        <v>0</v>
      </c>
      <c r="E45">
        <v>15</v>
      </c>
      <c r="F45">
        <v>0</v>
      </c>
      <c r="G45">
        <v>20260102</v>
      </c>
      <c r="H45">
        <v>20260116</v>
      </c>
      <c r="I45">
        <v>2349.3150999999998</v>
      </c>
      <c r="J45">
        <f t="shared" si="1"/>
        <v>15</v>
      </c>
      <c r="K45">
        <f t="shared" si="2"/>
        <v>156.62100666666666</v>
      </c>
      <c r="L45">
        <f t="shared" si="3"/>
        <v>0</v>
      </c>
      <c r="M45">
        <f t="shared" si="4"/>
        <v>2349.3150999999998</v>
      </c>
      <c r="N45">
        <f t="shared" si="5"/>
        <v>0</v>
      </c>
      <c r="O45">
        <f t="shared" si="6"/>
        <v>2349.3150999999998</v>
      </c>
      <c r="P45">
        <f t="shared" si="7"/>
        <v>0</v>
      </c>
      <c r="Q45">
        <f t="shared" si="8"/>
        <v>2349.3150999999998</v>
      </c>
      <c r="R45">
        <f t="shared" si="9"/>
        <v>0</v>
      </c>
      <c r="S45">
        <f t="shared" si="10"/>
        <v>2349.3150999999998</v>
      </c>
    </row>
    <row r="46" spans="1:19" x14ac:dyDescent="0.3">
      <c r="A46" t="s">
        <v>13</v>
      </c>
      <c r="B46" t="s">
        <v>25</v>
      </c>
      <c r="C46" t="s">
        <v>15</v>
      </c>
      <c r="D46">
        <v>0</v>
      </c>
      <c r="E46">
        <v>24</v>
      </c>
      <c r="F46">
        <v>8</v>
      </c>
      <c r="G46">
        <v>20260108</v>
      </c>
      <c r="H46">
        <v>20260208</v>
      </c>
      <c r="I46">
        <v>24215.0425</v>
      </c>
      <c r="J46">
        <f t="shared" si="1"/>
        <v>32</v>
      </c>
      <c r="K46">
        <f t="shared" si="2"/>
        <v>756.72007812499999</v>
      </c>
      <c r="L46">
        <f t="shared" si="3"/>
        <v>0</v>
      </c>
      <c r="M46">
        <f t="shared" si="4"/>
        <v>18161.281875000001</v>
      </c>
      <c r="N46">
        <f t="shared" si="5"/>
        <v>4991.3739575030186</v>
      </c>
      <c r="O46">
        <f t="shared" si="6"/>
        <v>23152.65583250302</v>
      </c>
      <c r="P46">
        <f t="shared" si="7"/>
        <v>0</v>
      </c>
      <c r="Q46">
        <f t="shared" si="8"/>
        <v>18994.633515876038</v>
      </c>
      <c r="R46">
        <f t="shared" si="9"/>
        <v>5220.4089841239611</v>
      </c>
      <c r="S46">
        <f t="shared" si="10"/>
        <v>24215.0425</v>
      </c>
    </row>
    <row r="47" spans="1:19" x14ac:dyDescent="0.3">
      <c r="A47" t="s">
        <v>13</v>
      </c>
      <c r="B47" t="s">
        <v>25</v>
      </c>
      <c r="C47" t="s">
        <v>15</v>
      </c>
      <c r="D47">
        <v>0</v>
      </c>
      <c r="E47">
        <v>27</v>
      </c>
      <c r="F47">
        <v>9</v>
      </c>
      <c r="G47">
        <v>20260105</v>
      </c>
      <c r="H47">
        <v>20260209</v>
      </c>
      <c r="I47">
        <v>1723.4376</v>
      </c>
      <c r="J47">
        <f t="shared" si="1"/>
        <v>36</v>
      </c>
      <c r="K47">
        <f t="shared" si="2"/>
        <v>47.873266666666666</v>
      </c>
      <c r="L47">
        <f t="shared" si="3"/>
        <v>0</v>
      </c>
      <c r="M47">
        <f t="shared" si="4"/>
        <v>1292.5781999999999</v>
      </c>
      <c r="N47">
        <f t="shared" si="5"/>
        <v>355.24701449611354</v>
      </c>
      <c r="O47">
        <f t="shared" si="6"/>
        <v>1647.8252144961134</v>
      </c>
      <c r="P47">
        <f t="shared" si="7"/>
        <v>0</v>
      </c>
      <c r="Q47">
        <f t="shared" si="8"/>
        <v>1351.8896611261764</v>
      </c>
      <c r="R47">
        <f t="shared" si="9"/>
        <v>371.54793887382357</v>
      </c>
      <c r="S47">
        <f t="shared" si="10"/>
        <v>1723.4376</v>
      </c>
    </row>
    <row r="48" spans="1:19" x14ac:dyDescent="0.3">
      <c r="A48" t="s">
        <v>13</v>
      </c>
      <c r="B48" t="s">
        <v>25</v>
      </c>
      <c r="C48" t="s">
        <v>15</v>
      </c>
      <c r="D48">
        <v>28</v>
      </c>
      <c r="E48">
        <v>14</v>
      </c>
      <c r="F48">
        <v>0</v>
      </c>
      <c r="G48">
        <v>20251204</v>
      </c>
      <c r="H48">
        <v>20260114</v>
      </c>
      <c r="I48">
        <v>5839.0276999999996</v>
      </c>
      <c r="J48">
        <f t="shared" si="1"/>
        <v>42</v>
      </c>
      <c r="K48">
        <f t="shared" si="2"/>
        <v>139.02446904761905</v>
      </c>
      <c r="L48">
        <f t="shared" si="3"/>
        <v>3288.2508844488298</v>
      </c>
      <c r="M48">
        <f t="shared" si="4"/>
        <v>1946.3425666666667</v>
      </c>
      <c r="N48">
        <f t="shared" si="5"/>
        <v>0</v>
      </c>
      <c r="O48">
        <f t="shared" si="6"/>
        <v>5234.5934511154965</v>
      </c>
      <c r="P48">
        <f t="shared" si="7"/>
        <v>3667.9425399798029</v>
      </c>
      <c r="Q48">
        <f t="shared" si="8"/>
        <v>2171.0851600201972</v>
      </c>
      <c r="R48">
        <f t="shared" si="9"/>
        <v>0</v>
      </c>
      <c r="S48">
        <f t="shared" si="10"/>
        <v>5839.0277000000006</v>
      </c>
    </row>
    <row r="49" spans="1:19" x14ac:dyDescent="0.3">
      <c r="A49" t="s">
        <v>13</v>
      </c>
      <c r="B49" t="s">
        <v>25</v>
      </c>
      <c r="C49" t="s">
        <v>15</v>
      </c>
      <c r="D49">
        <v>0</v>
      </c>
      <c r="E49">
        <v>15</v>
      </c>
      <c r="F49">
        <v>0</v>
      </c>
      <c r="G49">
        <v>20260117</v>
      </c>
      <c r="H49">
        <v>20260131</v>
      </c>
      <c r="I49">
        <v>1008.4621</v>
      </c>
      <c r="J49">
        <f t="shared" si="1"/>
        <v>15</v>
      </c>
      <c r="K49">
        <f t="shared" si="2"/>
        <v>67.230806666666666</v>
      </c>
      <c r="L49">
        <f t="shared" si="3"/>
        <v>0</v>
      </c>
      <c r="M49">
        <f t="shared" si="4"/>
        <v>1008.4621</v>
      </c>
      <c r="N49">
        <f t="shared" si="5"/>
        <v>0</v>
      </c>
      <c r="O49">
        <f t="shared" si="6"/>
        <v>1008.4621</v>
      </c>
      <c r="P49">
        <f t="shared" si="7"/>
        <v>0</v>
      </c>
      <c r="Q49">
        <f t="shared" si="8"/>
        <v>1008.4621</v>
      </c>
      <c r="R49">
        <f t="shared" si="9"/>
        <v>0</v>
      </c>
      <c r="S49">
        <f t="shared" si="10"/>
        <v>1008.4621</v>
      </c>
    </row>
    <row r="50" spans="1:19" x14ac:dyDescent="0.3">
      <c r="A50" t="s">
        <v>13</v>
      </c>
      <c r="B50" t="s">
        <v>25</v>
      </c>
      <c r="C50" t="s">
        <v>15</v>
      </c>
      <c r="D50">
        <v>29</v>
      </c>
      <c r="E50">
        <v>13</v>
      </c>
      <c r="F50">
        <v>0</v>
      </c>
      <c r="G50">
        <v>20251203</v>
      </c>
      <c r="H50">
        <v>20260113</v>
      </c>
      <c r="I50">
        <v>21383.775399999999</v>
      </c>
      <c r="J50">
        <f t="shared" si="1"/>
        <v>42</v>
      </c>
      <c r="K50">
        <f t="shared" si="2"/>
        <v>509.13750952380951</v>
      </c>
      <c r="L50">
        <f t="shared" si="3"/>
        <v>12472.363535953382</v>
      </c>
      <c r="M50">
        <f t="shared" si="4"/>
        <v>6618.7876238095232</v>
      </c>
      <c r="N50">
        <f t="shared" si="5"/>
        <v>0</v>
      </c>
      <c r="O50">
        <f t="shared" si="6"/>
        <v>19091.151159762907</v>
      </c>
      <c r="P50">
        <f t="shared" si="7"/>
        <v>13970.148700204894</v>
      </c>
      <c r="Q50">
        <f t="shared" si="8"/>
        <v>7413.6266997951025</v>
      </c>
      <c r="R50">
        <f t="shared" si="9"/>
        <v>0</v>
      </c>
      <c r="S50">
        <f t="shared" si="10"/>
        <v>21383.775399999999</v>
      </c>
    </row>
    <row r="51" spans="1:19" x14ac:dyDescent="0.3">
      <c r="A51" t="s">
        <v>13</v>
      </c>
      <c r="B51" t="s">
        <v>25</v>
      </c>
      <c r="C51" t="s">
        <v>15</v>
      </c>
      <c r="D51">
        <v>0</v>
      </c>
      <c r="E51">
        <v>16</v>
      </c>
      <c r="F51">
        <v>23</v>
      </c>
      <c r="G51">
        <v>20260116</v>
      </c>
      <c r="H51">
        <v>20260223</v>
      </c>
      <c r="I51">
        <v>1473.4754</v>
      </c>
      <c r="J51">
        <f t="shared" si="1"/>
        <v>39</v>
      </c>
      <c r="K51">
        <f t="shared" si="2"/>
        <v>37.78142051282051</v>
      </c>
      <c r="L51">
        <f t="shared" si="3"/>
        <v>0</v>
      </c>
      <c r="M51">
        <f t="shared" si="4"/>
        <v>604.50272820512816</v>
      </c>
      <c r="N51">
        <f t="shared" si="5"/>
        <v>716.47490418878942</v>
      </c>
      <c r="O51">
        <f t="shared" si="6"/>
        <v>1320.9776323939177</v>
      </c>
      <c r="P51">
        <f t="shared" si="7"/>
        <v>0</v>
      </c>
      <c r="Q51">
        <f t="shared" si="8"/>
        <v>674.28840383084423</v>
      </c>
      <c r="R51">
        <f t="shared" si="9"/>
        <v>799.18699616915569</v>
      </c>
      <c r="S51">
        <f t="shared" si="10"/>
        <v>1473.4753999999998</v>
      </c>
    </row>
    <row r="52" spans="1:19" x14ac:dyDescent="0.3">
      <c r="A52" t="s">
        <v>13</v>
      </c>
      <c r="B52" t="s">
        <v>25</v>
      </c>
      <c r="C52" t="s">
        <v>14</v>
      </c>
      <c r="D52">
        <v>0</v>
      </c>
      <c r="E52">
        <v>16</v>
      </c>
      <c r="F52">
        <v>0</v>
      </c>
      <c r="G52">
        <v>20260116</v>
      </c>
      <c r="H52">
        <v>20260131</v>
      </c>
      <c r="I52">
        <v>30601.284500000002</v>
      </c>
      <c r="J52">
        <f t="shared" si="1"/>
        <v>16</v>
      </c>
      <c r="K52">
        <f t="shared" si="2"/>
        <v>1912.5802812500001</v>
      </c>
      <c r="L52">
        <f t="shared" si="3"/>
        <v>0</v>
      </c>
      <c r="M52">
        <f t="shared" si="4"/>
        <v>30601.284500000002</v>
      </c>
      <c r="N52">
        <f t="shared" si="5"/>
        <v>0</v>
      </c>
      <c r="O52">
        <f t="shared" si="6"/>
        <v>30601.284500000002</v>
      </c>
      <c r="P52">
        <f t="shared" si="7"/>
        <v>0</v>
      </c>
      <c r="Q52">
        <f t="shared" si="8"/>
        <v>30601.284500000002</v>
      </c>
      <c r="R52">
        <f t="shared" si="9"/>
        <v>0</v>
      </c>
      <c r="S52">
        <f t="shared" si="10"/>
        <v>30601.284500000002</v>
      </c>
    </row>
    <row r="53" spans="1:19" x14ac:dyDescent="0.3">
      <c r="A53" t="s">
        <v>13</v>
      </c>
      <c r="B53" t="s">
        <v>25</v>
      </c>
      <c r="C53" t="s">
        <v>14</v>
      </c>
      <c r="D53">
        <v>23</v>
      </c>
      <c r="E53">
        <v>5</v>
      </c>
      <c r="F53">
        <v>0</v>
      </c>
      <c r="G53">
        <v>20251209</v>
      </c>
      <c r="H53">
        <v>20260105</v>
      </c>
      <c r="I53">
        <v>36072.769800000002</v>
      </c>
      <c r="J53">
        <f t="shared" si="1"/>
        <v>28</v>
      </c>
      <c r="K53">
        <f t="shared" si="2"/>
        <v>1288.3132071428572</v>
      </c>
      <c r="L53">
        <f t="shared" si="3"/>
        <v>25030.237136534564</v>
      </c>
      <c r="M53">
        <f t="shared" si="4"/>
        <v>6441.566035714286</v>
      </c>
      <c r="N53">
        <f t="shared" si="5"/>
        <v>0</v>
      </c>
      <c r="O53">
        <f t="shared" si="6"/>
        <v>31471.803172248852</v>
      </c>
      <c r="P53">
        <f t="shared" si="7"/>
        <v>28689.489995978016</v>
      </c>
      <c r="Q53">
        <f t="shared" si="8"/>
        <v>7383.2798040219859</v>
      </c>
      <c r="R53">
        <f t="shared" si="9"/>
        <v>0</v>
      </c>
      <c r="S53">
        <f t="shared" si="10"/>
        <v>36072.769800000002</v>
      </c>
    </row>
    <row r="54" spans="1:19" x14ac:dyDescent="0.3">
      <c r="A54" t="s">
        <v>13</v>
      </c>
      <c r="B54" t="s">
        <v>25</v>
      </c>
      <c r="C54" t="s">
        <v>15</v>
      </c>
      <c r="D54">
        <v>21</v>
      </c>
      <c r="E54">
        <v>1</v>
      </c>
      <c r="F54">
        <v>0</v>
      </c>
      <c r="G54">
        <v>20251211</v>
      </c>
      <c r="H54">
        <v>20260101</v>
      </c>
      <c r="I54">
        <v>7854.0891000000001</v>
      </c>
      <c r="J54">
        <f t="shared" si="1"/>
        <v>22</v>
      </c>
      <c r="K54">
        <f t="shared" si="2"/>
        <v>357.00405000000001</v>
      </c>
      <c r="L54">
        <f t="shared" si="3"/>
        <v>6332.9798589028615</v>
      </c>
      <c r="M54">
        <f t="shared" si="4"/>
        <v>357.00405000000001</v>
      </c>
      <c r="N54">
        <f t="shared" si="5"/>
        <v>0</v>
      </c>
      <c r="O54">
        <f t="shared" si="6"/>
        <v>6689.983908902861</v>
      </c>
      <c r="P54">
        <f t="shared" si="7"/>
        <v>7434.9637843128521</v>
      </c>
      <c r="Q54">
        <f t="shared" si="8"/>
        <v>419.12531568714849</v>
      </c>
      <c r="R54">
        <f t="shared" si="9"/>
        <v>0</v>
      </c>
      <c r="S54">
        <f t="shared" si="10"/>
        <v>7854.0891000000011</v>
      </c>
    </row>
    <row r="55" spans="1:19" x14ac:dyDescent="0.3">
      <c r="A55" t="s">
        <v>13</v>
      </c>
      <c r="B55" t="s">
        <v>25</v>
      </c>
      <c r="C55" t="s">
        <v>15</v>
      </c>
      <c r="D55">
        <v>27</v>
      </c>
      <c r="E55">
        <v>9</v>
      </c>
      <c r="F55">
        <v>0</v>
      </c>
      <c r="G55">
        <v>20251205</v>
      </c>
      <c r="H55">
        <v>20260109</v>
      </c>
      <c r="I55">
        <v>1890.2438</v>
      </c>
      <c r="J55">
        <f t="shared" si="1"/>
        <v>36</v>
      </c>
      <c r="K55">
        <f t="shared" si="2"/>
        <v>52.506772222222224</v>
      </c>
      <c r="L55">
        <f t="shared" si="3"/>
        <v>1197.5530323431515</v>
      </c>
      <c r="M55">
        <f t="shared" si="4"/>
        <v>472.56095000000005</v>
      </c>
      <c r="N55">
        <f t="shared" si="5"/>
        <v>0</v>
      </c>
      <c r="O55">
        <f t="shared" si="6"/>
        <v>1670.1139823431515</v>
      </c>
      <c r="P55">
        <f t="shared" si="7"/>
        <v>1355.3968282942828</v>
      </c>
      <c r="Q55">
        <f t="shared" si="8"/>
        <v>534.84697170571712</v>
      </c>
      <c r="R55">
        <f t="shared" si="9"/>
        <v>0</v>
      </c>
      <c r="S55">
        <f t="shared" si="10"/>
        <v>1890.2438</v>
      </c>
    </row>
    <row r="56" spans="1:19" x14ac:dyDescent="0.3">
      <c r="A56" t="s">
        <v>13</v>
      </c>
      <c r="B56" t="s">
        <v>25</v>
      </c>
      <c r="C56" t="s">
        <v>15</v>
      </c>
      <c r="D56">
        <v>0</v>
      </c>
      <c r="E56">
        <v>18</v>
      </c>
      <c r="F56">
        <v>0</v>
      </c>
      <c r="G56">
        <v>20260103</v>
      </c>
      <c r="H56">
        <v>20260120</v>
      </c>
      <c r="I56">
        <v>5118.6328999999996</v>
      </c>
      <c r="J56">
        <f t="shared" si="1"/>
        <v>18</v>
      </c>
      <c r="K56">
        <f t="shared" si="2"/>
        <v>284.36849444444442</v>
      </c>
      <c r="L56">
        <f t="shared" si="3"/>
        <v>0</v>
      </c>
      <c r="M56">
        <f t="shared" si="4"/>
        <v>5118.6328999999996</v>
      </c>
      <c r="N56">
        <f t="shared" si="5"/>
        <v>0</v>
      </c>
      <c r="O56">
        <f t="shared" si="6"/>
        <v>5118.6328999999996</v>
      </c>
      <c r="P56">
        <f t="shared" si="7"/>
        <v>0</v>
      </c>
      <c r="Q56">
        <f t="shared" si="8"/>
        <v>5118.6328999999996</v>
      </c>
      <c r="R56">
        <f t="shared" si="9"/>
        <v>0</v>
      </c>
      <c r="S56">
        <f t="shared" si="10"/>
        <v>5118.6328999999996</v>
      </c>
    </row>
    <row r="57" spans="1:19" x14ac:dyDescent="0.3">
      <c r="A57" t="s">
        <v>13</v>
      </c>
      <c r="B57" t="s">
        <v>25</v>
      </c>
      <c r="C57" t="s">
        <v>15</v>
      </c>
      <c r="D57">
        <v>0</v>
      </c>
      <c r="E57">
        <v>23</v>
      </c>
      <c r="F57">
        <v>0</v>
      </c>
      <c r="G57">
        <v>20260104</v>
      </c>
      <c r="H57">
        <v>20260126</v>
      </c>
      <c r="I57">
        <v>9404.3436000000002</v>
      </c>
      <c r="J57">
        <f t="shared" si="1"/>
        <v>23</v>
      </c>
      <c r="K57">
        <f t="shared" si="2"/>
        <v>408.88450434782607</v>
      </c>
      <c r="L57">
        <f t="shared" si="3"/>
        <v>0</v>
      </c>
      <c r="M57">
        <f t="shared" si="4"/>
        <v>9404.3436000000002</v>
      </c>
      <c r="N57">
        <f t="shared" si="5"/>
        <v>0</v>
      </c>
      <c r="O57">
        <f t="shared" si="6"/>
        <v>9404.3436000000002</v>
      </c>
      <c r="P57">
        <f t="shared" si="7"/>
        <v>0</v>
      </c>
      <c r="Q57">
        <f t="shared" si="8"/>
        <v>9404.3436000000002</v>
      </c>
      <c r="R57">
        <f t="shared" si="9"/>
        <v>0</v>
      </c>
      <c r="S57">
        <f t="shared" si="10"/>
        <v>9404.3436000000002</v>
      </c>
    </row>
    <row r="58" spans="1:19" x14ac:dyDescent="0.3">
      <c r="A58" t="s">
        <v>13</v>
      </c>
      <c r="B58" t="s">
        <v>25</v>
      </c>
      <c r="C58" t="s">
        <v>15</v>
      </c>
      <c r="D58">
        <v>0</v>
      </c>
      <c r="E58">
        <v>27</v>
      </c>
      <c r="F58">
        <v>0</v>
      </c>
      <c r="G58">
        <v>20260103</v>
      </c>
      <c r="H58">
        <v>20260129</v>
      </c>
      <c r="I58">
        <v>3022.8247000000001</v>
      </c>
      <c r="J58">
        <f t="shared" si="1"/>
        <v>27</v>
      </c>
      <c r="K58">
        <f t="shared" si="2"/>
        <v>111.95647037037037</v>
      </c>
      <c r="L58">
        <f t="shared" si="3"/>
        <v>0</v>
      </c>
      <c r="M58">
        <f t="shared" si="4"/>
        <v>3022.8247000000001</v>
      </c>
      <c r="N58">
        <f t="shared" si="5"/>
        <v>0</v>
      </c>
      <c r="O58">
        <f t="shared" si="6"/>
        <v>3022.8247000000001</v>
      </c>
      <c r="P58">
        <f t="shared" si="7"/>
        <v>0</v>
      </c>
      <c r="Q58">
        <f t="shared" si="8"/>
        <v>3022.8247000000001</v>
      </c>
      <c r="R58">
        <f t="shared" si="9"/>
        <v>0</v>
      </c>
      <c r="S58">
        <f t="shared" si="10"/>
        <v>3022.8247000000001</v>
      </c>
    </row>
    <row r="59" spans="1:19" x14ac:dyDescent="0.3">
      <c r="A59" t="s">
        <v>13</v>
      </c>
      <c r="B59" t="s">
        <v>25</v>
      </c>
      <c r="C59" t="s">
        <v>15</v>
      </c>
      <c r="D59">
        <v>0</v>
      </c>
      <c r="E59">
        <v>24</v>
      </c>
      <c r="F59">
        <v>0</v>
      </c>
      <c r="G59">
        <v>20260106</v>
      </c>
      <c r="H59">
        <v>20260129</v>
      </c>
      <c r="I59">
        <v>5459.1626999999999</v>
      </c>
      <c r="J59">
        <f t="shared" si="1"/>
        <v>24</v>
      </c>
      <c r="K59">
        <f t="shared" si="2"/>
        <v>227.4651125</v>
      </c>
      <c r="L59">
        <f t="shared" si="3"/>
        <v>0</v>
      </c>
      <c r="M59">
        <f t="shared" si="4"/>
        <v>5459.1626999999999</v>
      </c>
      <c r="N59">
        <f t="shared" si="5"/>
        <v>0</v>
      </c>
      <c r="O59">
        <f t="shared" si="6"/>
        <v>5459.1626999999999</v>
      </c>
      <c r="P59">
        <f t="shared" si="7"/>
        <v>0</v>
      </c>
      <c r="Q59">
        <f t="shared" si="8"/>
        <v>5459.1626999999999</v>
      </c>
      <c r="R59">
        <f t="shared" si="9"/>
        <v>0</v>
      </c>
      <c r="S59">
        <f t="shared" si="10"/>
        <v>5459.1626999999999</v>
      </c>
    </row>
    <row r="60" spans="1:19" x14ac:dyDescent="0.3">
      <c r="A60" t="s">
        <v>13</v>
      </c>
      <c r="B60" t="s">
        <v>25</v>
      </c>
      <c r="C60" t="s">
        <v>15</v>
      </c>
      <c r="D60">
        <v>16</v>
      </c>
      <c r="E60">
        <v>19</v>
      </c>
      <c r="F60">
        <v>0</v>
      </c>
      <c r="G60">
        <v>20251216</v>
      </c>
      <c r="H60">
        <v>20260119</v>
      </c>
      <c r="I60">
        <v>123978.9139</v>
      </c>
      <c r="J60">
        <f t="shared" si="1"/>
        <v>35</v>
      </c>
      <c r="K60">
        <f t="shared" si="2"/>
        <v>3542.2546828571431</v>
      </c>
      <c r="L60">
        <f t="shared" si="3"/>
        <v>47875.732847157451</v>
      </c>
      <c r="M60">
        <f t="shared" si="4"/>
        <v>67302.838974285725</v>
      </c>
      <c r="N60">
        <f t="shared" si="5"/>
        <v>0</v>
      </c>
      <c r="O60">
        <f t="shared" si="6"/>
        <v>115178.57182144318</v>
      </c>
      <c r="P60">
        <f t="shared" si="7"/>
        <v>51533.729466265948</v>
      </c>
      <c r="Q60">
        <f t="shared" si="8"/>
        <v>72445.184433734044</v>
      </c>
      <c r="R60">
        <f t="shared" si="9"/>
        <v>0</v>
      </c>
      <c r="S60">
        <f t="shared" si="10"/>
        <v>123978.91389999999</v>
      </c>
    </row>
    <row r="61" spans="1:19" x14ac:dyDescent="0.3">
      <c r="A61" t="s">
        <v>13</v>
      </c>
      <c r="B61" t="s">
        <v>25</v>
      </c>
      <c r="C61" t="s">
        <v>15</v>
      </c>
      <c r="D61">
        <v>27</v>
      </c>
      <c r="E61">
        <v>12</v>
      </c>
      <c r="F61">
        <v>0</v>
      </c>
      <c r="G61">
        <v>20251205</v>
      </c>
      <c r="H61">
        <v>20260112</v>
      </c>
      <c r="I61">
        <v>30120.009900000001</v>
      </c>
      <c r="J61">
        <f t="shared" si="1"/>
        <v>39</v>
      </c>
      <c r="K61">
        <f t="shared" si="2"/>
        <v>772.30794615384616</v>
      </c>
      <c r="L61">
        <f t="shared" si="3"/>
        <v>17614.484449832871</v>
      </c>
      <c r="M61">
        <f t="shared" si="4"/>
        <v>9267.695353846153</v>
      </c>
      <c r="N61">
        <f t="shared" si="5"/>
        <v>0</v>
      </c>
      <c r="O61">
        <f t="shared" si="6"/>
        <v>26882.179803679024</v>
      </c>
      <c r="P61">
        <f t="shared" si="7"/>
        <v>19736.064928029115</v>
      </c>
      <c r="Q61">
        <f t="shared" si="8"/>
        <v>10383.944971970888</v>
      </c>
      <c r="R61">
        <f t="shared" si="9"/>
        <v>0</v>
      </c>
      <c r="S61">
        <f t="shared" si="10"/>
        <v>30120.009900000005</v>
      </c>
    </row>
    <row r="62" spans="1:19" x14ac:dyDescent="0.3">
      <c r="A62" t="s">
        <v>13</v>
      </c>
      <c r="B62" t="s">
        <v>25</v>
      </c>
      <c r="C62" t="s">
        <v>15</v>
      </c>
      <c r="D62">
        <v>31</v>
      </c>
      <c r="E62">
        <v>2</v>
      </c>
      <c r="F62">
        <v>0</v>
      </c>
      <c r="G62">
        <v>20251128</v>
      </c>
      <c r="H62">
        <v>20260102</v>
      </c>
      <c r="I62">
        <v>26975.035400000001</v>
      </c>
      <c r="J62">
        <f t="shared" si="1"/>
        <v>33</v>
      </c>
      <c r="K62">
        <f t="shared" si="2"/>
        <v>817.42531515151518</v>
      </c>
      <c r="L62">
        <f t="shared" si="3"/>
        <v>21405.503431946254</v>
      </c>
      <c r="M62">
        <f t="shared" si="4"/>
        <v>1634.8506303030304</v>
      </c>
      <c r="N62">
        <f t="shared" si="5"/>
        <v>0</v>
      </c>
      <c r="O62">
        <f t="shared" si="6"/>
        <v>23040.354062249284</v>
      </c>
      <c r="P62">
        <f t="shared" si="7"/>
        <v>25060.99564579358</v>
      </c>
      <c r="Q62">
        <f t="shared" si="8"/>
        <v>1914.0397542064222</v>
      </c>
      <c r="R62">
        <f t="shared" si="9"/>
        <v>0</v>
      </c>
      <c r="S62">
        <f t="shared" si="10"/>
        <v>26975.035400000004</v>
      </c>
    </row>
    <row r="63" spans="1:19" x14ac:dyDescent="0.3">
      <c r="A63" t="s">
        <v>13</v>
      </c>
      <c r="B63" t="s">
        <v>25</v>
      </c>
      <c r="C63" t="s">
        <v>15</v>
      </c>
      <c r="D63">
        <v>20</v>
      </c>
      <c r="E63">
        <v>1</v>
      </c>
      <c r="F63">
        <v>0</v>
      </c>
      <c r="G63">
        <v>20251212</v>
      </c>
      <c r="H63">
        <v>20260101</v>
      </c>
      <c r="I63">
        <v>8526.0967000000001</v>
      </c>
      <c r="J63">
        <f t="shared" si="1"/>
        <v>21</v>
      </c>
      <c r="K63">
        <f t="shared" si="2"/>
        <v>406.00460476190477</v>
      </c>
      <c r="L63">
        <f t="shared" si="3"/>
        <v>6859.2498749336182</v>
      </c>
      <c r="M63">
        <f t="shared" si="4"/>
        <v>406.00460476190477</v>
      </c>
      <c r="N63">
        <f t="shared" si="5"/>
        <v>0</v>
      </c>
      <c r="O63">
        <f t="shared" si="6"/>
        <v>7265.2544796955226</v>
      </c>
      <c r="P63">
        <f t="shared" si="7"/>
        <v>8049.6323819888912</v>
      </c>
      <c r="Q63">
        <f t="shared" si="8"/>
        <v>476.46431801110884</v>
      </c>
      <c r="R63">
        <f t="shared" si="9"/>
        <v>0</v>
      </c>
      <c r="S63">
        <f t="shared" si="10"/>
        <v>8526.0967000000001</v>
      </c>
    </row>
    <row r="64" spans="1:19" x14ac:dyDescent="0.3">
      <c r="A64" t="s">
        <v>13</v>
      </c>
      <c r="B64" t="s">
        <v>25</v>
      </c>
      <c r="C64" t="s">
        <v>15</v>
      </c>
      <c r="D64">
        <v>2</v>
      </c>
      <c r="E64">
        <v>31</v>
      </c>
      <c r="F64">
        <v>1</v>
      </c>
      <c r="G64">
        <v>20251230</v>
      </c>
      <c r="H64">
        <v>20260201</v>
      </c>
      <c r="I64">
        <v>11672.561</v>
      </c>
      <c r="J64">
        <f t="shared" si="1"/>
        <v>34</v>
      </c>
      <c r="K64">
        <f t="shared" si="2"/>
        <v>343.31061764705879</v>
      </c>
      <c r="L64">
        <f t="shared" si="3"/>
        <v>580.00655252172294</v>
      </c>
      <c r="M64">
        <f t="shared" si="4"/>
        <v>10642.629147058822</v>
      </c>
      <c r="N64">
        <f t="shared" si="5"/>
        <v>283.0623446162121</v>
      </c>
      <c r="O64">
        <f t="shared" si="6"/>
        <v>11505.698044196757</v>
      </c>
      <c r="P64">
        <f t="shared" si="7"/>
        <v>588.41817668978797</v>
      </c>
      <c r="Q64">
        <f t="shared" si="8"/>
        <v>10796.975328418212</v>
      </c>
      <c r="R64">
        <f t="shared" si="9"/>
        <v>287.16749489199918</v>
      </c>
      <c r="S64">
        <f t="shared" si="10"/>
        <v>11672.560999999998</v>
      </c>
    </row>
    <row r="65" spans="1:19" x14ac:dyDescent="0.3">
      <c r="A65" t="s">
        <v>13</v>
      </c>
      <c r="B65" t="s">
        <v>25</v>
      </c>
      <c r="C65" t="s">
        <v>15</v>
      </c>
      <c r="D65">
        <v>31</v>
      </c>
      <c r="E65">
        <v>5</v>
      </c>
      <c r="F65">
        <v>0</v>
      </c>
      <c r="G65">
        <v>20251129</v>
      </c>
      <c r="H65">
        <v>20260105</v>
      </c>
      <c r="I65">
        <v>1552.8659</v>
      </c>
      <c r="J65">
        <f t="shared" si="1"/>
        <v>36</v>
      </c>
      <c r="K65">
        <f t="shared" si="2"/>
        <v>43.13516388888889</v>
      </c>
      <c r="L65">
        <f t="shared" si="3"/>
        <v>1129.5587273193637</v>
      </c>
      <c r="M65">
        <f t="shared" si="4"/>
        <v>215.67581944444444</v>
      </c>
      <c r="N65">
        <f t="shared" si="5"/>
        <v>0</v>
      </c>
      <c r="O65">
        <f t="shared" si="6"/>
        <v>1345.2345467638081</v>
      </c>
      <c r="P65">
        <f t="shared" si="7"/>
        <v>1303.9014154976271</v>
      </c>
      <c r="Q65">
        <f t="shared" si="8"/>
        <v>248.9644845023729</v>
      </c>
      <c r="R65">
        <f t="shared" si="9"/>
        <v>0</v>
      </c>
      <c r="S65">
        <f t="shared" si="10"/>
        <v>1552.8659</v>
      </c>
    </row>
    <row r="66" spans="1:19" x14ac:dyDescent="0.3">
      <c r="A66" t="s">
        <v>13</v>
      </c>
      <c r="B66" t="s">
        <v>25</v>
      </c>
      <c r="C66" t="s">
        <v>15</v>
      </c>
      <c r="D66">
        <v>1</v>
      </c>
      <c r="E66">
        <v>31</v>
      </c>
      <c r="F66">
        <v>4</v>
      </c>
      <c r="G66">
        <v>20251231</v>
      </c>
      <c r="H66">
        <v>20260204</v>
      </c>
      <c r="I66">
        <v>5167.2740999999996</v>
      </c>
      <c r="J66">
        <f t="shared" si="1"/>
        <v>36</v>
      </c>
      <c r="K66">
        <f t="shared" si="2"/>
        <v>143.53539166666667</v>
      </c>
      <c r="L66">
        <f t="shared" si="3"/>
        <v>121.2480235187853</v>
      </c>
      <c r="M66">
        <f t="shared" si="4"/>
        <v>4449.5971416666671</v>
      </c>
      <c r="N66">
        <f t="shared" si="5"/>
        <v>473.3843046164356</v>
      </c>
      <c r="O66">
        <f t="shared" si="6"/>
        <v>5044.2294698018877</v>
      </c>
      <c r="P66">
        <f t="shared" si="7"/>
        <v>124.20564436165843</v>
      </c>
      <c r="Q66">
        <f t="shared" si="8"/>
        <v>4558.1368181632743</v>
      </c>
      <c r="R66">
        <f t="shared" si="9"/>
        <v>484.93163747506691</v>
      </c>
      <c r="S66">
        <f t="shared" si="10"/>
        <v>5167.2740999999996</v>
      </c>
    </row>
    <row r="67" spans="1:19" x14ac:dyDescent="0.3">
      <c r="A67" t="s">
        <v>13</v>
      </c>
      <c r="B67" t="s">
        <v>25</v>
      </c>
      <c r="C67" t="s">
        <v>15</v>
      </c>
      <c r="D67">
        <v>17</v>
      </c>
      <c r="E67">
        <v>1</v>
      </c>
      <c r="F67">
        <v>0</v>
      </c>
      <c r="G67">
        <v>20251215</v>
      </c>
      <c r="H67">
        <v>20260101</v>
      </c>
      <c r="I67">
        <v>11128.8169</v>
      </c>
      <c r="J67">
        <f t="shared" si="1"/>
        <v>18</v>
      </c>
      <c r="K67">
        <f t="shared" si="2"/>
        <v>618.26760555555552</v>
      </c>
      <c r="L67">
        <f t="shared" si="3"/>
        <v>8878.5303279602431</v>
      </c>
      <c r="M67">
        <f t="shared" si="4"/>
        <v>618.26760555555552</v>
      </c>
      <c r="N67">
        <f t="shared" si="5"/>
        <v>0</v>
      </c>
      <c r="O67">
        <f t="shared" si="6"/>
        <v>9496.7979335157979</v>
      </c>
      <c r="P67">
        <f t="shared" si="7"/>
        <v>10404.300381316745</v>
      </c>
      <c r="Q67">
        <f t="shared" si="8"/>
        <v>724.51651868325553</v>
      </c>
      <c r="R67">
        <f t="shared" si="9"/>
        <v>0</v>
      </c>
      <c r="S67">
        <f t="shared" si="10"/>
        <v>11128.816900000002</v>
      </c>
    </row>
    <row r="68" spans="1:19" x14ac:dyDescent="0.3">
      <c r="A68" t="s">
        <v>13</v>
      </c>
      <c r="B68" t="s">
        <v>25</v>
      </c>
      <c r="C68" t="s">
        <v>15</v>
      </c>
      <c r="D68">
        <v>10</v>
      </c>
      <c r="E68">
        <v>1</v>
      </c>
      <c r="F68">
        <v>0</v>
      </c>
      <c r="G68">
        <v>20251222</v>
      </c>
      <c r="H68">
        <v>20260101</v>
      </c>
      <c r="I68">
        <v>1595.8303000000001</v>
      </c>
      <c r="J68">
        <f t="shared" si="1"/>
        <v>11</v>
      </c>
      <c r="K68">
        <f t="shared" si="2"/>
        <v>145.07548181818183</v>
      </c>
      <c r="L68">
        <f t="shared" si="3"/>
        <v>1225.4897713547666</v>
      </c>
      <c r="M68">
        <f t="shared" si="4"/>
        <v>145.07548181818183</v>
      </c>
      <c r="N68">
        <f t="shared" si="5"/>
        <v>0</v>
      </c>
      <c r="O68">
        <f t="shared" si="6"/>
        <v>1370.5652531729484</v>
      </c>
      <c r="P68">
        <f t="shared" si="7"/>
        <v>1426.9103239998942</v>
      </c>
      <c r="Q68">
        <f t="shared" si="8"/>
        <v>168.919976000106</v>
      </c>
      <c r="R68">
        <f t="shared" si="9"/>
        <v>0</v>
      </c>
      <c r="S68">
        <f t="shared" si="10"/>
        <v>1595.8303000000003</v>
      </c>
    </row>
    <row r="69" spans="1:19" x14ac:dyDescent="0.3">
      <c r="A69" t="s">
        <v>13</v>
      </c>
      <c r="B69" t="s">
        <v>25</v>
      </c>
      <c r="C69" t="s">
        <v>15</v>
      </c>
      <c r="D69">
        <v>16</v>
      </c>
      <c r="E69">
        <v>3</v>
      </c>
      <c r="F69">
        <v>0</v>
      </c>
      <c r="G69">
        <v>20251216</v>
      </c>
      <c r="H69">
        <v>20260103</v>
      </c>
      <c r="I69">
        <v>209.92830000000001</v>
      </c>
      <c r="J69">
        <f t="shared" si="1"/>
        <v>19</v>
      </c>
      <c r="K69">
        <f t="shared" si="2"/>
        <v>11.048857894736843</v>
      </c>
      <c r="L69">
        <f t="shared" si="3"/>
        <v>149.33205435357476</v>
      </c>
      <c r="M69">
        <f t="shared" si="4"/>
        <v>33.14657368421053</v>
      </c>
      <c r="N69">
        <f t="shared" si="5"/>
        <v>0</v>
      </c>
      <c r="O69">
        <f t="shared" si="6"/>
        <v>182.47862803778528</v>
      </c>
      <c r="P69">
        <f t="shared" si="7"/>
        <v>171.79559405423745</v>
      </c>
      <c r="Q69">
        <f t="shared" si="8"/>
        <v>38.132705945762581</v>
      </c>
      <c r="R69">
        <f t="shared" si="9"/>
        <v>0</v>
      </c>
      <c r="S69">
        <f t="shared" si="10"/>
        <v>209.92830000000004</v>
      </c>
    </row>
    <row r="70" spans="1:19" x14ac:dyDescent="0.3">
      <c r="A70" t="s">
        <v>13</v>
      </c>
      <c r="B70" t="s">
        <v>25</v>
      </c>
      <c r="C70" t="s">
        <v>15</v>
      </c>
      <c r="D70">
        <v>31</v>
      </c>
      <c r="E70">
        <v>1</v>
      </c>
      <c r="F70">
        <v>0</v>
      </c>
      <c r="G70">
        <v>20251126</v>
      </c>
      <c r="H70">
        <v>20260101</v>
      </c>
      <c r="I70">
        <v>91613.7166</v>
      </c>
      <c r="J70">
        <f t="shared" si="1"/>
        <v>32</v>
      </c>
      <c r="K70">
        <f t="shared" si="2"/>
        <v>2862.92864375</v>
      </c>
      <c r="L70">
        <f t="shared" si="3"/>
        <v>74970.064877240511</v>
      </c>
      <c r="M70">
        <f t="shared" si="4"/>
        <v>2862.92864375</v>
      </c>
      <c r="N70">
        <f t="shared" si="5"/>
        <v>0</v>
      </c>
      <c r="O70">
        <f t="shared" si="6"/>
        <v>77832.993520990509</v>
      </c>
      <c r="P70">
        <f t="shared" si="7"/>
        <v>88243.892036541569</v>
      </c>
      <c r="Q70">
        <f t="shared" si="8"/>
        <v>3369.8245634584323</v>
      </c>
      <c r="R70">
        <f t="shared" si="9"/>
        <v>0</v>
      </c>
      <c r="S70">
        <f t="shared" si="10"/>
        <v>91613.7166</v>
      </c>
    </row>
    <row r="71" spans="1:19" x14ac:dyDescent="0.3">
      <c r="A71" t="s">
        <v>13</v>
      </c>
      <c r="B71" t="s">
        <v>25</v>
      </c>
      <c r="C71" t="s">
        <v>15</v>
      </c>
      <c r="D71">
        <v>31</v>
      </c>
      <c r="E71">
        <v>2</v>
      </c>
      <c r="F71">
        <v>0</v>
      </c>
      <c r="G71">
        <v>20251126</v>
      </c>
      <c r="H71">
        <v>20260102</v>
      </c>
      <c r="I71">
        <v>53841.066099999996</v>
      </c>
      <c r="J71">
        <f t="shared" si="1"/>
        <v>33</v>
      </c>
      <c r="K71">
        <f t="shared" si="2"/>
        <v>1631.5474575757576</v>
      </c>
      <c r="L71">
        <f t="shared" si="3"/>
        <v>42724.508349790529</v>
      </c>
      <c r="M71">
        <f t="shared" si="4"/>
        <v>3263.0949151515151</v>
      </c>
      <c r="N71">
        <f t="shared" si="5"/>
        <v>0</v>
      </c>
      <c r="O71">
        <f t="shared" si="6"/>
        <v>45987.603264942045</v>
      </c>
      <c r="P71">
        <f t="shared" si="7"/>
        <v>50020.721125614691</v>
      </c>
      <c r="Q71">
        <f t="shared" si="8"/>
        <v>3820.3449743853052</v>
      </c>
      <c r="R71">
        <f t="shared" si="9"/>
        <v>0</v>
      </c>
      <c r="S71">
        <f t="shared" si="10"/>
        <v>53841.066099999996</v>
      </c>
    </row>
    <row r="72" spans="1:19" x14ac:dyDescent="0.3">
      <c r="A72" t="s">
        <v>13</v>
      </c>
      <c r="B72" t="s">
        <v>25</v>
      </c>
      <c r="C72" t="s">
        <v>15</v>
      </c>
      <c r="D72">
        <v>19</v>
      </c>
      <c r="E72">
        <v>5</v>
      </c>
      <c r="F72">
        <v>0</v>
      </c>
      <c r="G72">
        <v>20251213</v>
      </c>
      <c r="H72">
        <v>20260105</v>
      </c>
      <c r="I72">
        <v>461.85309999999998</v>
      </c>
      <c r="J72">
        <f t="shared" si="1"/>
        <v>24</v>
      </c>
      <c r="K72">
        <f t="shared" si="2"/>
        <v>19.243879166666666</v>
      </c>
      <c r="L72">
        <f t="shared" si="3"/>
        <v>308.86015948605882</v>
      </c>
      <c r="M72">
        <f t="shared" si="4"/>
        <v>96.219395833333323</v>
      </c>
      <c r="N72">
        <f t="shared" si="5"/>
        <v>0</v>
      </c>
      <c r="O72">
        <f t="shared" si="6"/>
        <v>405.07955531939217</v>
      </c>
      <c r="P72">
        <f t="shared" si="7"/>
        <v>352.14816509971058</v>
      </c>
      <c r="Q72">
        <f t="shared" si="8"/>
        <v>109.70493490028935</v>
      </c>
      <c r="R72">
        <f t="shared" si="9"/>
        <v>0</v>
      </c>
      <c r="S72">
        <f t="shared" si="10"/>
        <v>461.85309999999993</v>
      </c>
    </row>
    <row r="73" spans="1:19" x14ac:dyDescent="0.3">
      <c r="A73" t="s">
        <v>13</v>
      </c>
      <c r="B73" t="s">
        <v>25</v>
      </c>
      <c r="C73" t="s">
        <v>15</v>
      </c>
      <c r="D73">
        <v>31</v>
      </c>
      <c r="E73">
        <v>4</v>
      </c>
      <c r="F73">
        <v>0</v>
      </c>
      <c r="G73">
        <v>20251128</v>
      </c>
      <c r="H73">
        <v>20260104</v>
      </c>
      <c r="I73">
        <v>1509.8017</v>
      </c>
      <c r="J73">
        <f t="shared" si="1"/>
        <v>35</v>
      </c>
      <c r="K73">
        <f t="shared" si="2"/>
        <v>43.137191428571427</v>
      </c>
      <c r="L73">
        <f t="shared" si="3"/>
        <v>1129.6118214758922</v>
      </c>
      <c r="M73">
        <f t="shared" si="4"/>
        <v>172.54876571428571</v>
      </c>
      <c r="N73">
        <f t="shared" si="5"/>
        <v>0</v>
      </c>
      <c r="O73">
        <f t="shared" si="6"/>
        <v>1302.1605871901779</v>
      </c>
      <c r="P73">
        <f t="shared" si="7"/>
        <v>1309.7384955295956</v>
      </c>
      <c r="Q73">
        <f t="shared" si="8"/>
        <v>200.06320447040426</v>
      </c>
      <c r="R73">
        <f t="shared" si="9"/>
        <v>0</v>
      </c>
      <c r="S73">
        <f t="shared" si="10"/>
        <v>1509.8017</v>
      </c>
    </row>
    <row r="74" spans="1:19" x14ac:dyDescent="0.3">
      <c r="A74" t="s">
        <v>13</v>
      </c>
      <c r="B74" t="s">
        <v>25</v>
      </c>
      <c r="C74" t="s">
        <v>15</v>
      </c>
      <c r="D74">
        <v>21</v>
      </c>
      <c r="E74">
        <v>5</v>
      </c>
      <c r="F74">
        <v>0</v>
      </c>
      <c r="G74">
        <v>20251211</v>
      </c>
      <c r="H74">
        <v>20260105</v>
      </c>
      <c r="I74">
        <v>5962.2434000000003</v>
      </c>
      <c r="J74">
        <f t="shared" si="1"/>
        <v>26</v>
      </c>
      <c r="K74">
        <f t="shared" si="2"/>
        <v>229.31705384615387</v>
      </c>
      <c r="L74">
        <f t="shared" si="3"/>
        <v>4067.9098271031812</v>
      </c>
      <c r="M74">
        <f t="shared" si="4"/>
        <v>1146.5852692307694</v>
      </c>
      <c r="N74">
        <f t="shared" si="5"/>
        <v>0</v>
      </c>
      <c r="O74">
        <f t="shared" si="6"/>
        <v>5214.4950963339506</v>
      </c>
      <c r="P74">
        <f t="shared" si="7"/>
        <v>4651.2400664625729</v>
      </c>
      <c r="Q74">
        <f t="shared" si="8"/>
        <v>1311.0033335374276</v>
      </c>
      <c r="R74">
        <f t="shared" si="9"/>
        <v>0</v>
      </c>
      <c r="S74">
        <f t="shared" si="10"/>
        <v>5962.2434000000003</v>
      </c>
    </row>
    <row r="75" spans="1:19" x14ac:dyDescent="0.3">
      <c r="A75" t="s">
        <v>13</v>
      </c>
      <c r="B75" t="s">
        <v>25</v>
      </c>
      <c r="C75" t="s">
        <v>15</v>
      </c>
      <c r="D75">
        <v>22</v>
      </c>
      <c r="E75">
        <v>5</v>
      </c>
      <c r="F75">
        <v>0</v>
      </c>
      <c r="G75">
        <v>20251210</v>
      </c>
      <c r="H75">
        <v>20260105</v>
      </c>
      <c r="I75">
        <v>22171.5556</v>
      </c>
      <c r="J75">
        <f t="shared" ref="J75:J138" si="11">IF(D75&lt;0,0,D75)+E75+F75</f>
        <v>27</v>
      </c>
      <c r="K75">
        <f t="shared" ref="K75:K138" si="12">I75/J75</f>
        <v>821.16872592592597</v>
      </c>
      <c r="L75">
        <f t="shared" ref="L75:L138" si="13">IF(D75&lt;0,0,D75)*$K75*$B$6</f>
        <v>15260.569845755705</v>
      </c>
      <c r="M75">
        <f t="shared" ref="M75:M138" si="14">IF(E75&lt;0,0,E75)*$K75*$C$6</f>
        <v>4105.8436296296295</v>
      </c>
      <c r="N75">
        <f t="shared" ref="N75:N138" si="15">IF(F75&lt;0,0,F75)*$K75*$D$6</f>
        <v>0</v>
      </c>
      <c r="O75">
        <f t="shared" ref="O75:O138" si="16">L75+M75+N75</f>
        <v>19366.413475385336</v>
      </c>
      <c r="P75">
        <f t="shared" ref="P75:P138" si="17">L75/$O75*$I75</f>
        <v>17470.998089186662</v>
      </c>
      <c r="Q75">
        <f t="shared" ref="Q75:Q138" si="18">M75/$O75*$I75</f>
        <v>4700.5575108133362</v>
      </c>
      <c r="R75">
        <f t="shared" ref="R75:R138" si="19">N75/$O75*$I75</f>
        <v>0</v>
      </c>
      <c r="S75">
        <f t="shared" ref="S75:S138" si="20">P75+Q75+R75</f>
        <v>22171.5556</v>
      </c>
    </row>
    <row r="76" spans="1:19" x14ac:dyDescent="0.3">
      <c r="A76" t="s">
        <v>13</v>
      </c>
      <c r="B76" t="s">
        <v>16</v>
      </c>
      <c r="C76" t="s">
        <v>15</v>
      </c>
      <c r="D76">
        <v>31</v>
      </c>
      <c r="E76">
        <v>3</v>
      </c>
      <c r="F76">
        <v>0</v>
      </c>
      <c r="G76">
        <v>20251129</v>
      </c>
      <c r="H76">
        <v>20260103</v>
      </c>
      <c r="I76">
        <v>574.50620000000004</v>
      </c>
      <c r="J76">
        <f t="shared" si="11"/>
        <v>34</v>
      </c>
      <c r="K76">
        <f t="shared" si="12"/>
        <v>16.89724117647059</v>
      </c>
      <c r="L76">
        <f t="shared" si="13"/>
        <v>442.47951132553607</v>
      </c>
      <c r="M76">
        <f t="shared" si="14"/>
        <v>50.691723529411775</v>
      </c>
      <c r="N76">
        <f t="shared" si="15"/>
        <v>0</v>
      </c>
      <c r="O76">
        <f t="shared" si="16"/>
        <v>493.17123485494784</v>
      </c>
      <c r="P76">
        <f t="shared" si="17"/>
        <v>515.45427766941532</v>
      </c>
      <c r="Q76">
        <f t="shared" si="18"/>
        <v>59.051922330584745</v>
      </c>
      <c r="R76">
        <f t="shared" si="19"/>
        <v>0</v>
      </c>
      <c r="S76">
        <f t="shared" si="20"/>
        <v>574.50620000000004</v>
      </c>
    </row>
    <row r="77" spans="1:19" x14ac:dyDescent="0.3">
      <c r="A77" t="s">
        <v>13</v>
      </c>
      <c r="B77" t="s">
        <v>16</v>
      </c>
      <c r="C77" t="s">
        <v>15</v>
      </c>
      <c r="D77">
        <v>31</v>
      </c>
      <c r="E77">
        <v>4</v>
      </c>
      <c r="F77">
        <v>0</v>
      </c>
      <c r="G77">
        <v>20251126</v>
      </c>
      <c r="H77">
        <v>20260104</v>
      </c>
      <c r="I77">
        <v>1245.0253</v>
      </c>
      <c r="J77">
        <f t="shared" si="11"/>
        <v>35</v>
      </c>
      <c r="K77">
        <f t="shared" si="12"/>
        <v>35.572151428571431</v>
      </c>
      <c r="L77">
        <f t="shared" si="13"/>
        <v>931.50994393274902</v>
      </c>
      <c r="M77">
        <f t="shared" si="14"/>
        <v>142.28860571428572</v>
      </c>
      <c r="N77">
        <f t="shared" si="15"/>
        <v>0</v>
      </c>
      <c r="O77">
        <f t="shared" si="16"/>
        <v>1073.7985496470346</v>
      </c>
      <c r="P77">
        <f t="shared" si="17"/>
        <v>1080.0475077742221</v>
      </c>
      <c r="Q77">
        <f t="shared" si="18"/>
        <v>164.97779222577805</v>
      </c>
      <c r="R77">
        <f t="shared" si="19"/>
        <v>0</v>
      </c>
      <c r="S77">
        <f t="shared" si="20"/>
        <v>1245.0253000000002</v>
      </c>
    </row>
    <row r="78" spans="1:19" x14ac:dyDescent="0.3">
      <c r="A78" t="s">
        <v>13</v>
      </c>
      <c r="B78" t="s">
        <v>25</v>
      </c>
      <c r="C78" t="s">
        <v>15</v>
      </c>
      <c r="D78">
        <v>17</v>
      </c>
      <c r="E78">
        <v>3</v>
      </c>
      <c r="F78">
        <v>0</v>
      </c>
      <c r="G78">
        <v>20251215</v>
      </c>
      <c r="H78">
        <v>20260103</v>
      </c>
      <c r="I78">
        <v>3905.1253000000002</v>
      </c>
      <c r="J78">
        <f t="shared" si="11"/>
        <v>20</v>
      </c>
      <c r="K78">
        <f t="shared" si="12"/>
        <v>195.25626500000001</v>
      </c>
      <c r="L78">
        <f t="shared" si="13"/>
        <v>2803.9455002158734</v>
      </c>
      <c r="M78">
        <f t="shared" si="14"/>
        <v>585.76879500000007</v>
      </c>
      <c r="N78">
        <f t="shared" si="15"/>
        <v>0</v>
      </c>
      <c r="O78">
        <f t="shared" si="16"/>
        <v>3389.7142952158733</v>
      </c>
      <c r="P78">
        <f t="shared" si="17"/>
        <v>3230.2895049793065</v>
      </c>
      <c r="Q78">
        <f t="shared" si="18"/>
        <v>674.83579502069358</v>
      </c>
      <c r="R78">
        <f t="shared" si="19"/>
        <v>0</v>
      </c>
      <c r="S78">
        <f t="shared" si="20"/>
        <v>3905.1253000000002</v>
      </c>
    </row>
    <row r="79" spans="1:19" x14ac:dyDescent="0.3">
      <c r="A79" t="s">
        <v>13</v>
      </c>
      <c r="B79" t="s">
        <v>25</v>
      </c>
      <c r="C79" t="s">
        <v>14</v>
      </c>
      <c r="D79">
        <v>15</v>
      </c>
      <c r="E79">
        <v>17</v>
      </c>
      <c r="F79">
        <v>0</v>
      </c>
      <c r="G79">
        <v>20251217</v>
      </c>
      <c r="H79">
        <v>20260117</v>
      </c>
      <c r="I79">
        <v>203506.973</v>
      </c>
      <c r="J79">
        <f t="shared" si="11"/>
        <v>32</v>
      </c>
      <c r="K79">
        <f t="shared" si="12"/>
        <v>6359.5929062499999</v>
      </c>
      <c r="L79">
        <f t="shared" si="13"/>
        <v>80581.666442685135</v>
      </c>
      <c r="M79">
        <f t="shared" si="14"/>
        <v>108113.07940625001</v>
      </c>
      <c r="N79">
        <f t="shared" si="15"/>
        <v>0</v>
      </c>
      <c r="O79">
        <f t="shared" si="16"/>
        <v>188694.74584893516</v>
      </c>
      <c r="P79">
        <f t="shared" si="17"/>
        <v>86907.194703636051</v>
      </c>
      <c r="Q79">
        <f t="shared" si="18"/>
        <v>116599.77829636392</v>
      </c>
      <c r="R79">
        <f t="shared" si="19"/>
        <v>0</v>
      </c>
      <c r="S79">
        <f t="shared" si="20"/>
        <v>203506.97299999997</v>
      </c>
    </row>
    <row r="80" spans="1:19" x14ac:dyDescent="0.3">
      <c r="A80" t="s">
        <v>13</v>
      </c>
      <c r="B80" t="s">
        <v>25</v>
      </c>
      <c r="C80" t="s">
        <v>15</v>
      </c>
      <c r="D80">
        <v>2</v>
      </c>
      <c r="E80">
        <v>31</v>
      </c>
      <c r="F80">
        <v>3</v>
      </c>
      <c r="G80">
        <v>20251230</v>
      </c>
      <c r="H80">
        <v>20260203</v>
      </c>
      <c r="I80">
        <v>33979.984299999996</v>
      </c>
      <c r="J80">
        <f t="shared" si="11"/>
        <v>36</v>
      </c>
      <c r="K80">
        <f t="shared" si="12"/>
        <v>943.88845277777773</v>
      </c>
      <c r="L80">
        <f t="shared" si="13"/>
        <v>1594.653527504707</v>
      </c>
      <c r="M80">
        <f t="shared" si="14"/>
        <v>29260.54203611111</v>
      </c>
      <c r="N80">
        <f t="shared" si="15"/>
        <v>2334.7306908007208</v>
      </c>
      <c r="O80">
        <f t="shared" si="16"/>
        <v>33189.926254416539</v>
      </c>
      <c r="P80">
        <f t="shared" si="17"/>
        <v>1632.6129022760049</v>
      </c>
      <c r="Q80">
        <f t="shared" si="18"/>
        <v>29957.064422950891</v>
      </c>
      <c r="R80">
        <f t="shared" si="19"/>
        <v>2390.3069747730983</v>
      </c>
      <c r="S80">
        <f t="shared" si="20"/>
        <v>33979.984299999989</v>
      </c>
    </row>
    <row r="81" spans="1:19" x14ac:dyDescent="0.3">
      <c r="A81" t="s">
        <v>13</v>
      </c>
      <c r="B81" t="s">
        <v>25</v>
      </c>
      <c r="C81" t="s">
        <v>15</v>
      </c>
      <c r="D81">
        <v>5</v>
      </c>
      <c r="E81">
        <v>31</v>
      </c>
      <c r="F81">
        <v>4</v>
      </c>
      <c r="G81">
        <v>20251227</v>
      </c>
      <c r="H81">
        <v>20260204</v>
      </c>
      <c r="I81">
        <v>38650.438900000001</v>
      </c>
      <c r="J81">
        <f t="shared" si="11"/>
        <v>40</v>
      </c>
      <c r="K81">
        <f t="shared" si="12"/>
        <v>966.26097249999998</v>
      </c>
      <c r="L81">
        <f t="shared" si="13"/>
        <v>4081.127022352769</v>
      </c>
      <c r="M81">
        <f t="shared" si="14"/>
        <v>29954.090147499999</v>
      </c>
      <c r="N81">
        <f t="shared" si="15"/>
        <v>3186.7595387705246</v>
      </c>
      <c r="O81">
        <f t="shared" si="16"/>
        <v>37221.97670862329</v>
      </c>
      <c r="P81">
        <f t="shared" si="17"/>
        <v>4237.7478191275459</v>
      </c>
      <c r="Q81">
        <f t="shared" si="18"/>
        <v>31103.633751477391</v>
      </c>
      <c r="R81">
        <f t="shared" si="19"/>
        <v>3309.0573293950665</v>
      </c>
      <c r="S81">
        <f t="shared" si="20"/>
        <v>38650.438900000001</v>
      </c>
    </row>
    <row r="82" spans="1:19" x14ac:dyDescent="0.3">
      <c r="A82" t="s">
        <v>13</v>
      </c>
      <c r="B82" t="s">
        <v>25</v>
      </c>
      <c r="C82" t="s">
        <v>15</v>
      </c>
      <c r="D82">
        <v>0</v>
      </c>
      <c r="E82">
        <v>11</v>
      </c>
      <c r="F82">
        <v>3</v>
      </c>
      <c r="G82">
        <v>20260121</v>
      </c>
      <c r="H82">
        <v>20260203</v>
      </c>
      <c r="I82">
        <v>10729.272800000001</v>
      </c>
      <c r="J82">
        <f t="shared" si="11"/>
        <v>14</v>
      </c>
      <c r="K82">
        <f t="shared" si="12"/>
        <v>766.37662857142857</v>
      </c>
      <c r="L82">
        <f t="shared" si="13"/>
        <v>0</v>
      </c>
      <c r="M82">
        <f t="shared" si="14"/>
        <v>8430.1429142857141</v>
      </c>
      <c r="N82">
        <f t="shared" si="15"/>
        <v>1895.6509428337658</v>
      </c>
      <c r="O82">
        <f t="shared" si="16"/>
        <v>10325.793857119479</v>
      </c>
      <c r="P82">
        <f t="shared" si="17"/>
        <v>0</v>
      </c>
      <c r="Q82">
        <f t="shared" si="18"/>
        <v>8759.5495631548965</v>
      </c>
      <c r="R82">
        <f t="shared" si="19"/>
        <v>1969.7232368451048</v>
      </c>
      <c r="S82">
        <f t="shared" si="20"/>
        <v>10729.272800000001</v>
      </c>
    </row>
    <row r="83" spans="1:19" x14ac:dyDescent="0.3">
      <c r="A83" t="s">
        <v>13</v>
      </c>
      <c r="B83" t="s">
        <v>25</v>
      </c>
      <c r="C83" t="s">
        <v>15</v>
      </c>
      <c r="D83">
        <v>0</v>
      </c>
      <c r="E83">
        <v>16</v>
      </c>
      <c r="F83">
        <v>1</v>
      </c>
      <c r="G83">
        <v>20260116</v>
      </c>
      <c r="H83">
        <v>20260201</v>
      </c>
      <c r="I83">
        <v>4118.8550999999998</v>
      </c>
      <c r="J83">
        <f t="shared" si="11"/>
        <v>17</v>
      </c>
      <c r="K83">
        <f t="shared" si="12"/>
        <v>242.28559411764704</v>
      </c>
      <c r="L83">
        <f t="shared" si="13"/>
        <v>0</v>
      </c>
      <c r="M83">
        <f t="shared" si="14"/>
        <v>3876.5695058823526</v>
      </c>
      <c r="N83">
        <f t="shared" si="15"/>
        <v>199.7664063165646</v>
      </c>
      <c r="O83">
        <f t="shared" si="16"/>
        <v>4076.335912198917</v>
      </c>
      <c r="P83">
        <f t="shared" si="17"/>
        <v>0</v>
      </c>
      <c r="Q83">
        <f t="shared" si="18"/>
        <v>3917.0049828388255</v>
      </c>
      <c r="R83">
        <f t="shared" si="19"/>
        <v>201.85011716117444</v>
      </c>
      <c r="S83">
        <f t="shared" si="20"/>
        <v>4118.8550999999998</v>
      </c>
    </row>
    <row r="84" spans="1:19" x14ac:dyDescent="0.3">
      <c r="A84" t="s">
        <v>13</v>
      </c>
      <c r="B84" t="s">
        <v>25</v>
      </c>
      <c r="C84" t="s">
        <v>15</v>
      </c>
      <c r="D84">
        <v>0</v>
      </c>
      <c r="E84">
        <v>12</v>
      </c>
      <c r="F84">
        <v>3</v>
      </c>
      <c r="G84">
        <v>20260120</v>
      </c>
      <c r="H84">
        <v>20260203</v>
      </c>
      <c r="I84">
        <v>8162.2790999999997</v>
      </c>
      <c r="J84">
        <f t="shared" si="11"/>
        <v>15</v>
      </c>
      <c r="K84">
        <f t="shared" si="12"/>
        <v>544.15193999999997</v>
      </c>
      <c r="L84">
        <f t="shared" si="13"/>
        <v>0</v>
      </c>
      <c r="M84">
        <f t="shared" si="14"/>
        <v>6529.8232799999996</v>
      </c>
      <c r="N84">
        <f t="shared" si="15"/>
        <v>1345.9728541417569</v>
      </c>
      <c r="O84">
        <f t="shared" si="16"/>
        <v>7875.7961341417567</v>
      </c>
      <c r="P84">
        <f t="shared" si="17"/>
        <v>0</v>
      </c>
      <c r="Q84">
        <f t="shared" si="18"/>
        <v>6767.3463326441815</v>
      </c>
      <c r="R84">
        <f t="shared" si="19"/>
        <v>1394.9327673558175</v>
      </c>
      <c r="S84">
        <f t="shared" si="20"/>
        <v>8162.2790999999988</v>
      </c>
    </row>
    <row r="85" spans="1:19" x14ac:dyDescent="0.3">
      <c r="A85" t="s">
        <v>13</v>
      </c>
      <c r="B85" t="s">
        <v>25</v>
      </c>
      <c r="C85" t="s">
        <v>15</v>
      </c>
      <c r="D85">
        <v>0</v>
      </c>
      <c r="E85">
        <v>16</v>
      </c>
      <c r="F85">
        <v>3</v>
      </c>
      <c r="G85">
        <v>20260116</v>
      </c>
      <c r="H85">
        <v>20260203</v>
      </c>
      <c r="I85">
        <v>14171.8109</v>
      </c>
      <c r="J85">
        <f t="shared" si="11"/>
        <v>19</v>
      </c>
      <c r="K85">
        <f t="shared" si="12"/>
        <v>745.88478421052639</v>
      </c>
      <c r="L85">
        <f t="shared" si="13"/>
        <v>0</v>
      </c>
      <c r="M85">
        <f t="shared" si="14"/>
        <v>11934.156547368422</v>
      </c>
      <c r="N85">
        <f t="shared" si="15"/>
        <v>1844.9638750984709</v>
      </c>
      <c r="O85">
        <f t="shared" si="16"/>
        <v>13779.120422466893</v>
      </c>
      <c r="P85">
        <f t="shared" si="17"/>
        <v>0</v>
      </c>
      <c r="Q85">
        <f t="shared" si="18"/>
        <v>12274.267489856431</v>
      </c>
      <c r="R85">
        <f t="shared" si="19"/>
        <v>1897.543410143571</v>
      </c>
      <c r="S85">
        <f t="shared" si="20"/>
        <v>14171.810900000002</v>
      </c>
    </row>
    <row r="86" spans="1:19" x14ac:dyDescent="0.3">
      <c r="A86" t="s">
        <v>13</v>
      </c>
      <c r="B86" t="s">
        <v>25</v>
      </c>
      <c r="C86" t="s">
        <v>15</v>
      </c>
      <c r="D86">
        <v>0</v>
      </c>
      <c r="E86">
        <v>22</v>
      </c>
      <c r="F86">
        <v>4</v>
      </c>
      <c r="G86">
        <v>20260110</v>
      </c>
      <c r="H86">
        <v>20260204</v>
      </c>
      <c r="I86">
        <v>588.65689999999995</v>
      </c>
      <c r="J86">
        <f t="shared" si="11"/>
        <v>26</v>
      </c>
      <c r="K86">
        <f t="shared" si="12"/>
        <v>22.640649999999997</v>
      </c>
      <c r="L86">
        <f t="shared" si="13"/>
        <v>0</v>
      </c>
      <c r="M86">
        <f t="shared" si="14"/>
        <v>498.09429999999992</v>
      </c>
      <c r="N86">
        <f t="shared" si="15"/>
        <v>74.66958658672813</v>
      </c>
      <c r="O86">
        <f t="shared" si="16"/>
        <v>572.76388658672806</v>
      </c>
      <c r="P86">
        <f t="shared" si="17"/>
        <v>0</v>
      </c>
      <c r="Q86">
        <f t="shared" si="18"/>
        <v>511.91538679747487</v>
      </c>
      <c r="R86">
        <f t="shared" si="19"/>
        <v>76.74151320252507</v>
      </c>
      <c r="S86">
        <f t="shared" si="20"/>
        <v>588.65689999999995</v>
      </c>
    </row>
    <row r="87" spans="1:19" x14ac:dyDescent="0.3">
      <c r="A87" t="s">
        <v>13</v>
      </c>
      <c r="B87" t="s">
        <v>25</v>
      </c>
      <c r="C87" t="s">
        <v>15</v>
      </c>
      <c r="D87">
        <v>0</v>
      </c>
      <c r="E87">
        <v>9</v>
      </c>
      <c r="F87">
        <v>3</v>
      </c>
      <c r="G87">
        <v>20260123</v>
      </c>
      <c r="H87">
        <v>20260203</v>
      </c>
      <c r="I87">
        <v>1683.616</v>
      </c>
      <c r="J87">
        <f t="shared" si="11"/>
        <v>12</v>
      </c>
      <c r="K87">
        <f t="shared" si="12"/>
        <v>140.30133333333333</v>
      </c>
      <c r="L87">
        <f t="shared" si="13"/>
        <v>0</v>
      </c>
      <c r="M87">
        <f t="shared" si="14"/>
        <v>1262.712</v>
      </c>
      <c r="N87">
        <f t="shared" si="15"/>
        <v>347.03870773034583</v>
      </c>
      <c r="O87">
        <f t="shared" si="16"/>
        <v>1609.7507077303458</v>
      </c>
      <c r="P87">
        <f t="shared" si="17"/>
        <v>0</v>
      </c>
      <c r="Q87">
        <f t="shared" si="18"/>
        <v>1320.6530156395618</v>
      </c>
      <c r="R87">
        <f t="shared" si="19"/>
        <v>362.96298436043827</v>
      </c>
      <c r="S87">
        <f t="shared" si="20"/>
        <v>1683.616</v>
      </c>
    </row>
    <row r="88" spans="1:19" x14ac:dyDescent="0.3">
      <c r="A88" t="s">
        <v>13</v>
      </c>
      <c r="B88" t="s">
        <v>25</v>
      </c>
      <c r="C88" t="s">
        <v>15</v>
      </c>
      <c r="D88">
        <v>0</v>
      </c>
      <c r="E88">
        <v>20</v>
      </c>
      <c r="F88">
        <v>2</v>
      </c>
      <c r="G88">
        <v>20260112</v>
      </c>
      <c r="H88">
        <v>20260202</v>
      </c>
      <c r="I88">
        <v>3992.7676999999999</v>
      </c>
      <c r="J88">
        <f t="shared" si="11"/>
        <v>22</v>
      </c>
      <c r="K88">
        <f t="shared" si="12"/>
        <v>181.48944090909092</v>
      </c>
      <c r="L88">
        <f t="shared" si="13"/>
        <v>0</v>
      </c>
      <c r="M88">
        <f t="shared" si="14"/>
        <v>3629.7888181818184</v>
      </c>
      <c r="N88">
        <f t="shared" si="15"/>
        <v>299.27898542087445</v>
      </c>
      <c r="O88">
        <f t="shared" si="16"/>
        <v>3929.0678036026929</v>
      </c>
      <c r="P88">
        <f t="shared" si="17"/>
        <v>0</v>
      </c>
      <c r="Q88">
        <f t="shared" si="18"/>
        <v>3688.6366628156716</v>
      </c>
      <c r="R88">
        <f t="shared" si="19"/>
        <v>304.13103718432848</v>
      </c>
      <c r="S88">
        <f t="shared" si="20"/>
        <v>3992.7676999999999</v>
      </c>
    </row>
    <row r="89" spans="1:19" x14ac:dyDescent="0.3">
      <c r="A89" t="s">
        <v>13</v>
      </c>
      <c r="B89" t="s">
        <v>25</v>
      </c>
      <c r="C89" t="s">
        <v>15</v>
      </c>
      <c r="D89">
        <v>0</v>
      </c>
      <c r="E89">
        <v>19</v>
      </c>
      <c r="F89">
        <v>4</v>
      </c>
      <c r="G89">
        <v>20260113</v>
      </c>
      <c r="H89">
        <v>20260204</v>
      </c>
      <c r="I89">
        <v>12193.6073</v>
      </c>
      <c r="J89">
        <f t="shared" si="11"/>
        <v>23</v>
      </c>
      <c r="K89">
        <f t="shared" si="12"/>
        <v>530.15683913043472</v>
      </c>
      <c r="L89">
        <f t="shared" si="13"/>
        <v>0</v>
      </c>
      <c r="M89">
        <f t="shared" si="14"/>
        <v>10072.97994347826</v>
      </c>
      <c r="N89">
        <f t="shared" si="15"/>
        <v>1748.4741826756781</v>
      </c>
      <c r="O89">
        <f t="shared" si="16"/>
        <v>11821.454126153938</v>
      </c>
      <c r="P89">
        <f t="shared" si="17"/>
        <v>0</v>
      </c>
      <c r="Q89">
        <f t="shared" si="18"/>
        <v>10390.089109241506</v>
      </c>
      <c r="R89">
        <f t="shared" si="19"/>
        <v>1803.5181907584938</v>
      </c>
      <c r="S89">
        <f t="shared" si="20"/>
        <v>12193.6073</v>
      </c>
    </row>
    <row r="90" spans="1:19" x14ac:dyDescent="0.3">
      <c r="A90" t="s">
        <v>13</v>
      </c>
      <c r="B90" t="s">
        <v>25</v>
      </c>
      <c r="C90" t="s">
        <v>15</v>
      </c>
      <c r="D90">
        <v>0</v>
      </c>
      <c r="E90">
        <v>24</v>
      </c>
      <c r="F90">
        <v>5</v>
      </c>
      <c r="G90">
        <v>20260108</v>
      </c>
      <c r="H90">
        <v>20260205</v>
      </c>
      <c r="I90">
        <v>1497569.5427000001</v>
      </c>
      <c r="J90">
        <f t="shared" si="11"/>
        <v>29</v>
      </c>
      <c r="K90">
        <f t="shared" si="12"/>
        <v>51640.329058620693</v>
      </c>
      <c r="L90">
        <f t="shared" si="13"/>
        <v>0</v>
      </c>
      <c r="M90">
        <f t="shared" si="14"/>
        <v>1239367.8974068966</v>
      </c>
      <c r="N90">
        <f t="shared" si="15"/>
        <v>212889.31755547051</v>
      </c>
      <c r="O90">
        <f t="shared" si="16"/>
        <v>1452257.214962367</v>
      </c>
      <c r="P90">
        <f t="shared" si="17"/>
        <v>0</v>
      </c>
      <c r="Q90">
        <f t="shared" si="18"/>
        <v>1278037.7995263073</v>
      </c>
      <c r="R90">
        <f t="shared" si="19"/>
        <v>219531.74317369307</v>
      </c>
      <c r="S90">
        <f t="shared" si="20"/>
        <v>1497569.5427000003</v>
      </c>
    </row>
    <row r="91" spans="1:19" x14ac:dyDescent="0.3">
      <c r="A91" t="s">
        <v>13</v>
      </c>
      <c r="B91" t="s">
        <v>25</v>
      </c>
      <c r="C91" t="s">
        <v>14</v>
      </c>
      <c r="D91">
        <v>0</v>
      </c>
      <c r="E91">
        <v>16</v>
      </c>
      <c r="F91">
        <v>15</v>
      </c>
      <c r="G91">
        <v>20260116</v>
      </c>
      <c r="H91">
        <v>20260215</v>
      </c>
      <c r="I91">
        <v>8929899.3244000003</v>
      </c>
      <c r="J91">
        <f t="shared" si="11"/>
        <v>31</v>
      </c>
      <c r="K91">
        <f t="shared" si="12"/>
        <v>288061.26852903224</v>
      </c>
      <c r="L91">
        <f t="shared" si="13"/>
        <v>0</v>
      </c>
      <c r="M91">
        <f t="shared" si="14"/>
        <v>4608980.2964645158</v>
      </c>
      <c r="N91">
        <f t="shared" si="15"/>
        <v>3562632.2288744994</v>
      </c>
      <c r="O91">
        <f t="shared" si="16"/>
        <v>8171612.5253390148</v>
      </c>
      <c r="P91">
        <f t="shared" si="17"/>
        <v>0</v>
      </c>
      <c r="Q91">
        <f t="shared" si="18"/>
        <v>5036671.7594534848</v>
      </c>
      <c r="R91">
        <f t="shared" si="19"/>
        <v>3893227.5649465155</v>
      </c>
      <c r="S91">
        <f t="shared" si="20"/>
        <v>8929899.3244000003</v>
      </c>
    </row>
    <row r="92" spans="1:19" x14ac:dyDescent="0.3">
      <c r="A92" t="s">
        <v>13</v>
      </c>
      <c r="B92" t="s">
        <v>25</v>
      </c>
      <c r="C92" t="s">
        <v>15</v>
      </c>
      <c r="D92">
        <v>0</v>
      </c>
      <c r="E92">
        <v>24</v>
      </c>
      <c r="F92">
        <v>2</v>
      </c>
      <c r="G92">
        <v>20260108</v>
      </c>
      <c r="H92">
        <v>20260202</v>
      </c>
      <c r="I92">
        <v>252457.6042</v>
      </c>
      <c r="J92">
        <f t="shared" si="11"/>
        <v>26</v>
      </c>
      <c r="K92">
        <f t="shared" si="12"/>
        <v>9709.9078538461545</v>
      </c>
      <c r="L92">
        <f t="shared" si="13"/>
        <v>0</v>
      </c>
      <c r="M92">
        <f t="shared" si="14"/>
        <v>233037.78849230771</v>
      </c>
      <c r="N92">
        <f t="shared" si="15"/>
        <v>16011.793063404031</v>
      </c>
      <c r="O92">
        <f t="shared" si="16"/>
        <v>249049.58155571175</v>
      </c>
      <c r="P92">
        <f t="shared" si="17"/>
        <v>0</v>
      </c>
      <c r="Q92">
        <f t="shared" si="18"/>
        <v>236226.70394920433</v>
      </c>
      <c r="R92">
        <f t="shared" si="19"/>
        <v>16230.900250795677</v>
      </c>
      <c r="S92">
        <f t="shared" si="20"/>
        <v>252457.6042</v>
      </c>
    </row>
    <row r="93" spans="1:19" x14ac:dyDescent="0.3">
      <c r="A93" t="s">
        <v>13</v>
      </c>
      <c r="B93" t="s">
        <v>25</v>
      </c>
      <c r="C93" t="s">
        <v>14</v>
      </c>
      <c r="D93">
        <v>30</v>
      </c>
      <c r="E93">
        <v>1</v>
      </c>
      <c r="F93">
        <v>0</v>
      </c>
      <c r="G93">
        <v>20251202</v>
      </c>
      <c r="H93">
        <v>20260101</v>
      </c>
      <c r="I93">
        <v>4239861.2869999995</v>
      </c>
      <c r="J93">
        <f t="shared" si="11"/>
        <v>31</v>
      </c>
      <c r="K93">
        <f t="shared" si="12"/>
        <v>136769.71893548386</v>
      </c>
      <c r="L93">
        <f t="shared" si="13"/>
        <v>3465986.5916536106</v>
      </c>
      <c r="M93">
        <f t="shared" si="14"/>
        <v>136769.71893548386</v>
      </c>
      <c r="N93">
        <f t="shared" si="15"/>
        <v>0</v>
      </c>
      <c r="O93">
        <f t="shared" si="16"/>
        <v>3602756.3105890946</v>
      </c>
      <c r="P93">
        <f t="shared" si="17"/>
        <v>4078905.4558092933</v>
      </c>
      <c r="Q93">
        <f t="shared" si="18"/>
        <v>160955.83119070594</v>
      </c>
      <c r="R93">
        <f t="shared" si="19"/>
        <v>0</v>
      </c>
      <c r="S93">
        <f t="shared" si="20"/>
        <v>4239861.2869999995</v>
      </c>
    </row>
    <row r="94" spans="1:19" x14ac:dyDescent="0.3">
      <c r="A94" t="s">
        <v>13</v>
      </c>
      <c r="B94" t="s">
        <v>25</v>
      </c>
      <c r="C94" t="s">
        <v>15</v>
      </c>
      <c r="D94">
        <v>0</v>
      </c>
      <c r="E94">
        <v>25</v>
      </c>
      <c r="F94">
        <v>4</v>
      </c>
      <c r="G94">
        <v>20260107</v>
      </c>
      <c r="H94">
        <v>20260204</v>
      </c>
      <c r="I94">
        <v>3331772.2475000001</v>
      </c>
      <c r="J94">
        <f t="shared" si="11"/>
        <v>29</v>
      </c>
      <c r="K94">
        <f t="shared" si="12"/>
        <v>114888.69818965517</v>
      </c>
      <c r="L94">
        <f t="shared" si="13"/>
        <v>0</v>
      </c>
      <c r="M94">
        <f t="shared" si="14"/>
        <v>2872217.4547413792</v>
      </c>
      <c r="N94">
        <f t="shared" si="15"/>
        <v>378906.59487730841</v>
      </c>
      <c r="O94">
        <f t="shared" si="16"/>
        <v>3251124.0496186875</v>
      </c>
      <c r="P94">
        <f t="shared" si="17"/>
        <v>0</v>
      </c>
      <c r="Q94">
        <f t="shared" si="18"/>
        <v>2943466.4006791115</v>
      </c>
      <c r="R94">
        <f t="shared" si="19"/>
        <v>388305.84682088881</v>
      </c>
      <c r="S94">
        <f t="shared" si="20"/>
        <v>3331772.2475000005</v>
      </c>
    </row>
    <row r="95" spans="1:19" x14ac:dyDescent="0.3">
      <c r="A95" t="s">
        <v>13</v>
      </c>
      <c r="B95" t="s">
        <v>25</v>
      </c>
      <c r="C95" t="s">
        <v>15</v>
      </c>
      <c r="D95">
        <v>0</v>
      </c>
      <c r="E95">
        <v>29</v>
      </c>
      <c r="F95">
        <v>3</v>
      </c>
      <c r="G95">
        <v>20260103</v>
      </c>
      <c r="H95">
        <v>20260203</v>
      </c>
      <c r="I95">
        <v>8432206.4626000002</v>
      </c>
      <c r="J95">
        <f t="shared" si="11"/>
        <v>32</v>
      </c>
      <c r="K95">
        <f t="shared" si="12"/>
        <v>263506.45195625001</v>
      </c>
      <c r="L95">
        <f t="shared" si="13"/>
        <v>0</v>
      </c>
      <c r="M95">
        <f t="shared" si="14"/>
        <v>7641687.10673125</v>
      </c>
      <c r="N95">
        <f t="shared" si="15"/>
        <v>651789.51897942612</v>
      </c>
      <c r="O95">
        <f t="shared" si="16"/>
        <v>8293476.6257106764</v>
      </c>
      <c r="P95">
        <f t="shared" si="17"/>
        <v>0</v>
      </c>
      <c r="Q95">
        <f t="shared" si="18"/>
        <v>7769514.0789071359</v>
      </c>
      <c r="R95">
        <f t="shared" si="19"/>
        <v>662692.38369286456</v>
      </c>
      <c r="S95">
        <f t="shared" si="20"/>
        <v>8432206.4626000002</v>
      </c>
    </row>
    <row r="96" spans="1:19" x14ac:dyDescent="0.3">
      <c r="A96" t="s">
        <v>13</v>
      </c>
      <c r="B96" t="s">
        <v>25</v>
      </c>
      <c r="C96" t="s">
        <v>15</v>
      </c>
      <c r="D96">
        <v>0</v>
      </c>
      <c r="E96">
        <v>27</v>
      </c>
      <c r="F96">
        <v>4</v>
      </c>
      <c r="G96">
        <v>20260105</v>
      </c>
      <c r="H96">
        <v>20260204</v>
      </c>
      <c r="I96">
        <v>1258834.7069000001</v>
      </c>
      <c r="J96">
        <f t="shared" si="11"/>
        <v>31</v>
      </c>
      <c r="K96">
        <f t="shared" si="12"/>
        <v>40607.571190322582</v>
      </c>
      <c r="L96">
        <f t="shared" si="13"/>
        <v>0</v>
      </c>
      <c r="M96">
        <f t="shared" si="14"/>
        <v>1096404.4221387098</v>
      </c>
      <c r="N96">
        <f t="shared" si="15"/>
        <v>133925.06633301248</v>
      </c>
      <c r="O96">
        <f t="shared" si="16"/>
        <v>1230329.4884717222</v>
      </c>
      <c r="P96">
        <f t="shared" si="17"/>
        <v>0</v>
      </c>
      <c r="Q96">
        <f t="shared" si="18"/>
        <v>1121806.761781577</v>
      </c>
      <c r="R96">
        <f t="shared" si="19"/>
        <v>137027.9451184232</v>
      </c>
      <c r="S96">
        <f t="shared" si="20"/>
        <v>1258834.7069000001</v>
      </c>
    </row>
    <row r="97" spans="1:19" x14ac:dyDescent="0.3">
      <c r="A97" t="s">
        <v>13</v>
      </c>
      <c r="B97" t="s">
        <v>25</v>
      </c>
      <c r="C97" t="s">
        <v>14</v>
      </c>
      <c r="D97">
        <v>30</v>
      </c>
      <c r="E97">
        <v>2</v>
      </c>
      <c r="F97">
        <v>0</v>
      </c>
      <c r="G97">
        <v>20251202</v>
      </c>
      <c r="H97">
        <v>20260102</v>
      </c>
      <c r="I97">
        <v>3984453.0046999999</v>
      </c>
      <c r="J97">
        <f t="shared" si="11"/>
        <v>32</v>
      </c>
      <c r="K97">
        <f t="shared" si="12"/>
        <v>124514.156396875</v>
      </c>
      <c r="L97">
        <f t="shared" si="13"/>
        <v>3155408.9596850323</v>
      </c>
      <c r="M97">
        <f t="shared" si="14"/>
        <v>249028.31279375</v>
      </c>
      <c r="N97">
        <f t="shared" si="15"/>
        <v>0</v>
      </c>
      <c r="O97">
        <f t="shared" si="16"/>
        <v>3404437.2724787821</v>
      </c>
      <c r="P97">
        <f t="shared" si="17"/>
        <v>3692997.6099457378</v>
      </c>
      <c r="Q97">
        <f t="shared" si="18"/>
        <v>291455.39475426258</v>
      </c>
      <c r="R97">
        <f t="shared" si="19"/>
        <v>0</v>
      </c>
      <c r="S97">
        <f t="shared" si="20"/>
        <v>3984453.0047000004</v>
      </c>
    </row>
    <row r="98" spans="1:19" x14ac:dyDescent="0.3">
      <c r="A98" t="s">
        <v>13</v>
      </c>
      <c r="B98" t="s">
        <v>25</v>
      </c>
      <c r="C98" t="s">
        <v>15</v>
      </c>
      <c r="D98">
        <v>25</v>
      </c>
      <c r="E98">
        <v>2</v>
      </c>
      <c r="F98">
        <v>0</v>
      </c>
      <c r="G98">
        <v>20251207</v>
      </c>
      <c r="H98">
        <v>20260102</v>
      </c>
      <c r="I98">
        <v>98913.319600000003</v>
      </c>
      <c r="J98">
        <f t="shared" si="11"/>
        <v>27</v>
      </c>
      <c r="K98">
        <f t="shared" si="12"/>
        <v>3663.4562814814817</v>
      </c>
      <c r="L98">
        <f t="shared" si="13"/>
        <v>77365.38497917066</v>
      </c>
      <c r="M98">
        <f t="shared" si="14"/>
        <v>7326.9125629629634</v>
      </c>
      <c r="N98">
        <f t="shared" si="15"/>
        <v>0</v>
      </c>
      <c r="O98">
        <f t="shared" si="16"/>
        <v>84692.29754213363</v>
      </c>
      <c r="P98">
        <f t="shared" si="17"/>
        <v>90356.11587481985</v>
      </c>
      <c r="Q98">
        <f t="shared" si="18"/>
        <v>8557.2037251801394</v>
      </c>
      <c r="R98">
        <f t="shared" si="19"/>
        <v>0</v>
      </c>
      <c r="S98">
        <f t="shared" si="20"/>
        <v>98913.319599999988</v>
      </c>
    </row>
    <row r="99" spans="1:19" x14ac:dyDescent="0.3">
      <c r="A99" t="s">
        <v>13</v>
      </c>
      <c r="B99" t="s">
        <v>25</v>
      </c>
      <c r="C99" t="s">
        <v>15</v>
      </c>
      <c r="D99">
        <v>0</v>
      </c>
      <c r="E99">
        <v>26</v>
      </c>
      <c r="F99">
        <v>1</v>
      </c>
      <c r="G99">
        <v>20260106</v>
      </c>
      <c r="H99">
        <v>20260201</v>
      </c>
      <c r="I99">
        <v>1274834.4262000001</v>
      </c>
      <c r="J99">
        <f t="shared" si="11"/>
        <v>27</v>
      </c>
      <c r="K99">
        <f t="shared" si="12"/>
        <v>47216.089859259264</v>
      </c>
      <c r="L99">
        <f t="shared" si="13"/>
        <v>0</v>
      </c>
      <c r="M99">
        <f t="shared" si="14"/>
        <v>1227618.3363407408</v>
      </c>
      <c r="N99">
        <f t="shared" si="15"/>
        <v>38930.042976158984</v>
      </c>
      <c r="O99">
        <f t="shared" si="16"/>
        <v>1266548.3793168997</v>
      </c>
      <c r="P99">
        <f t="shared" si="17"/>
        <v>0</v>
      </c>
      <c r="Q99">
        <f t="shared" si="18"/>
        <v>1235649.6940492867</v>
      </c>
      <c r="R99">
        <f t="shared" si="19"/>
        <v>39184.732150713491</v>
      </c>
      <c r="S99">
        <f t="shared" si="20"/>
        <v>1274834.4262000001</v>
      </c>
    </row>
    <row r="100" spans="1:19" x14ac:dyDescent="0.3">
      <c r="A100" t="s">
        <v>13</v>
      </c>
      <c r="B100" t="s">
        <v>25</v>
      </c>
      <c r="C100" t="s">
        <v>14</v>
      </c>
      <c r="D100">
        <v>0</v>
      </c>
      <c r="E100">
        <v>10</v>
      </c>
      <c r="F100">
        <v>0</v>
      </c>
      <c r="G100">
        <v>20260111</v>
      </c>
      <c r="H100">
        <v>20260120</v>
      </c>
      <c r="I100">
        <v>58970.124400000001</v>
      </c>
      <c r="J100">
        <f t="shared" si="11"/>
        <v>10</v>
      </c>
      <c r="K100">
        <f t="shared" si="12"/>
        <v>5897.0124400000004</v>
      </c>
      <c r="L100">
        <f t="shared" si="13"/>
        <v>0</v>
      </c>
      <c r="M100">
        <f t="shared" si="14"/>
        <v>58970.124400000001</v>
      </c>
      <c r="N100">
        <f t="shared" si="15"/>
        <v>0</v>
      </c>
      <c r="O100">
        <f t="shared" si="16"/>
        <v>58970.124400000001</v>
      </c>
      <c r="P100">
        <f t="shared" si="17"/>
        <v>0</v>
      </c>
      <c r="Q100">
        <f t="shared" si="18"/>
        <v>58970.124400000001</v>
      </c>
      <c r="R100">
        <f t="shared" si="19"/>
        <v>0</v>
      </c>
      <c r="S100">
        <f t="shared" si="20"/>
        <v>58970.124400000001</v>
      </c>
    </row>
    <row r="101" spans="1:19" x14ac:dyDescent="0.3">
      <c r="A101" t="s">
        <v>13</v>
      </c>
      <c r="B101" t="s">
        <v>25</v>
      </c>
      <c r="C101" t="s">
        <v>15</v>
      </c>
      <c r="D101">
        <v>0</v>
      </c>
      <c r="E101">
        <v>30</v>
      </c>
      <c r="F101">
        <v>4</v>
      </c>
      <c r="G101">
        <v>20260102</v>
      </c>
      <c r="H101">
        <v>20260204</v>
      </c>
      <c r="I101">
        <v>1263707.2727000001</v>
      </c>
      <c r="J101">
        <f t="shared" si="11"/>
        <v>34</v>
      </c>
      <c r="K101">
        <f t="shared" si="12"/>
        <v>37167.860961764709</v>
      </c>
      <c r="L101">
        <f t="shared" si="13"/>
        <v>0</v>
      </c>
      <c r="M101">
        <f t="shared" si="14"/>
        <v>1115035.8288529413</v>
      </c>
      <c r="N101">
        <f t="shared" si="15"/>
        <v>122580.79217372126</v>
      </c>
      <c r="O101">
        <f t="shared" si="16"/>
        <v>1237616.6210266626</v>
      </c>
      <c r="P101">
        <f t="shared" si="17"/>
        <v>0</v>
      </c>
      <c r="Q101">
        <f t="shared" si="18"/>
        <v>1138542.3097127087</v>
      </c>
      <c r="R101">
        <f t="shared" si="19"/>
        <v>125164.96298729135</v>
      </c>
      <c r="S101">
        <f t="shared" si="20"/>
        <v>1263707.2727000001</v>
      </c>
    </row>
    <row r="102" spans="1:19" x14ac:dyDescent="0.3">
      <c r="A102" t="s">
        <v>13</v>
      </c>
      <c r="B102" t="s">
        <v>25</v>
      </c>
      <c r="C102" t="s">
        <v>15</v>
      </c>
      <c r="D102">
        <v>0</v>
      </c>
      <c r="E102">
        <v>16</v>
      </c>
      <c r="F102">
        <v>15</v>
      </c>
      <c r="G102">
        <v>20260116</v>
      </c>
      <c r="H102">
        <v>20260215</v>
      </c>
      <c r="I102">
        <v>5726166.0832000002</v>
      </c>
      <c r="J102">
        <f t="shared" si="11"/>
        <v>31</v>
      </c>
      <c r="K102">
        <f t="shared" si="12"/>
        <v>184715.0349419355</v>
      </c>
      <c r="L102">
        <f t="shared" si="13"/>
        <v>0</v>
      </c>
      <c r="M102">
        <f t="shared" si="14"/>
        <v>2955440.5590709681</v>
      </c>
      <c r="N102">
        <f t="shared" si="15"/>
        <v>2284485.311066715</v>
      </c>
      <c r="O102">
        <f t="shared" si="16"/>
        <v>5239925.8701376831</v>
      </c>
      <c r="P102">
        <f t="shared" si="17"/>
        <v>0</v>
      </c>
      <c r="Q102">
        <f t="shared" si="18"/>
        <v>3229691.3944359198</v>
      </c>
      <c r="R102">
        <f t="shared" si="19"/>
        <v>2496474.6887640804</v>
      </c>
      <c r="S102">
        <f t="shared" si="20"/>
        <v>5726166.0832000002</v>
      </c>
    </row>
    <row r="103" spans="1:19" x14ac:dyDescent="0.3">
      <c r="A103" t="s">
        <v>13</v>
      </c>
      <c r="B103" t="s">
        <v>25</v>
      </c>
      <c r="C103" t="s">
        <v>15</v>
      </c>
      <c r="D103">
        <v>24</v>
      </c>
      <c r="E103">
        <v>6</v>
      </c>
      <c r="F103">
        <v>0</v>
      </c>
      <c r="G103">
        <v>20251208</v>
      </c>
      <c r="H103">
        <v>20260106</v>
      </c>
      <c r="I103">
        <v>342237.72379999998</v>
      </c>
      <c r="J103">
        <f t="shared" si="11"/>
        <v>30</v>
      </c>
      <c r="K103">
        <f t="shared" si="12"/>
        <v>11407.924126666667</v>
      </c>
      <c r="L103">
        <f t="shared" si="13"/>
        <v>231277.58026777735</v>
      </c>
      <c r="M103">
        <f t="shared" si="14"/>
        <v>68447.544760000004</v>
      </c>
      <c r="N103">
        <f t="shared" si="15"/>
        <v>0</v>
      </c>
      <c r="O103">
        <f t="shared" si="16"/>
        <v>299725.12502777734</v>
      </c>
      <c r="P103">
        <f t="shared" si="17"/>
        <v>264081.67359836923</v>
      </c>
      <c r="Q103">
        <f t="shared" si="18"/>
        <v>78156.050201630744</v>
      </c>
      <c r="R103">
        <f t="shared" si="19"/>
        <v>0</v>
      </c>
      <c r="S103">
        <f t="shared" si="20"/>
        <v>342237.72379999998</v>
      </c>
    </row>
    <row r="104" spans="1:19" x14ac:dyDescent="0.3">
      <c r="A104" t="s">
        <v>13</v>
      </c>
      <c r="B104" t="s">
        <v>25</v>
      </c>
      <c r="C104" t="s">
        <v>14</v>
      </c>
      <c r="D104">
        <v>0</v>
      </c>
      <c r="E104">
        <v>29</v>
      </c>
      <c r="F104">
        <v>1</v>
      </c>
      <c r="G104">
        <v>20260103</v>
      </c>
      <c r="H104">
        <v>20260201</v>
      </c>
      <c r="I104">
        <v>619436.54370000004</v>
      </c>
      <c r="J104">
        <f t="shared" si="11"/>
        <v>30</v>
      </c>
      <c r="K104">
        <f t="shared" si="12"/>
        <v>20647.88479</v>
      </c>
      <c r="L104">
        <f t="shared" si="13"/>
        <v>0</v>
      </c>
      <c r="M104">
        <f t="shared" si="14"/>
        <v>598788.65891</v>
      </c>
      <c r="N104">
        <f t="shared" si="15"/>
        <v>17024.34582443185</v>
      </c>
      <c r="O104">
        <f t="shared" si="16"/>
        <v>615813.00473443186</v>
      </c>
      <c r="P104">
        <f t="shared" si="17"/>
        <v>0</v>
      </c>
      <c r="Q104">
        <f t="shared" si="18"/>
        <v>602312.02399163938</v>
      </c>
      <c r="R104">
        <f t="shared" si="19"/>
        <v>17124.519708360687</v>
      </c>
      <c r="S104">
        <f t="shared" si="20"/>
        <v>619436.54370000004</v>
      </c>
    </row>
    <row r="105" spans="1:19" x14ac:dyDescent="0.3">
      <c r="A105" t="s">
        <v>13</v>
      </c>
      <c r="B105" t="s">
        <v>25</v>
      </c>
      <c r="C105" t="s">
        <v>15</v>
      </c>
      <c r="D105">
        <v>0</v>
      </c>
      <c r="E105">
        <v>23</v>
      </c>
      <c r="F105">
        <v>5</v>
      </c>
      <c r="G105">
        <v>20260109</v>
      </c>
      <c r="H105">
        <v>20260205</v>
      </c>
      <c r="I105">
        <v>162710.11439999999</v>
      </c>
      <c r="J105">
        <f t="shared" si="11"/>
        <v>28</v>
      </c>
      <c r="K105">
        <f t="shared" si="12"/>
        <v>5811.0755142857142</v>
      </c>
      <c r="L105">
        <f t="shared" si="13"/>
        <v>0</v>
      </c>
      <c r="M105">
        <f t="shared" si="14"/>
        <v>133654.73682857142</v>
      </c>
      <c r="N105">
        <f t="shared" si="15"/>
        <v>23956.39073281757</v>
      </c>
      <c r="O105">
        <f t="shared" si="16"/>
        <v>157611.127561389</v>
      </c>
      <c r="P105">
        <f t="shared" si="17"/>
        <v>0</v>
      </c>
      <c r="Q105">
        <f t="shared" si="18"/>
        <v>137978.69386479945</v>
      </c>
      <c r="R105">
        <f t="shared" si="19"/>
        <v>24731.420535200534</v>
      </c>
      <c r="S105">
        <f t="shared" si="20"/>
        <v>162710.11439999999</v>
      </c>
    </row>
    <row r="106" spans="1:19" x14ac:dyDescent="0.3">
      <c r="A106" t="s">
        <v>13</v>
      </c>
      <c r="B106" t="s">
        <v>25</v>
      </c>
      <c r="C106" t="s">
        <v>15</v>
      </c>
      <c r="D106">
        <v>29</v>
      </c>
      <c r="E106">
        <v>8</v>
      </c>
      <c r="F106">
        <v>0</v>
      </c>
      <c r="G106">
        <v>20251203</v>
      </c>
      <c r="H106">
        <v>20260108</v>
      </c>
      <c r="I106">
        <v>139564.97630000001</v>
      </c>
      <c r="J106">
        <f t="shared" si="11"/>
        <v>37</v>
      </c>
      <c r="K106">
        <f t="shared" si="12"/>
        <v>3772.0263864864869</v>
      </c>
      <c r="L106">
        <f t="shared" si="13"/>
        <v>92403.493122063854</v>
      </c>
      <c r="M106">
        <f t="shared" si="14"/>
        <v>30176.211091891895</v>
      </c>
      <c r="N106">
        <f t="shared" si="15"/>
        <v>0</v>
      </c>
      <c r="O106">
        <f t="shared" si="16"/>
        <v>122579.70421395575</v>
      </c>
      <c r="P106">
        <f t="shared" si="17"/>
        <v>105207.39473402814</v>
      </c>
      <c r="Q106">
        <f t="shared" si="18"/>
        <v>34357.581565971865</v>
      </c>
      <c r="R106">
        <f t="shared" si="19"/>
        <v>0</v>
      </c>
      <c r="S106">
        <f t="shared" si="20"/>
        <v>139564.97630000001</v>
      </c>
    </row>
    <row r="107" spans="1:19" x14ac:dyDescent="0.3">
      <c r="A107" t="s">
        <v>13</v>
      </c>
      <c r="B107" t="s">
        <v>25</v>
      </c>
      <c r="C107" t="s">
        <v>14</v>
      </c>
      <c r="D107">
        <v>24</v>
      </c>
      <c r="E107">
        <v>6</v>
      </c>
      <c r="F107">
        <v>0</v>
      </c>
      <c r="G107">
        <v>20251208</v>
      </c>
      <c r="H107">
        <v>20260106</v>
      </c>
      <c r="I107">
        <v>51068.974199999997</v>
      </c>
      <c r="J107">
        <f t="shared" si="11"/>
        <v>30</v>
      </c>
      <c r="K107">
        <f t="shared" si="12"/>
        <v>1702.2991399999999</v>
      </c>
      <c r="L107">
        <f t="shared" si="13"/>
        <v>34511.416943141638</v>
      </c>
      <c r="M107">
        <f t="shared" si="14"/>
        <v>10213.794839999999</v>
      </c>
      <c r="N107">
        <f t="shared" si="15"/>
        <v>0</v>
      </c>
      <c r="O107">
        <f t="shared" si="16"/>
        <v>44725.21178314164</v>
      </c>
      <c r="P107">
        <f t="shared" si="17"/>
        <v>39406.468772475921</v>
      </c>
      <c r="Q107">
        <f t="shared" si="18"/>
        <v>11662.505427524075</v>
      </c>
      <c r="R107">
        <f t="shared" si="19"/>
        <v>0</v>
      </c>
      <c r="S107">
        <f t="shared" si="20"/>
        <v>51068.974199999997</v>
      </c>
    </row>
    <row r="108" spans="1:19" x14ac:dyDescent="0.3">
      <c r="A108" t="s">
        <v>13</v>
      </c>
      <c r="B108" t="s">
        <v>25</v>
      </c>
      <c r="C108" t="s">
        <v>14</v>
      </c>
      <c r="D108">
        <v>0</v>
      </c>
      <c r="E108">
        <v>24</v>
      </c>
      <c r="F108">
        <v>1</v>
      </c>
      <c r="G108">
        <v>20260108</v>
      </c>
      <c r="H108">
        <v>20260201</v>
      </c>
      <c r="I108">
        <v>61714.6682</v>
      </c>
      <c r="J108">
        <f t="shared" si="11"/>
        <v>25</v>
      </c>
      <c r="K108">
        <f t="shared" si="12"/>
        <v>2468.5867280000002</v>
      </c>
      <c r="L108">
        <f t="shared" si="13"/>
        <v>0</v>
      </c>
      <c r="M108">
        <f t="shared" si="14"/>
        <v>59246.081472000005</v>
      </c>
      <c r="N108">
        <f t="shared" si="15"/>
        <v>2035.369461932894</v>
      </c>
      <c r="O108">
        <f t="shared" si="16"/>
        <v>61281.450933932902</v>
      </c>
      <c r="P108">
        <f t="shared" si="17"/>
        <v>0</v>
      </c>
      <c r="Q108">
        <f t="shared" si="18"/>
        <v>59664.910090600424</v>
      </c>
      <c r="R108">
        <f t="shared" si="19"/>
        <v>2049.7581093995741</v>
      </c>
      <c r="S108">
        <f t="shared" si="20"/>
        <v>61714.6682</v>
      </c>
    </row>
    <row r="109" spans="1:19" x14ac:dyDescent="0.3">
      <c r="A109" t="s">
        <v>13</v>
      </c>
      <c r="B109" t="s">
        <v>25</v>
      </c>
      <c r="C109" t="s">
        <v>14</v>
      </c>
      <c r="D109">
        <v>0</v>
      </c>
      <c r="E109">
        <v>15</v>
      </c>
      <c r="F109">
        <v>15</v>
      </c>
      <c r="G109">
        <v>20260117</v>
      </c>
      <c r="H109">
        <v>20260215</v>
      </c>
      <c r="I109">
        <v>1089138.7305999999</v>
      </c>
      <c r="J109">
        <f t="shared" si="11"/>
        <v>30</v>
      </c>
      <c r="K109">
        <f t="shared" si="12"/>
        <v>36304.624353333333</v>
      </c>
      <c r="L109">
        <f t="shared" si="13"/>
        <v>0</v>
      </c>
      <c r="M109">
        <f t="shared" si="14"/>
        <v>544569.36529999995</v>
      </c>
      <c r="N109">
        <f t="shared" si="15"/>
        <v>449001.78853906499</v>
      </c>
      <c r="O109">
        <f t="shared" si="16"/>
        <v>993571.15383906499</v>
      </c>
      <c r="P109">
        <f t="shared" si="17"/>
        <v>0</v>
      </c>
      <c r="Q109">
        <f t="shared" si="18"/>
        <v>596949.28234858927</v>
      </c>
      <c r="R109">
        <f t="shared" si="19"/>
        <v>492189.44825141062</v>
      </c>
      <c r="S109">
        <f t="shared" si="20"/>
        <v>1089138.7305999999</v>
      </c>
    </row>
    <row r="110" spans="1:19" x14ac:dyDescent="0.3">
      <c r="A110" t="s">
        <v>13</v>
      </c>
      <c r="B110" t="s">
        <v>25</v>
      </c>
      <c r="C110" t="s">
        <v>15</v>
      </c>
      <c r="D110">
        <v>25</v>
      </c>
      <c r="E110">
        <v>6</v>
      </c>
      <c r="F110">
        <v>0</v>
      </c>
      <c r="G110">
        <v>20251207</v>
      </c>
      <c r="H110">
        <v>20260106</v>
      </c>
      <c r="I110">
        <v>802685.75760000001</v>
      </c>
      <c r="J110">
        <f t="shared" si="11"/>
        <v>31</v>
      </c>
      <c r="K110">
        <f t="shared" si="12"/>
        <v>25893.088954838709</v>
      </c>
      <c r="L110">
        <f t="shared" si="13"/>
        <v>546813.89414067566</v>
      </c>
      <c r="M110">
        <f t="shared" si="14"/>
        <v>155358.53372903226</v>
      </c>
      <c r="N110">
        <f t="shared" si="15"/>
        <v>0</v>
      </c>
      <c r="O110">
        <f t="shared" si="16"/>
        <v>702172.42786970793</v>
      </c>
      <c r="P110">
        <f t="shared" si="17"/>
        <v>625088.23682544043</v>
      </c>
      <c r="Q110">
        <f t="shared" si="18"/>
        <v>177597.52077455961</v>
      </c>
      <c r="R110">
        <f t="shared" si="19"/>
        <v>0</v>
      </c>
      <c r="S110">
        <f t="shared" si="20"/>
        <v>802685.75760000001</v>
      </c>
    </row>
    <row r="111" spans="1:19" x14ac:dyDescent="0.3">
      <c r="A111" t="s">
        <v>13</v>
      </c>
      <c r="B111" t="s">
        <v>25</v>
      </c>
      <c r="C111" t="s">
        <v>14</v>
      </c>
      <c r="D111">
        <v>24</v>
      </c>
      <c r="E111">
        <v>5</v>
      </c>
      <c r="F111">
        <v>0</v>
      </c>
      <c r="G111">
        <v>20251208</v>
      </c>
      <c r="H111">
        <v>20260105</v>
      </c>
      <c r="I111">
        <v>5922.0671000000002</v>
      </c>
      <c r="J111">
        <f t="shared" si="11"/>
        <v>29</v>
      </c>
      <c r="K111">
        <f t="shared" si="12"/>
        <v>204.2092103448276</v>
      </c>
      <c r="L111">
        <f t="shared" si="13"/>
        <v>4140.0180709954766</v>
      </c>
      <c r="M111">
        <f t="shared" si="14"/>
        <v>1021.046051724138</v>
      </c>
      <c r="N111">
        <f t="shared" si="15"/>
        <v>0</v>
      </c>
      <c r="O111">
        <f t="shared" si="16"/>
        <v>5161.0641227196147</v>
      </c>
      <c r="P111">
        <f t="shared" si="17"/>
        <v>4750.4670022833079</v>
      </c>
      <c r="Q111">
        <f t="shared" si="18"/>
        <v>1171.6000977166923</v>
      </c>
      <c r="R111">
        <f t="shared" si="19"/>
        <v>0</v>
      </c>
      <c r="S111">
        <f t="shared" si="20"/>
        <v>5922.0671000000002</v>
      </c>
    </row>
    <row r="112" spans="1:19" x14ac:dyDescent="0.3">
      <c r="A112" t="s">
        <v>13</v>
      </c>
      <c r="B112" t="s">
        <v>25</v>
      </c>
      <c r="C112" t="s">
        <v>15</v>
      </c>
      <c r="D112">
        <v>0</v>
      </c>
      <c r="E112">
        <v>15</v>
      </c>
      <c r="F112">
        <v>16</v>
      </c>
      <c r="G112">
        <v>20260117</v>
      </c>
      <c r="H112">
        <v>20260216</v>
      </c>
      <c r="I112">
        <v>25045.553500000002</v>
      </c>
      <c r="J112">
        <f t="shared" si="11"/>
        <v>31</v>
      </c>
      <c r="K112">
        <f t="shared" si="12"/>
        <v>807.9210806451614</v>
      </c>
      <c r="L112">
        <f t="shared" si="13"/>
        <v>0</v>
      </c>
      <c r="M112">
        <f t="shared" si="14"/>
        <v>12118.816209677421</v>
      </c>
      <c r="N112">
        <f t="shared" si="15"/>
        <v>10658.198079379672</v>
      </c>
      <c r="O112">
        <f t="shared" si="16"/>
        <v>22777.014289057093</v>
      </c>
      <c r="P112">
        <f t="shared" si="17"/>
        <v>0</v>
      </c>
      <c r="Q112">
        <f t="shared" si="18"/>
        <v>13325.822949585026</v>
      </c>
      <c r="R112">
        <f t="shared" si="19"/>
        <v>11719.730550414975</v>
      </c>
      <c r="S112">
        <f t="shared" si="20"/>
        <v>25045.553500000002</v>
      </c>
    </row>
    <row r="113" spans="1:19" x14ac:dyDescent="0.3">
      <c r="A113" t="s">
        <v>13</v>
      </c>
      <c r="B113" t="s">
        <v>25</v>
      </c>
      <c r="C113" t="s">
        <v>14</v>
      </c>
      <c r="D113">
        <v>0</v>
      </c>
      <c r="E113">
        <v>14</v>
      </c>
      <c r="F113">
        <v>19</v>
      </c>
      <c r="G113">
        <v>20260118</v>
      </c>
      <c r="H113">
        <v>20260219</v>
      </c>
      <c r="I113">
        <v>217247.66680000001</v>
      </c>
      <c r="J113">
        <f t="shared" si="11"/>
        <v>33</v>
      </c>
      <c r="K113">
        <f t="shared" si="12"/>
        <v>6583.2626303030302</v>
      </c>
      <c r="L113">
        <f t="shared" si="13"/>
        <v>0</v>
      </c>
      <c r="M113">
        <f t="shared" si="14"/>
        <v>92165.67682424243</v>
      </c>
      <c r="N113">
        <f t="shared" si="15"/>
        <v>103131.09916163064</v>
      </c>
      <c r="O113">
        <f t="shared" si="16"/>
        <v>195296.77598587307</v>
      </c>
      <c r="P113">
        <f t="shared" si="17"/>
        <v>0</v>
      </c>
      <c r="Q113">
        <f t="shared" si="18"/>
        <v>102524.87860095479</v>
      </c>
      <c r="R113">
        <f t="shared" si="19"/>
        <v>114722.7881990452</v>
      </c>
      <c r="S113">
        <f t="shared" si="20"/>
        <v>217247.66680000001</v>
      </c>
    </row>
    <row r="114" spans="1:19" x14ac:dyDescent="0.3">
      <c r="A114" t="s">
        <v>13</v>
      </c>
      <c r="B114" t="s">
        <v>25</v>
      </c>
      <c r="C114" t="s">
        <v>15</v>
      </c>
      <c r="D114">
        <v>0</v>
      </c>
      <c r="E114">
        <v>15</v>
      </c>
      <c r="F114">
        <v>20</v>
      </c>
      <c r="G114">
        <v>20260117</v>
      </c>
      <c r="H114">
        <v>20260220</v>
      </c>
      <c r="I114">
        <v>582079.64370000002</v>
      </c>
      <c r="J114">
        <f t="shared" si="11"/>
        <v>35</v>
      </c>
      <c r="K114">
        <f t="shared" si="12"/>
        <v>16630.846962857144</v>
      </c>
      <c r="L114">
        <f t="shared" si="13"/>
        <v>0</v>
      </c>
      <c r="M114">
        <f t="shared" si="14"/>
        <v>249462.70444285715</v>
      </c>
      <c r="N114">
        <f t="shared" si="15"/>
        <v>274245.32142488979</v>
      </c>
      <c r="O114">
        <f t="shared" si="16"/>
        <v>523708.02586774691</v>
      </c>
      <c r="P114">
        <f t="shared" si="17"/>
        <v>0</v>
      </c>
      <c r="Q114">
        <f t="shared" si="18"/>
        <v>277267.39890598156</v>
      </c>
      <c r="R114">
        <f t="shared" si="19"/>
        <v>304812.24479401851</v>
      </c>
      <c r="S114">
        <f t="shared" si="20"/>
        <v>582079.64370000013</v>
      </c>
    </row>
    <row r="115" spans="1:19" x14ac:dyDescent="0.3">
      <c r="A115" t="s">
        <v>13</v>
      </c>
      <c r="B115" t="s">
        <v>25</v>
      </c>
      <c r="C115" t="s">
        <v>14</v>
      </c>
      <c r="D115">
        <v>0</v>
      </c>
      <c r="E115">
        <v>27</v>
      </c>
      <c r="F115">
        <v>1</v>
      </c>
      <c r="G115">
        <v>20260105</v>
      </c>
      <c r="H115">
        <v>20260201</v>
      </c>
      <c r="I115">
        <v>77910.883900000001</v>
      </c>
      <c r="J115">
        <f t="shared" si="11"/>
        <v>28</v>
      </c>
      <c r="K115">
        <f t="shared" si="12"/>
        <v>2782.5315678571428</v>
      </c>
      <c r="L115">
        <f t="shared" si="13"/>
        <v>0</v>
      </c>
      <c r="M115">
        <f t="shared" si="14"/>
        <v>75128.352332142851</v>
      </c>
      <c r="N115">
        <f t="shared" si="15"/>
        <v>2294.2194883584757</v>
      </c>
      <c r="O115">
        <f t="shared" si="16"/>
        <v>77422.571820501325</v>
      </c>
      <c r="P115">
        <f t="shared" si="17"/>
        <v>0</v>
      </c>
      <c r="Q115">
        <f t="shared" si="18"/>
        <v>75602.194534668379</v>
      </c>
      <c r="R115">
        <f t="shared" si="19"/>
        <v>2308.6893653316151</v>
      </c>
      <c r="S115">
        <f t="shared" si="20"/>
        <v>77910.883900000001</v>
      </c>
    </row>
    <row r="116" spans="1:19" x14ac:dyDescent="0.3">
      <c r="A116" t="s">
        <v>13</v>
      </c>
      <c r="B116" t="s">
        <v>25</v>
      </c>
      <c r="C116" t="s">
        <v>15</v>
      </c>
      <c r="D116">
        <v>0</v>
      </c>
      <c r="E116">
        <v>26</v>
      </c>
      <c r="F116">
        <v>7</v>
      </c>
      <c r="G116">
        <v>20260106</v>
      </c>
      <c r="H116">
        <v>20260207</v>
      </c>
      <c r="I116">
        <v>231712.06479999999</v>
      </c>
      <c r="J116">
        <f t="shared" si="11"/>
        <v>33</v>
      </c>
      <c r="K116">
        <f t="shared" si="12"/>
        <v>7021.5777212121211</v>
      </c>
      <c r="L116">
        <f t="shared" si="13"/>
        <v>0</v>
      </c>
      <c r="M116">
        <f t="shared" si="14"/>
        <v>182561.02075151514</v>
      </c>
      <c r="N116">
        <f t="shared" si="15"/>
        <v>40525.428150322849</v>
      </c>
      <c r="O116">
        <f t="shared" si="16"/>
        <v>223086.44890183798</v>
      </c>
      <c r="P116">
        <f t="shared" si="17"/>
        <v>0</v>
      </c>
      <c r="Q116">
        <f t="shared" si="18"/>
        <v>189619.72490289033</v>
      </c>
      <c r="R116">
        <f t="shared" si="19"/>
        <v>42092.339897109669</v>
      </c>
      <c r="S116">
        <f t="shared" si="20"/>
        <v>231712.06479999999</v>
      </c>
    </row>
    <row r="117" spans="1:19" x14ac:dyDescent="0.3">
      <c r="A117" t="s">
        <v>13</v>
      </c>
      <c r="B117" t="s">
        <v>25</v>
      </c>
      <c r="C117" t="s">
        <v>15</v>
      </c>
      <c r="D117">
        <v>23</v>
      </c>
      <c r="E117">
        <v>8</v>
      </c>
      <c r="F117">
        <v>0</v>
      </c>
      <c r="G117">
        <v>20251209</v>
      </c>
      <c r="H117">
        <v>20260108</v>
      </c>
      <c r="I117">
        <v>206863.31419999999</v>
      </c>
      <c r="J117">
        <f t="shared" si="11"/>
        <v>31</v>
      </c>
      <c r="K117">
        <f t="shared" si="12"/>
        <v>6673.0101354838707</v>
      </c>
      <c r="L117">
        <f t="shared" si="13"/>
        <v>129647.84120787082</v>
      </c>
      <c r="M117">
        <f t="shared" si="14"/>
        <v>53384.081083870966</v>
      </c>
      <c r="N117">
        <f t="shared" si="15"/>
        <v>0</v>
      </c>
      <c r="O117">
        <f t="shared" si="16"/>
        <v>183031.92229174179</v>
      </c>
      <c r="P117">
        <f t="shared" si="17"/>
        <v>146528.44036892656</v>
      </c>
      <c r="Q117">
        <f t="shared" si="18"/>
        <v>60334.873831073419</v>
      </c>
      <c r="R117">
        <f t="shared" si="19"/>
        <v>0</v>
      </c>
      <c r="S117">
        <f t="shared" si="20"/>
        <v>206863.31419999996</v>
      </c>
    </row>
    <row r="118" spans="1:19" x14ac:dyDescent="0.3">
      <c r="A118" t="s">
        <v>13</v>
      </c>
      <c r="B118" t="s">
        <v>25</v>
      </c>
      <c r="C118" t="s">
        <v>15</v>
      </c>
      <c r="D118">
        <v>0</v>
      </c>
      <c r="E118">
        <v>30</v>
      </c>
      <c r="F118">
        <v>7</v>
      </c>
      <c r="G118">
        <v>20260102</v>
      </c>
      <c r="H118">
        <v>20260207</v>
      </c>
      <c r="I118">
        <v>63237.487300000001</v>
      </c>
      <c r="J118">
        <f t="shared" si="11"/>
        <v>37</v>
      </c>
      <c r="K118">
        <f t="shared" si="12"/>
        <v>1709.1212783783783</v>
      </c>
      <c r="L118">
        <f t="shared" si="13"/>
        <v>0</v>
      </c>
      <c r="M118">
        <f t="shared" si="14"/>
        <v>51273.63835135135</v>
      </c>
      <c r="N118">
        <f t="shared" si="15"/>
        <v>9864.2889557240687</v>
      </c>
      <c r="O118">
        <f t="shared" si="16"/>
        <v>61137.927307075421</v>
      </c>
      <c r="P118">
        <f t="shared" si="17"/>
        <v>0</v>
      </c>
      <c r="Q118">
        <f t="shared" si="18"/>
        <v>53034.445178077425</v>
      </c>
      <c r="R118">
        <f t="shared" si="19"/>
        <v>10203.042121922577</v>
      </c>
      <c r="S118">
        <f t="shared" si="20"/>
        <v>63237.487300000001</v>
      </c>
    </row>
    <row r="119" spans="1:19" x14ac:dyDescent="0.3">
      <c r="A119" t="s">
        <v>13</v>
      </c>
      <c r="B119" t="s">
        <v>25</v>
      </c>
      <c r="C119" t="s">
        <v>15</v>
      </c>
      <c r="D119">
        <v>20</v>
      </c>
      <c r="E119">
        <v>7</v>
      </c>
      <c r="F119">
        <v>0</v>
      </c>
      <c r="G119">
        <v>20251212</v>
      </c>
      <c r="H119">
        <v>20260107</v>
      </c>
      <c r="I119">
        <v>251.8843</v>
      </c>
      <c r="J119">
        <f t="shared" si="11"/>
        <v>27</v>
      </c>
      <c r="K119">
        <f t="shared" si="12"/>
        <v>9.3290481481481482</v>
      </c>
      <c r="L119">
        <f t="shared" si="13"/>
        <v>157.60972066058463</v>
      </c>
      <c r="M119">
        <f t="shared" si="14"/>
        <v>65.303337037037039</v>
      </c>
      <c r="N119">
        <f t="shared" si="15"/>
        <v>0</v>
      </c>
      <c r="O119">
        <f t="shared" si="16"/>
        <v>222.91305769762167</v>
      </c>
      <c r="P119">
        <f t="shared" si="17"/>
        <v>178.0937131804929</v>
      </c>
      <c r="Q119">
        <f t="shared" si="18"/>
        <v>73.790586819507112</v>
      </c>
      <c r="R119">
        <f t="shared" si="19"/>
        <v>0</v>
      </c>
      <c r="S119">
        <f t="shared" si="20"/>
        <v>251.8843</v>
      </c>
    </row>
    <row r="120" spans="1:19" x14ac:dyDescent="0.3">
      <c r="A120" t="s">
        <v>13</v>
      </c>
      <c r="B120" t="s">
        <v>25</v>
      </c>
      <c r="C120" t="s">
        <v>15</v>
      </c>
      <c r="D120">
        <v>0</v>
      </c>
      <c r="E120">
        <v>30</v>
      </c>
      <c r="F120">
        <v>6</v>
      </c>
      <c r="G120">
        <v>20260102</v>
      </c>
      <c r="H120">
        <v>20260206</v>
      </c>
      <c r="I120">
        <v>240044.69639999999</v>
      </c>
      <c r="J120">
        <f t="shared" si="11"/>
        <v>36</v>
      </c>
      <c r="K120">
        <f t="shared" si="12"/>
        <v>6667.9082333333326</v>
      </c>
      <c r="L120">
        <f t="shared" si="13"/>
        <v>0</v>
      </c>
      <c r="M120">
        <f t="shared" si="14"/>
        <v>200037.24699999997</v>
      </c>
      <c r="N120">
        <f t="shared" si="15"/>
        <v>32986.461376853629</v>
      </c>
      <c r="O120">
        <f t="shared" si="16"/>
        <v>233023.70837685361</v>
      </c>
      <c r="P120">
        <f t="shared" si="17"/>
        <v>0</v>
      </c>
      <c r="Q120">
        <f t="shared" si="18"/>
        <v>206064.35525071426</v>
      </c>
      <c r="R120">
        <f t="shared" si="19"/>
        <v>33980.341149285727</v>
      </c>
      <c r="S120">
        <f t="shared" si="20"/>
        <v>240044.69639999999</v>
      </c>
    </row>
    <row r="121" spans="1:19" x14ac:dyDescent="0.3">
      <c r="A121" t="s">
        <v>13</v>
      </c>
      <c r="B121" t="s">
        <v>25</v>
      </c>
      <c r="C121" t="s">
        <v>14</v>
      </c>
      <c r="D121">
        <v>25</v>
      </c>
      <c r="E121">
        <v>1</v>
      </c>
      <c r="F121">
        <v>0</v>
      </c>
      <c r="G121">
        <v>20251207</v>
      </c>
      <c r="H121">
        <v>20260101</v>
      </c>
      <c r="I121">
        <v>72026.079599999997</v>
      </c>
      <c r="J121">
        <f t="shared" si="11"/>
        <v>26</v>
      </c>
      <c r="K121">
        <f t="shared" si="12"/>
        <v>2770.2338307692307</v>
      </c>
      <c r="L121">
        <f t="shared" si="13"/>
        <v>58502.187642625373</v>
      </c>
      <c r="M121">
        <f t="shared" si="14"/>
        <v>2770.2338307692307</v>
      </c>
      <c r="N121">
        <f t="shared" si="15"/>
        <v>0</v>
      </c>
      <c r="O121">
        <f t="shared" si="16"/>
        <v>61272.421473394606</v>
      </c>
      <c r="P121">
        <f t="shared" si="17"/>
        <v>68769.653991094761</v>
      </c>
      <c r="Q121">
        <f t="shared" si="18"/>
        <v>3256.4256089052401</v>
      </c>
      <c r="R121">
        <f t="shared" si="19"/>
        <v>0</v>
      </c>
      <c r="S121">
        <f t="shared" si="20"/>
        <v>72026.079599999997</v>
      </c>
    </row>
    <row r="122" spans="1:19" x14ac:dyDescent="0.3">
      <c r="A122" t="s">
        <v>13</v>
      </c>
      <c r="B122" t="s">
        <v>25</v>
      </c>
      <c r="C122" t="s">
        <v>14</v>
      </c>
      <c r="D122">
        <v>0</v>
      </c>
      <c r="E122">
        <v>27</v>
      </c>
      <c r="F122">
        <v>5</v>
      </c>
      <c r="G122">
        <v>20260105</v>
      </c>
      <c r="H122">
        <v>20260205</v>
      </c>
      <c r="I122">
        <v>67618.516900000002</v>
      </c>
      <c r="J122">
        <f t="shared" si="11"/>
        <v>32</v>
      </c>
      <c r="K122">
        <f t="shared" si="12"/>
        <v>2113.0786531250001</v>
      </c>
      <c r="L122">
        <f t="shared" si="13"/>
        <v>0</v>
      </c>
      <c r="M122">
        <f t="shared" si="14"/>
        <v>57053.123634374999</v>
      </c>
      <c r="N122">
        <f t="shared" si="15"/>
        <v>8711.2510823498906</v>
      </c>
      <c r="O122">
        <f t="shared" si="16"/>
        <v>65764.374716724895</v>
      </c>
      <c r="P122">
        <f t="shared" si="17"/>
        <v>0</v>
      </c>
      <c r="Q122">
        <f t="shared" si="18"/>
        <v>58661.663268086471</v>
      </c>
      <c r="R122">
        <f t="shared" si="19"/>
        <v>8956.8536319135237</v>
      </c>
      <c r="S122">
        <f t="shared" si="20"/>
        <v>67618.516899999988</v>
      </c>
    </row>
    <row r="123" spans="1:19" x14ac:dyDescent="0.3">
      <c r="A123" t="s">
        <v>13</v>
      </c>
      <c r="B123" t="s">
        <v>25</v>
      </c>
      <c r="C123" t="s">
        <v>14</v>
      </c>
      <c r="D123">
        <v>16</v>
      </c>
      <c r="E123">
        <v>19</v>
      </c>
      <c r="F123">
        <v>0</v>
      </c>
      <c r="G123">
        <v>20251216</v>
      </c>
      <c r="H123">
        <v>20260119</v>
      </c>
      <c r="I123">
        <v>355215.603</v>
      </c>
      <c r="J123">
        <f t="shared" si="11"/>
        <v>35</v>
      </c>
      <c r="K123">
        <f t="shared" si="12"/>
        <v>10149.017228571429</v>
      </c>
      <c r="L123">
        <f t="shared" si="13"/>
        <v>137170.15883916322</v>
      </c>
      <c r="M123">
        <f t="shared" si="14"/>
        <v>192831.32734285714</v>
      </c>
      <c r="N123">
        <f t="shared" si="15"/>
        <v>0</v>
      </c>
      <c r="O123">
        <f t="shared" si="16"/>
        <v>330001.4861820204</v>
      </c>
      <c r="P123">
        <f t="shared" si="17"/>
        <v>147650.79166577963</v>
      </c>
      <c r="Q123">
        <f t="shared" si="18"/>
        <v>207564.81133422034</v>
      </c>
      <c r="R123">
        <f t="shared" si="19"/>
        <v>0</v>
      </c>
      <c r="S123">
        <f t="shared" si="20"/>
        <v>355215.603</v>
      </c>
    </row>
    <row r="124" spans="1:19" x14ac:dyDescent="0.3">
      <c r="A124" t="s">
        <v>13</v>
      </c>
      <c r="B124" t="s">
        <v>25</v>
      </c>
      <c r="C124" t="s">
        <v>15</v>
      </c>
      <c r="D124">
        <v>25</v>
      </c>
      <c r="E124">
        <v>8</v>
      </c>
      <c r="F124">
        <v>0</v>
      </c>
      <c r="G124">
        <v>20251207</v>
      </c>
      <c r="H124">
        <v>20260108</v>
      </c>
      <c r="I124">
        <v>478497.13050000003</v>
      </c>
      <c r="J124">
        <f t="shared" si="11"/>
        <v>33</v>
      </c>
      <c r="K124">
        <f t="shared" si="12"/>
        <v>14499.913045454547</v>
      </c>
      <c r="L124">
        <f t="shared" si="13"/>
        <v>306211.20295516221</v>
      </c>
      <c r="M124">
        <f t="shared" si="14"/>
        <v>115999.30436363637</v>
      </c>
      <c r="N124">
        <f t="shared" si="15"/>
        <v>0</v>
      </c>
      <c r="O124">
        <f t="shared" si="16"/>
        <v>422210.50731879857</v>
      </c>
      <c r="P124">
        <f t="shared" si="17"/>
        <v>347033.4806953643</v>
      </c>
      <c r="Q124">
        <f t="shared" si="18"/>
        <v>131463.64980463573</v>
      </c>
      <c r="R124">
        <f t="shared" si="19"/>
        <v>0</v>
      </c>
      <c r="S124">
        <f t="shared" si="20"/>
        <v>478497.13050000003</v>
      </c>
    </row>
    <row r="125" spans="1:19" x14ac:dyDescent="0.3">
      <c r="A125" t="s">
        <v>13</v>
      </c>
      <c r="B125" t="s">
        <v>25</v>
      </c>
      <c r="C125" t="s">
        <v>14</v>
      </c>
      <c r="D125">
        <v>23</v>
      </c>
      <c r="E125">
        <v>6</v>
      </c>
      <c r="F125">
        <v>0</v>
      </c>
      <c r="G125">
        <v>20251209</v>
      </c>
      <c r="H125">
        <v>20260106</v>
      </c>
      <c r="I125">
        <v>7138.9049999999997</v>
      </c>
      <c r="J125">
        <f t="shared" si="11"/>
        <v>29</v>
      </c>
      <c r="K125">
        <f t="shared" si="12"/>
        <v>246.16913793103447</v>
      </c>
      <c r="L125">
        <f t="shared" si="13"/>
        <v>4782.7437178689343</v>
      </c>
      <c r="M125">
        <f t="shared" si="14"/>
        <v>1477.0148275862068</v>
      </c>
      <c r="N125">
        <f t="shared" si="15"/>
        <v>0</v>
      </c>
      <c r="O125">
        <f t="shared" si="16"/>
        <v>6259.7585454551408</v>
      </c>
      <c r="P125">
        <f t="shared" si="17"/>
        <v>5454.452083619557</v>
      </c>
      <c r="Q125">
        <f t="shared" si="18"/>
        <v>1684.4529163804425</v>
      </c>
      <c r="R125">
        <f t="shared" si="19"/>
        <v>0</v>
      </c>
      <c r="S125">
        <f t="shared" si="20"/>
        <v>7138.9049999999997</v>
      </c>
    </row>
    <row r="126" spans="1:19" x14ac:dyDescent="0.3">
      <c r="A126" t="s">
        <v>13</v>
      </c>
      <c r="B126" t="s">
        <v>25</v>
      </c>
      <c r="C126" t="s">
        <v>14</v>
      </c>
      <c r="D126">
        <v>26</v>
      </c>
      <c r="E126">
        <v>2</v>
      </c>
      <c r="F126">
        <v>0</v>
      </c>
      <c r="G126">
        <v>20251206</v>
      </c>
      <c r="H126">
        <v>20260102</v>
      </c>
      <c r="I126">
        <v>5883.8020999999999</v>
      </c>
      <c r="J126">
        <f t="shared" si="11"/>
        <v>28</v>
      </c>
      <c r="K126">
        <f t="shared" si="12"/>
        <v>210.13578928571428</v>
      </c>
      <c r="L126">
        <f t="shared" si="13"/>
        <v>4615.1842376002105</v>
      </c>
      <c r="M126">
        <f t="shared" si="14"/>
        <v>420.27157857142856</v>
      </c>
      <c r="N126">
        <f t="shared" si="15"/>
        <v>0</v>
      </c>
      <c r="O126">
        <f t="shared" si="16"/>
        <v>5035.4558161716395</v>
      </c>
      <c r="P126">
        <f t="shared" si="17"/>
        <v>5392.725445404526</v>
      </c>
      <c r="Q126">
        <f t="shared" si="18"/>
        <v>491.07665459547309</v>
      </c>
      <c r="R126">
        <f t="shared" si="19"/>
        <v>0</v>
      </c>
      <c r="S126">
        <f t="shared" si="20"/>
        <v>5883.802099999999</v>
      </c>
    </row>
    <row r="127" spans="1:19" x14ac:dyDescent="0.3">
      <c r="A127" t="s">
        <v>13</v>
      </c>
      <c r="B127" t="s">
        <v>25</v>
      </c>
      <c r="C127" t="s">
        <v>14</v>
      </c>
      <c r="D127">
        <v>0</v>
      </c>
      <c r="E127">
        <v>30</v>
      </c>
      <c r="F127">
        <v>7</v>
      </c>
      <c r="G127">
        <v>20260102</v>
      </c>
      <c r="H127">
        <v>20260207</v>
      </c>
      <c r="I127">
        <v>8277.598</v>
      </c>
      <c r="J127">
        <f t="shared" si="11"/>
        <v>37</v>
      </c>
      <c r="K127">
        <f t="shared" si="12"/>
        <v>223.71886486486486</v>
      </c>
      <c r="L127">
        <f t="shared" si="13"/>
        <v>0</v>
      </c>
      <c r="M127">
        <f t="shared" si="14"/>
        <v>6711.5659459459457</v>
      </c>
      <c r="N127">
        <f t="shared" si="15"/>
        <v>1291.2059289130491</v>
      </c>
      <c r="O127">
        <f t="shared" si="16"/>
        <v>8002.771874858995</v>
      </c>
      <c r="P127">
        <f t="shared" si="17"/>
        <v>0</v>
      </c>
      <c r="Q127">
        <f t="shared" si="18"/>
        <v>6942.0502945436183</v>
      </c>
      <c r="R127">
        <f t="shared" si="19"/>
        <v>1335.5477054563819</v>
      </c>
      <c r="S127">
        <f t="shared" si="20"/>
        <v>8277.598</v>
      </c>
    </row>
    <row r="128" spans="1:19" x14ac:dyDescent="0.3">
      <c r="A128" t="s">
        <v>13</v>
      </c>
      <c r="B128" t="s">
        <v>25</v>
      </c>
      <c r="C128" t="s">
        <v>14</v>
      </c>
      <c r="D128">
        <v>24</v>
      </c>
      <c r="E128">
        <v>8</v>
      </c>
      <c r="F128">
        <v>0</v>
      </c>
      <c r="G128">
        <v>20251208</v>
      </c>
      <c r="H128">
        <v>20260108</v>
      </c>
      <c r="I128">
        <v>23640.1482</v>
      </c>
      <c r="J128">
        <f t="shared" si="11"/>
        <v>32</v>
      </c>
      <c r="K128">
        <f t="shared" si="12"/>
        <v>738.75463124999999</v>
      </c>
      <c r="L128">
        <f t="shared" si="13"/>
        <v>14977.079232822503</v>
      </c>
      <c r="M128">
        <f t="shared" si="14"/>
        <v>5910.0370499999999</v>
      </c>
      <c r="N128">
        <f t="shared" si="15"/>
        <v>0</v>
      </c>
      <c r="O128">
        <f t="shared" si="16"/>
        <v>20887.116282822502</v>
      </c>
      <c r="P128">
        <f t="shared" si="17"/>
        <v>16951.137144683031</v>
      </c>
      <c r="Q128">
        <f t="shared" si="18"/>
        <v>6689.0110553169689</v>
      </c>
      <c r="R128">
        <f t="shared" si="19"/>
        <v>0</v>
      </c>
      <c r="S128">
        <f t="shared" si="20"/>
        <v>23640.1482</v>
      </c>
    </row>
    <row r="129" spans="1:19" x14ac:dyDescent="0.3">
      <c r="A129" t="s">
        <v>13</v>
      </c>
      <c r="B129" t="s">
        <v>25</v>
      </c>
      <c r="C129" t="s">
        <v>15</v>
      </c>
      <c r="D129">
        <v>0</v>
      </c>
      <c r="E129">
        <v>26</v>
      </c>
      <c r="F129">
        <v>0</v>
      </c>
      <c r="G129">
        <v>20260106</v>
      </c>
      <c r="H129">
        <v>20260131</v>
      </c>
      <c r="I129">
        <v>2645.7186999999999</v>
      </c>
      <c r="J129">
        <f t="shared" si="11"/>
        <v>26</v>
      </c>
      <c r="K129">
        <f t="shared" si="12"/>
        <v>101.75841153846153</v>
      </c>
      <c r="L129">
        <f t="shared" si="13"/>
        <v>0</v>
      </c>
      <c r="M129">
        <f t="shared" si="14"/>
        <v>2645.7186999999999</v>
      </c>
      <c r="N129">
        <f t="shared" si="15"/>
        <v>0</v>
      </c>
      <c r="O129">
        <f t="shared" si="16"/>
        <v>2645.7186999999999</v>
      </c>
      <c r="P129">
        <f t="shared" si="17"/>
        <v>0</v>
      </c>
      <c r="Q129">
        <f t="shared" si="18"/>
        <v>2645.7186999999999</v>
      </c>
      <c r="R129">
        <f t="shared" si="19"/>
        <v>0</v>
      </c>
      <c r="S129">
        <f t="shared" si="20"/>
        <v>2645.7186999999999</v>
      </c>
    </row>
    <row r="130" spans="1:19" x14ac:dyDescent="0.3">
      <c r="A130" t="s">
        <v>13</v>
      </c>
      <c r="B130" t="s">
        <v>25</v>
      </c>
      <c r="C130" t="s">
        <v>15</v>
      </c>
      <c r="D130">
        <v>0</v>
      </c>
      <c r="E130">
        <v>25</v>
      </c>
      <c r="F130">
        <v>9</v>
      </c>
      <c r="G130">
        <v>20260107</v>
      </c>
      <c r="H130">
        <v>20260209</v>
      </c>
      <c r="I130">
        <v>50870.796799999996</v>
      </c>
      <c r="J130">
        <f t="shared" si="11"/>
        <v>34</v>
      </c>
      <c r="K130">
        <f t="shared" si="12"/>
        <v>1496.1999058823528</v>
      </c>
      <c r="L130">
        <f t="shared" si="13"/>
        <v>0</v>
      </c>
      <c r="M130">
        <f t="shared" si="14"/>
        <v>37404.997647058823</v>
      </c>
      <c r="N130">
        <f t="shared" si="15"/>
        <v>11102.658887996055</v>
      </c>
      <c r="O130">
        <f t="shared" si="16"/>
        <v>48507.656535054877</v>
      </c>
      <c r="P130">
        <f t="shared" si="17"/>
        <v>0</v>
      </c>
      <c r="Q130">
        <f t="shared" si="18"/>
        <v>39227.251335732966</v>
      </c>
      <c r="R130">
        <f t="shared" si="19"/>
        <v>11643.54546426703</v>
      </c>
      <c r="S130">
        <f t="shared" si="20"/>
        <v>50870.796799999996</v>
      </c>
    </row>
    <row r="131" spans="1:19" x14ac:dyDescent="0.3">
      <c r="A131" t="s">
        <v>13</v>
      </c>
      <c r="B131" t="s">
        <v>25</v>
      </c>
      <c r="C131" t="s">
        <v>15</v>
      </c>
      <c r="D131">
        <v>28</v>
      </c>
      <c r="E131">
        <v>9</v>
      </c>
      <c r="F131">
        <v>0</v>
      </c>
      <c r="G131">
        <v>20251204</v>
      </c>
      <c r="H131">
        <v>20260109</v>
      </c>
      <c r="I131">
        <v>2058.4591</v>
      </c>
      <c r="J131">
        <f t="shared" si="11"/>
        <v>37</v>
      </c>
      <c r="K131">
        <f t="shared" si="12"/>
        <v>55.634029729729733</v>
      </c>
      <c r="L131">
        <f t="shared" si="13"/>
        <v>1315.8737358786505</v>
      </c>
      <c r="M131">
        <f t="shared" si="14"/>
        <v>500.70626756756758</v>
      </c>
      <c r="N131">
        <f t="shared" si="15"/>
        <v>0</v>
      </c>
      <c r="O131">
        <f t="shared" si="16"/>
        <v>1816.5800034462181</v>
      </c>
      <c r="P131">
        <f t="shared" si="17"/>
        <v>1491.0833879773013</v>
      </c>
      <c r="Q131">
        <f t="shared" si="18"/>
        <v>567.37571202269862</v>
      </c>
      <c r="R131">
        <f t="shared" si="19"/>
        <v>0</v>
      </c>
      <c r="S131">
        <f t="shared" si="20"/>
        <v>2058.4591</v>
      </c>
    </row>
    <row r="132" spans="1:19" x14ac:dyDescent="0.3">
      <c r="A132" t="s">
        <v>13</v>
      </c>
      <c r="B132" t="s">
        <v>25</v>
      </c>
      <c r="C132" t="s">
        <v>15</v>
      </c>
      <c r="D132">
        <v>0</v>
      </c>
      <c r="E132">
        <v>24</v>
      </c>
      <c r="F132">
        <v>0</v>
      </c>
      <c r="G132">
        <v>20260108</v>
      </c>
      <c r="H132">
        <v>20260131</v>
      </c>
      <c r="I132">
        <v>9030.3148999999994</v>
      </c>
      <c r="J132">
        <f t="shared" si="11"/>
        <v>24</v>
      </c>
      <c r="K132">
        <f t="shared" si="12"/>
        <v>376.26312083333329</v>
      </c>
      <c r="L132">
        <f t="shared" si="13"/>
        <v>0</v>
      </c>
      <c r="M132">
        <f t="shared" si="14"/>
        <v>9030.3148999999994</v>
      </c>
      <c r="N132">
        <f t="shared" si="15"/>
        <v>0</v>
      </c>
      <c r="O132">
        <f t="shared" si="16"/>
        <v>9030.3148999999994</v>
      </c>
      <c r="P132">
        <f t="shared" si="17"/>
        <v>0</v>
      </c>
      <c r="Q132">
        <f t="shared" si="18"/>
        <v>9030.3148999999994</v>
      </c>
      <c r="R132">
        <f t="shared" si="19"/>
        <v>0</v>
      </c>
      <c r="S132">
        <f t="shared" si="20"/>
        <v>9030.3148999999994</v>
      </c>
    </row>
    <row r="133" spans="1:19" x14ac:dyDescent="0.3">
      <c r="A133" t="s">
        <v>13</v>
      </c>
      <c r="B133" t="s">
        <v>25</v>
      </c>
      <c r="C133" t="s">
        <v>15</v>
      </c>
      <c r="D133">
        <v>0</v>
      </c>
      <c r="E133">
        <v>17</v>
      </c>
      <c r="F133">
        <v>0</v>
      </c>
      <c r="G133">
        <v>20260104</v>
      </c>
      <c r="H133">
        <v>20260120</v>
      </c>
      <c r="I133">
        <v>24250.5723</v>
      </c>
      <c r="J133">
        <f t="shared" si="11"/>
        <v>17</v>
      </c>
      <c r="K133">
        <f t="shared" si="12"/>
        <v>1426.5042529411764</v>
      </c>
      <c r="L133">
        <f t="shared" si="13"/>
        <v>0</v>
      </c>
      <c r="M133">
        <f t="shared" si="14"/>
        <v>24250.5723</v>
      </c>
      <c r="N133">
        <f t="shared" si="15"/>
        <v>0</v>
      </c>
      <c r="O133">
        <f t="shared" si="16"/>
        <v>24250.5723</v>
      </c>
      <c r="P133">
        <f t="shared" si="17"/>
        <v>0</v>
      </c>
      <c r="Q133">
        <f t="shared" si="18"/>
        <v>24250.5723</v>
      </c>
      <c r="R133">
        <f t="shared" si="19"/>
        <v>0</v>
      </c>
      <c r="S133">
        <f t="shared" si="20"/>
        <v>24250.5723</v>
      </c>
    </row>
    <row r="134" spans="1:19" x14ac:dyDescent="0.3">
      <c r="A134" t="s">
        <v>13</v>
      </c>
      <c r="B134" t="s">
        <v>25</v>
      </c>
      <c r="C134" t="s">
        <v>15</v>
      </c>
      <c r="D134">
        <v>0</v>
      </c>
      <c r="E134">
        <v>26</v>
      </c>
      <c r="F134">
        <v>0</v>
      </c>
      <c r="G134">
        <v>20260103</v>
      </c>
      <c r="H134">
        <v>20260128</v>
      </c>
      <c r="I134">
        <v>26658.3799</v>
      </c>
      <c r="J134">
        <f t="shared" si="11"/>
        <v>26</v>
      </c>
      <c r="K134">
        <f t="shared" si="12"/>
        <v>1025.3223038461538</v>
      </c>
      <c r="L134">
        <f t="shared" si="13"/>
        <v>0</v>
      </c>
      <c r="M134">
        <f t="shared" si="14"/>
        <v>26658.3799</v>
      </c>
      <c r="N134">
        <f t="shared" si="15"/>
        <v>0</v>
      </c>
      <c r="O134">
        <f t="shared" si="16"/>
        <v>26658.3799</v>
      </c>
      <c r="P134">
        <f t="shared" si="17"/>
        <v>0</v>
      </c>
      <c r="Q134">
        <f t="shared" si="18"/>
        <v>26658.3799</v>
      </c>
      <c r="R134">
        <f t="shared" si="19"/>
        <v>0</v>
      </c>
      <c r="S134">
        <f t="shared" si="20"/>
        <v>26658.3799</v>
      </c>
    </row>
    <row r="135" spans="1:19" x14ac:dyDescent="0.3">
      <c r="A135" t="s">
        <v>13</v>
      </c>
      <c r="B135" t="s">
        <v>25</v>
      </c>
      <c r="C135" t="s">
        <v>15</v>
      </c>
      <c r="D135">
        <v>0</v>
      </c>
      <c r="E135">
        <v>29</v>
      </c>
      <c r="F135">
        <v>0</v>
      </c>
      <c r="G135">
        <v>20260102</v>
      </c>
      <c r="H135">
        <v>20260130</v>
      </c>
      <c r="I135">
        <v>4744.2671</v>
      </c>
      <c r="J135">
        <f t="shared" si="11"/>
        <v>29</v>
      </c>
      <c r="K135">
        <f t="shared" si="12"/>
        <v>163.59541724137932</v>
      </c>
      <c r="L135">
        <f t="shared" si="13"/>
        <v>0</v>
      </c>
      <c r="M135">
        <f t="shared" si="14"/>
        <v>4744.2671</v>
      </c>
      <c r="N135">
        <f t="shared" si="15"/>
        <v>0</v>
      </c>
      <c r="O135">
        <f t="shared" si="16"/>
        <v>4744.2671</v>
      </c>
      <c r="P135">
        <f t="shared" si="17"/>
        <v>0</v>
      </c>
      <c r="Q135">
        <f t="shared" si="18"/>
        <v>4744.2671</v>
      </c>
      <c r="R135">
        <f t="shared" si="19"/>
        <v>0</v>
      </c>
      <c r="S135">
        <f t="shared" si="20"/>
        <v>4744.2671</v>
      </c>
    </row>
    <row r="136" spans="1:19" x14ac:dyDescent="0.3">
      <c r="A136" t="s">
        <v>13</v>
      </c>
      <c r="B136" t="s">
        <v>25</v>
      </c>
      <c r="C136" t="s">
        <v>15</v>
      </c>
      <c r="D136">
        <v>26</v>
      </c>
      <c r="E136">
        <v>9</v>
      </c>
      <c r="F136">
        <v>0</v>
      </c>
      <c r="G136">
        <v>20251206</v>
      </c>
      <c r="H136">
        <v>20260109</v>
      </c>
      <c r="I136">
        <v>15792.179099999999</v>
      </c>
      <c r="J136">
        <f t="shared" si="11"/>
        <v>35</v>
      </c>
      <c r="K136">
        <f t="shared" si="12"/>
        <v>451.20511714285715</v>
      </c>
      <c r="L136">
        <f t="shared" si="13"/>
        <v>9909.757645952026</v>
      </c>
      <c r="M136">
        <f t="shared" si="14"/>
        <v>4060.8460542857142</v>
      </c>
      <c r="N136">
        <f t="shared" si="15"/>
        <v>0</v>
      </c>
      <c r="O136">
        <f t="shared" si="16"/>
        <v>13970.60370023774</v>
      </c>
      <c r="P136">
        <f t="shared" si="17"/>
        <v>11201.85433216502</v>
      </c>
      <c r="Q136">
        <f t="shared" si="18"/>
        <v>4590.3247678349799</v>
      </c>
      <c r="R136">
        <f t="shared" si="19"/>
        <v>0</v>
      </c>
      <c r="S136">
        <f t="shared" si="20"/>
        <v>15792.179099999999</v>
      </c>
    </row>
    <row r="137" spans="1:19" x14ac:dyDescent="0.3">
      <c r="A137" t="s">
        <v>13</v>
      </c>
      <c r="B137" t="s">
        <v>25</v>
      </c>
      <c r="C137" t="s">
        <v>15</v>
      </c>
      <c r="D137">
        <v>0</v>
      </c>
      <c r="E137">
        <v>28</v>
      </c>
      <c r="F137">
        <v>0</v>
      </c>
      <c r="G137">
        <v>20260103</v>
      </c>
      <c r="H137">
        <v>20260130</v>
      </c>
      <c r="I137">
        <v>9530.7433999999994</v>
      </c>
      <c r="J137">
        <f t="shared" si="11"/>
        <v>28</v>
      </c>
      <c r="K137">
        <f t="shared" si="12"/>
        <v>340.38369285714282</v>
      </c>
      <c r="L137">
        <f t="shared" si="13"/>
        <v>0</v>
      </c>
      <c r="M137">
        <f t="shared" si="14"/>
        <v>9530.7433999999994</v>
      </c>
      <c r="N137">
        <f t="shared" si="15"/>
        <v>0</v>
      </c>
      <c r="O137">
        <f t="shared" si="16"/>
        <v>9530.7433999999994</v>
      </c>
      <c r="P137">
        <f t="shared" si="17"/>
        <v>0</v>
      </c>
      <c r="Q137">
        <f t="shared" si="18"/>
        <v>9530.7433999999994</v>
      </c>
      <c r="R137">
        <f t="shared" si="19"/>
        <v>0</v>
      </c>
      <c r="S137">
        <f t="shared" si="20"/>
        <v>9530.7433999999994</v>
      </c>
    </row>
    <row r="138" spans="1:19" x14ac:dyDescent="0.3">
      <c r="A138" t="s">
        <v>13</v>
      </c>
      <c r="B138" t="s">
        <v>25</v>
      </c>
      <c r="C138" t="s">
        <v>15</v>
      </c>
      <c r="D138">
        <v>0</v>
      </c>
      <c r="E138">
        <v>26</v>
      </c>
      <c r="F138">
        <v>8</v>
      </c>
      <c r="G138">
        <v>20260106</v>
      </c>
      <c r="H138">
        <v>20260208</v>
      </c>
      <c r="I138">
        <v>24084.9588</v>
      </c>
      <c r="J138">
        <f t="shared" si="11"/>
        <v>34</v>
      </c>
      <c r="K138">
        <f t="shared" si="12"/>
        <v>708.38114117647058</v>
      </c>
      <c r="L138">
        <f t="shared" si="13"/>
        <v>0</v>
      </c>
      <c r="M138">
        <f t="shared" si="14"/>
        <v>18417.909670588237</v>
      </c>
      <c r="N138">
        <f t="shared" si="15"/>
        <v>4672.5272425908051</v>
      </c>
      <c r="O138">
        <f t="shared" si="16"/>
        <v>23090.436913179041</v>
      </c>
      <c r="P138">
        <f t="shared" si="17"/>
        <v>0</v>
      </c>
      <c r="Q138">
        <f t="shared" si="18"/>
        <v>19211.182415740877</v>
      </c>
      <c r="R138">
        <f t="shared" si="19"/>
        <v>4873.7763842591239</v>
      </c>
      <c r="S138">
        <f t="shared" si="20"/>
        <v>24084.9588</v>
      </c>
    </row>
    <row r="139" spans="1:19" x14ac:dyDescent="0.3">
      <c r="A139" t="s">
        <v>13</v>
      </c>
      <c r="B139" t="s">
        <v>25</v>
      </c>
      <c r="C139" t="s">
        <v>15</v>
      </c>
      <c r="D139">
        <v>0</v>
      </c>
      <c r="E139">
        <v>14</v>
      </c>
      <c r="F139">
        <v>0</v>
      </c>
      <c r="G139">
        <v>20260106</v>
      </c>
      <c r="H139">
        <v>20260119</v>
      </c>
      <c r="I139">
        <v>2139.9076</v>
      </c>
      <c r="J139">
        <f t="shared" ref="J139:J202" si="21">IF(D139&lt;0,0,D139)+E139+F139</f>
        <v>14</v>
      </c>
      <c r="K139">
        <f t="shared" ref="K139:K202" si="22">I139/J139</f>
        <v>152.85054285714287</v>
      </c>
      <c r="L139">
        <f t="shared" ref="L139:L202" si="23">IF(D139&lt;0,0,D139)*$K139*$B$6</f>
        <v>0</v>
      </c>
      <c r="M139">
        <f t="shared" ref="M139:M202" si="24">IF(E139&lt;0,0,E139)*$K139*$C$6</f>
        <v>2139.9076</v>
      </c>
      <c r="N139">
        <f t="shared" ref="N139:N202" si="25">IF(F139&lt;0,0,F139)*$K139*$D$6</f>
        <v>0</v>
      </c>
      <c r="O139">
        <f t="shared" ref="O139:O202" si="26">L139+M139+N139</f>
        <v>2139.9076</v>
      </c>
      <c r="P139">
        <f t="shared" ref="P139:P202" si="27">L139/$O139*$I139</f>
        <v>0</v>
      </c>
      <c r="Q139">
        <f t="shared" ref="Q139:Q202" si="28">M139/$O139*$I139</f>
        <v>2139.9076</v>
      </c>
      <c r="R139">
        <f t="shared" ref="R139:R202" si="29">N139/$O139*$I139</f>
        <v>0</v>
      </c>
      <c r="S139">
        <f t="shared" ref="S139:S202" si="30">P139+Q139+R139</f>
        <v>2139.9076</v>
      </c>
    </row>
    <row r="140" spans="1:19" x14ac:dyDescent="0.3">
      <c r="A140" t="s">
        <v>13</v>
      </c>
      <c r="B140" t="s">
        <v>25</v>
      </c>
      <c r="C140" t="s">
        <v>14</v>
      </c>
      <c r="D140">
        <v>0</v>
      </c>
      <c r="E140">
        <v>29</v>
      </c>
      <c r="F140">
        <v>8</v>
      </c>
      <c r="G140">
        <v>20260103</v>
      </c>
      <c r="H140">
        <v>20260208</v>
      </c>
      <c r="I140">
        <v>12396.845499999999</v>
      </c>
      <c r="J140">
        <f t="shared" si="21"/>
        <v>37</v>
      </c>
      <c r="K140">
        <f t="shared" si="22"/>
        <v>335.04987837837837</v>
      </c>
      <c r="L140">
        <f t="shared" si="23"/>
        <v>0</v>
      </c>
      <c r="M140">
        <f t="shared" si="24"/>
        <v>9716.4464729729734</v>
      </c>
      <c r="N140">
        <f t="shared" si="25"/>
        <v>2210.0103932039983</v>
      </c>
      <c r="O140">
        <f t="shared" si="26"/>
        <v>11926.456866176972</v>
      </c>
      <c r="P140">
        <f t="shared" si="27"/>
        <v>0</v>
      </c>
      <c r="Q140">
        <f t="shared" si="28"/>
        <v>10099.670596727459</v>
      </c>
      <c r="R140">
        <f t="shared" si="29"/>
        <v>2297.1749032725411</v>
      </c>
      <c r="S140">
        <f t="shared" si="30"/>
        <v>12396.845499999999</v>
      </c>
    </row>
    <row r="141" spans="1:19" x14ac:dyDescent="0.3">
      <c r="A141" t="s">
        <v>13</v>
      </c>
      <c r="B141" t="s">
        <v>25</v>
      </c>
      <c r="C141" t="s">
        <v>15</v>
      </c>
      <c r="D141">
        <v>0</v>
      </c>
      <c r="E141">
        <v>12</v>
      </c>
      <c r="F141">
        <v>20</v>
      </c>
      <c r="G141">
        <v>20260120</v>
      </c>
      <c r="H141">
        <v>20260220</v>
      </c>
      <c r="I141">
        <v>126493.0034</v>
      </c>
      <c r="J141">
        <f t="shared" si="21"/>
        <v>32</v>
      </c>
      <c r="K141">
        <f t="shared" si="22"/>
        <v>3952.90635625</v>
      </c>
      <c r="L141">
        <f t="shared" si="23"/>
        <v>0</v>
      </c>
      <c r="M141">
        <f t="shared" si="24"/>
        <v>47434.876275000002</v>
      </c>
      <c r="N141">
        <f t="shared" si="25"/>
        <v>65184.056870548629</v>
      </c>
      <c r="O141">
        <f t="shared" si="26"/>
        <v>112618.93314554862</v>
      </c>
      <c r="P141">
        <f t="shared" si="27"/>
        <v>0</v>
      </c>
      <c r="Q141">
        <f t="shared" si="28"/>
        <v>53278.607764624503</v>
      </c>
      <c r="R141">
        <f t="shared" si="29"/>
        <v>73214.395635375506</v>
      </c>
      <c r="S141">
        <f t="shared" si="30"/>
        <v>126493.00340000002</v>
      </c>
    </row>
    <row r="142" spans="1:19" x14ac:dyDescent="0.3">
      <c r="A142" t="s">
        <v>13</v>
      </c>
      <c r="B142" t="s">
        <v>25</v>
      </c>
      <c r="C142" t="s">
        <v>15</v>
      </c>
      <c r="D142">
        <v>22</v>
      </c>
      <c r="E142">
        <v>6</v>
      </c>
      <c r="F142">
        <v>0</v>
      </c>
      <c r="G142">
        <v>20251210</v>
      </c>
      <c r="H142">
        <v>20260106</v>
      </c>
      <c r="I142">
        <v>39679.243999999999</v>
      </c>
      <c r="J142">
        <f t="shared" si="21"/>
        <v>28</v>
      </c>
      <c r="K142">
        <f t="shared" si="22"/>
        <v>1417.1158571428571</v>
      </c>
      <c r="L142">
        <f t="shared" si="23"/>
        <v>26335.629736838415</v>
      </c>
      <c r="M142">
        <f t="shared" si="24"/>
        <v>8502.6951428571429</v>
      </c>
      <c r="N142">
        <f t="shared" si="25"/>
        <v>0</v>
      </c>
      <c r="O142">
        <f t="shared" si="26"/>
        <v>34838.32487969556</v>
      </c>
      <c r="P142">
        <f t="shared" si="27"/>
        <v>29995.066692506221</v>
      </c>
      <c r="Q142">
        <f t="shared" si="28"/>
        <v>9684.1773074937719</v>
      </c>
      <c r="R142">
        <f t="shared" si="29"/>
        <v>0</v>
      </c>
      <c r="S142">
        <f t="shared" si="30"/>
        <v>39679.243999999992</v>
      </c>
    </row>
    <row r="143" spans="1:19" x14ac:dyDescent="0.3">
      <c r="A143" t="s">
        <v>13</v>
      </c>
      <c r="B143" t="s">
        <v>16</v>
      </c>
      <c r="C143" t="s">
        <v>15</v>
      </c>
      <c r="D143">
        <v>31</v>
      </c>
      <c r="E143">
        <v>7</v>
      </c>
      <c r="F143">
        <v>0</v>
      </c>
      <c r="G143">
        <v>20251126</v>
      </c>
      <c r="H143">
        <v>20260107</v>
      </c>
      <c r="I143">
        <v>771.9271</v>
      </c>
      <c r="J143">
        <f t="shared" si="21"/>
        <v>38</v>
      </c>
      <c r="K143">
        <f t="shared" si="22"/>
        <v>20.31387105263158</v>
      </c>
      <c r="L143">
        <f t="shared" si="23"/>
        <v>531.94907042072782</v>
      </c>
      <c r="M143">
        <f t="shared" si="24"/>
        <v>142.19709736842105</v>
      </c>
      <c r="N143">
        <f t="shared" si="25"/>
        <v>0</v>
      </c>
      <c r="O143">
        <f t="shared" si="26"/>
        <v>674.14616778914888</v>
      </c>
      <c r="P143">
        <f t="shared" si="27"/>
        <v>609.10515092625837</v>
      </c>
      <c r="Q143">
        <f t="shared" si="28"/>
        <v>162.82194907374165</v>
      </c>
      <c r="R143">
        <f t="shared" si="29"/>
        <v>0</v>
      </c>
      <c r="S143">
        <f t="shared" si="30"/>
        <v>771.9271</v>
      </c>
    </row>
    <row r="144" spans="1:19" x14ac:dyDescent="0.3">
      <c r="A144" t="s">
        <v>13</v>
      </c>
      <c r="B144" t="s">
        <v>25</v>
      </c>
      <c r="C144" t="s">
        <v>15</v>
      </c>
      <c r="D144">
        <v>16</v>
      </c>
      <c r="E144">
        <v>6</v>
      </c>
      <c r="F144">
        <v>0</v>
      </c>
      <c r="G144">
        <v>20251216</v>
      </c>
      <c r="H144">
        <v>20260106</v>
      </c>
      <c r="I144">
        <v>6086.2003000000004</v>
      </c>
      <c r="J144">
        <f t="shared" si="21"/>
        <v>22</v>
      </c>
      <c r="K144">
        <f t="shared" si="22"/>
        <v>276.64546818181822</v>
      </c>
      <c r="L144">
        <f t="shared" si="23"/>
        <v>3739.0322587890764</v>
      </c>
      <c r="M144">
        <f t="shared" si="24"/>
        <v>1659.8728090909094</v>
      </c>
      <c r="N144">
        <f t="shared" si="25"/>
        <v>0</v>
      </c>
      <c r="O144">
        <f t="shared" si="26"/>
        <v>5398.9050678799858</v>
      </c>
      <c r="P144">
        <f t="shared" si="27"/>
        <v>4215.0211883773063</v>
      </c>
      <c r="Q144">
        <f t="shared" si="28"/>
        <v>1871.1791116226948</v>
      </c>
      <c r="R144">
        <f t="shared" si="29"/>
        <v>0</v>
      </c>
      <c r="S144">
        <f t="shared" si="30"/>
        <v>6086.2003000000013</v>
      </c>
    </row>
    <row r="145" spans="1:19" x14ac:dyDescent="0.3">
      <c r="A145" t="s">
        <v>13</v>
      </c>
      <c r="B145" t="s">
        <v>25</v>
      </c>
      <c r="C145" t="s">
        <v>14</v>
      </c>
      <c r="D145">
        <v>1</v>
      </c>
      <c r="E145">
        <v>31</v>
      </c>
      <c r="F145">
        <v>1</v>
      </c>
      <c r="G145">
        <v>20251231</v>
      </c>
      <c r="H145">
        <v>20260201</v>
      </c>
      <c r="I145">
        <v>2477.3868000000002</v>
      </c>
      <c r="J145">
        <f t="shared" si="21"/>
        <v>33</v>
      </c>
      <c r="K145">
        <f t="shared" si="22"/>
        <v>75.072327272727279</v>
      </c>
      <c r="L145">
        <f t="shared" si="23"/>
        <v>63.41551861935271</v>
      </c>
      <c r="M145">
        <f t="shared" si="24"/>
        <v>2327.2421454545456</v>
      </c>
      <c r="N145">
        <f t="shared" si="25"/>
        <v>61.89773307698875</v>
      </c>
      <c r="O145">
        <f t="shared" si="26"/>
        <v>2452.5553971508871</v>
      </c>
      <c r="P145">
        <f t="shared" si="27"/>
        <v>64.057582114249456</v>
      </c>
      <c r="Q145">
        <f t="shared" si="28"/>
        <v>2350.804788446565</v>
      </c>
      <c r="R145">
        <f t="shared" si="29"/>
        <v>62.524429439185951</v>
      </c>
      <c r="S145">
        <f t="shared" si="30"/>
        <v>2477.3868000000002</v>
      </c>
    </row>
    <row r="146" spans="1:19" x14ac:dyDescent="0.3">
      <c r="A146" t="s">
        <v>13</v>
      </c>
      <c r="B146" t="s">
        <v>25</v>
      </c>
      <c r="C146" t="s">
        <v>15</v>
      </c>
      <c r="D146">
        <v>9</v>
      </c>
      <c r="E146">
        <v>1</v>
      </c>
      <c r="F146">
        <v>0</v>
      </c>
      <c r="G146">
        <v>20251223</v>
      </c>
      <c r="H146">
        <v>20260101</v>
      </c>
      <c r="I146">
        <v>125.9807</v>
      </c>
      <c r="J146">
        <f t="shared" si="21"/>
        <v>10</v>
      </c>
      <c r="K146">
        <f t="shared" si="22"/>
        <v>12.59807</v>
      </c>
      <c r="L146">
        <f t="shared" si="23"/>
        <v>95.777213056884747</v>
      </c>
      <c r="M146">
        <f t="shared" si="24"/>
        <v>12.59807</v>
      </c>
      <c r="N146">
        <f t="shared" si="25"/>
        <v>0</v>
      </c>
      <c r="O146">
        <f t="shared" si="26"/>
        <v>108.37528305688474</v>
      </c>
      <c r="P146">
        <f t="shared" si="27"/>
        <v>111.33609070826745</v>
      </c>
      <c r="Q146">
        <f t="shared" si="28"/>
        <v>14.644609291732554</v>
      </c>
      <c r="R146">
        <f t="shared" si="29"/>
        <v>0</v>
      </c>
      <c r="S146">
        <f t="shared" si="30"/>
        <v>125.9807</v>
      </c>
    </row>
    <row r="147" spans="1:19" x14ac:dyDescent="0.3">
      <c r="A147" t="s">
        <v>13</v>
      </c>
      <c r="B147" t="s">
        <v>25</v>
      </c>
      <c r="C147" t="s">
        <v>15</v>
      </c>
      <c r="D147">
        <v>5</v>
      </c>
      <c r="E147">
        <v>31</v>
      </c>
      <c r="F147">
        <v>3</v>
      </c>
      <c r="G147">
        <v>20251227</v>
      </c>
      <c r="H147">
        <v>20260203</v>
      </c>
      <c r="I147">
        <v>77417.805600000007</v>
      </c>
      <c r="J147">
        <f t="shared" si="21"/>
        <v>39</v>
      </c>
      <c r="K147">
        <f t="shared" si="22"/>
        <v>1985.0719384615386</v>
      </c>
      <c r="L147">
        <f t="shared" si="23"/>
        <v>8384.2056752111839</v>
      </c>
      <c r="M147">
        <f t="shared" si="24"/>
        <v>61537.230092307698</v>
      </c>
      <c r="N147">
        <f t="shared" si="25"/>
        <v>4910.122975372994</v>
      </c>
      <c r="O147">
        <f t="shared" si="26"/>
        <v>74831.558742891881</v>
      </c>
      <c r="P147">
        <f t="shared" si="27"/>
        <v>8673.9714630837061</v>
      </c>
      <c r="Q147">
        <f t="shared" si="28"/>
        <v>63664.012837381648</v>
      </c>
      <c r="R147">
        <f t="shared" si="29"/>
        <v>5079.8212995346439</v>
      </c>
      <c r="S147">
        <f t="shared" si="30"/>
        <v>77417.805599999992</v>
      </c>
    </row>
    <row r="148" spans="1:19" x14ac:dyDescent="0.3">
      <c r="A148" t="s">
        <v>13</v>
      </c>
      <c r="B148" t="s">
        <v>25</v>
      </c>
      <c r="C148" t="s">
        <v>15</v>
      </c>
      <c r="D148">
        <v>17</v>
      </c>
      <c r="E148">
        <v>2</v>
      </c>
      <c r="F148">
        <v>0</v>
      </c>
      <c r="G148">
        <v>20251215</v>
      </c>
      <c r="H148">
        <v>20260102</v>
      </c>
      <c r="I148">
        <v>24566.232</v>
      </c>
      <c r="J148">
        <f t="shared" si="21"/>
        <v>19</v>
      </c>
      <c r="K148">
        <f t="shared" si="22"/>
        <v>1292.9595789473685</v>
      </c>
      <c r="L148">
        <f t="shared" si="23"/>
        <v>18567.333516035884</v>
      </c>
      <c r="M148">
        <f t="shared" si="24"/>
        <v>2585.9191578947371</v>
      </c>
      <c r="N148">
        <f t="shared" si="25"/>
        <v>0</v>
      </c>
      <c r="O148">
        <f t="shared" si="26"/>
        <v>21153.252673930619</v>
      </c>
      <c r="P148">
        <f t="shared" si="27"/>
        <v>21563.086765301563</v>
      </c>
      <c r="Q148">
        <f t="shared" si="28"/>
        <v>3003.1452346984383</v>
      </c>
      <c r="R148">
        <f t="shared" si="29"/>
        <v>0</v>
      </c>
      <c r="S148">
        <f t="shared" si="30"/>
        <v>24566.232</v>
      </c>
    </row>
    <row r="149" spans="1:19" x14ac:dyDescent="0.3">
      <c r="A149" t="s">
        <v>13</v>
      </c>
      <c r="B149" t="s">
        <v>25</v>
      </c>
      <c r="C149" t="s">
        <v>15</v>
      </c>
      <c r="D149">
        <v>6</v>
      </c>
      <c r="E149">
        <v>31</v>
      </c>
      <c r="F149">
        <v>2</v>
      </c>
      <c r="G149">
        <v>20251226</v>
      </c>
      <c r="H149">
        <v>20260202</v>
      </c>
      <c r="I149">
        <v>230566.33979999999</v>
      </c>
      <c r="J149">
        <f t="shared" si="21"/>
        <v>39</v>
      </c>
      <c r="K149">
        <f t="shared" si="22"/>
        <v>5911.9574307692301</v>
      </c>
      <c r="L149">
        <f t="shared" si="23"/>
        <v>29963.891634724863</v>
      </c>
      <c r="M149">
        <f t="shared" si="24"/>
        <v>183270.68035384614</v>
      </c>
      <c r="N149">
        <f t="shared" si="25"/>
        <v>9748.9121839230284</v>
      </c>
      <c r="O149">
        <f t="shared" si="26"/>
        <v>222983.48417249403</v>
      </c>
      <c r="P149">
        <f t="shared" si="27"/>
        <v>30982.854385026974</v>
      </c>
      <c r="Q149">
        <f t="shared" si="28"/>
        <v>189503.04825784283</v>
      </c>
      <c r="R149">
        <f t="shared" si="29"/>
        <v>10080.437157130174</v>
      </c>
      <c r="S149">
        <f t="shared" si="30"/>
        <v>230566.33979999996</v>
      </c>
    </row>
    <row r="150" spans="1:19" x14ac:dyDescent="0.3">
      <c r="A150" t="s">
        <v>13</v>
      </c>
      <c r="B150" t="s">
        <v>25</v>
      </c>
      <c r="C150" t="s">
        <v>15</v>
      </c>
      <c r="D150">
        <v>5</v>
      </c>
      <c r="E150">
        <v>29</v>
      </c>
      <c r="F150">
        <v>0</v>
      </c>
      <c r="G150">
        <v>20251227</v>
      </c>
      <c r="H150">
        <v>20260129</v>
      </c>
      <c r="I150">
        <v>461.82040000000001</v>
      </c>
      <c r="J150">
        <f t="shared" si="21"/>
        <v>34</v>
      </c>
      <c r="K150">
        <f t="shared" si="22"/>
        <v>13.582952941176471</v>
      </c>
      <c r="L150">
        <f t="shared" si="23"/>
        <v>57.369342102432178</v>
      </c>
      <c r="M150">
        <f t="shared" si="24"/>
        <v>393.90563529411764</v>
      </c>
      <c r="N150">
        <f t="shared" si="25"/>
        <v>0</v>
      </c>
      <c r="O150">
        <f t="shared" si="26"/>
        <v>451.27497739654984</v>
      </c>
      <c r="P150">
        <f t="shared" si="27"/>
        <v>58.709952566682304</v>
      </c>
      <c r="Q150">
        <f t="shared" si="28"/>
        <v>403.11044743331769</v>
      </c>
      <c r="R150">
        <f t="shared" si="29"/>
        <v>0</v>
      </c>
      <c r="S150">
        <f t="shared" si="30"/>
        <v>461.82040000000001</v>
      </c>
    </row>
    <row r="151" spans="1:19" x14ac:dyDescent="0.3">
      <c r="A151" t="s">
        <v>13</v>
      </c>
      <c r="B151" t="s">
        <v>25</v>
      </c>
      <c r="C151" t="s">
        <v>14</v>
      </c>
      <c r="D151">
        <v>9</v>
      </c>
      <c r="E151">
        <v>2</v>
      </c>
      <c r="F151">
        <v>0</v>
      </c>
      <c r="G151">
        <v>20251223</v>
      </c>
      <c r="H151">
        <v>20260102</v>
      </c>
      <c r="I151">
        <v>41.989600000000003</v>
      </c>
      <c r="J151">
        <f t="shared" si="21"/>
        <v>11</v>
      </c>
      <c r="K151">
        <f t="shared" si="22"/>
        <v>3.817236363636364</v>
      </c>
      <c r="L151">
        <f t="shared" si="23"/>
        <v>29.020656377404471</v>
      </c>
      <c r="M151">
        <f t="shared" si="24"/>
        <v>7.634472727272728</v>
      </c>
      <c r="N151">
        <f t="shared" si="25"/>
        <v>0</v>
      </c>
      <c r="O151">
        <f t="shared" si="26"/>
        <v>36.655129104677201</v>
      </c>
      <c r="P151">
        <f t="shared" si="27"/>
        <v>33.244072051820268</v>
      </c>
      <c r="Q151">
        <f t="shared" si="28"/>
        <v>8.7455279481797366</v>
      </c>
      <c r="R151">
        <f t="shared" si="29"/>
        <v>0</v>
      </c>
      <c r="S151">
        <f t="shared" si="30"/>
        <v>41.989600000000003</v>
      </c>
    </row>
    <row r="152" spans="1:19" x14ac:dyDescent="0.3">
      <c r="A152" t="s">
        <v>13</v>
      </c>
      <c r="B152" t="s">
        <v>25</v>
      </c>
      <c r="C152" t="s">
        <v>15</v>
      </c>
      <c r="D152">
        <v>19</v>
      </c>
      <c r="E152">
        <v>2</v>
      </c>
      <c r="F152">
        <v>0</v>
      </c>
      <c r="G152">
        <v>20251213</v>
      </c>
      <c r="H152">
        <v>20260102</v>
      </c>
      <c r="I152">
        <v>335.988</v>
      </c>
      <c r="J152">
        <f t="shared" si="21"/>
        <v>21</v>
      </c>
      <c r="K152">
        <f t="shared" si="22"/>
        <v>15.999428571428572</v>
      </c>
      <c r="L152">
        <f t="shared" si="23"/>
        <v>256.78741887014218</v>
      </c>
      <c r="M152">
        <f t="shared" si="24"/>
        <v>31.998857142857144</v>
      </c>
      <c r="N152">
        <f t="shared" si="25"/>
        <v>0</v>
      </c>
      <c r="O152">
        <f t="shared" si="26"/>
        <v>288.78627601299934</v>
      </c>
      <c r="P152">
        <f t="shared" si="27"/>
        <v>298.75897318423006</v>
      </c>
      <c r="Q152">
        <f t="shared" si="28"/>
        <v>37.22902681576992</v>
      </c>
      <c r="R152">
        <f t="shared" si="29"/>
        <v>0</v>
      </c>
      <c r="S152">
        <f t="shared" si="30"/>
        <v>335.988</v>
      </c>
    </row>
    <row r="153" spans="1:19" x14ac:dyDescent="0.3">
      <c r="A153" t="s">
        <v>13</v>
      </c>
      <c r="B153" t="s">
        <v>25</v>
      </c>
      <c r="C153" t="s">
        <v>15</v>
      </c>
      <c r="D153">
        <v>21</v>
      </c>
      <c r="E153">
        <v>4</v>
      </c>
      <c r="F153">
        <v>0</v>
      </c>
      <c r="G153">
        <v>20251211</v>
      </c>
      <c r="H153">
        <v>20260104</v>
      </c>
      <c r="I153">
        <v>419.91579999999999</v>
      </c>
      <c r="J153">
        <f t="shared" si="21"/>
        <v>25</v>
      </c>
      <c r="K153">
        <f t="shared" si="22"/>
        <v>16.796631999999999</v>
      </c>
      <c r="L153">
        <f t="shared" si="23"/>
        <v>297.95945495129058</v>
      </c>
      <c r="M153">
        <f t="shared" si="24"/>
        <v>67.186527999999996</v>
      </c>
      <c r="N153">
        <f t="shared" si="25"/>
        <v>0</v>
      </c>
      <c r="O153">
        <f t="shared" si="26"/>
        <v>365.14598295129059</v>
      </c>
      <c r="P153">
        <f t="shared" si="27"/>
        <v>342.6516755905966</v>
      </c>
      <c r="Q153">
        <f t="shared" si="28"/>
        <v>77.264124409403365</v>
      </c>
      <c r="R153">
        <f t="shared" si="29"/>
        <v>0</v>
      </c>
      <c r="S153">
        <f t="shared" si="30"/>
        <v>419.91579999999999</v>
      </c>
    </row>
    <row r="154" spans="1:19" x14ac:dyDescent="0.3">
      <c r="A154" t="s">
        <v>13</v>
      </c>
      <c r="B154" t="s">
        <v>25</v>
      </c>
      <c r="C154" t="s">
        <v>15</v>
      </c>
      <c r="D154">
        <v>21</v>
      </c>
      <c r="E154">
        <v>3</v>
      </c>
      <c r="F154">
        <v>0</v>
      </c>
      <c r="G154">
        <v>20251211</v>
      </c>
      <c r="H154">
        <v>20260103</v>
      </c>
      <c r="I154">
        <v>6299.3302999999996</v>
      </c>
      <c r="J154">
        <f t="shared" si="21"/>
        <v>24</v>
      </c>
      <c r="K154">
        <f t="shared" si="22"/>
        <v>262.4720958333333</v>
      </c>
      <c r="L154">
        <f t="shared" si="23"/>
        <v>4656.0550123633657</v>
      </c>
      <c r="M154">
        <f t="shared" si="24"/>
        <v>787.41628749999995</v>
      </c>
      <c r="N154">
        <f t="shared" si="25"/>
        <v>0</v>
      </c>
      <c r="O154">
        <f t="shared" si="26"/>
        <v>5443.4712998633659</v>
      </c>
      <c r="P154">
        <f t="shared" si="27"/>
        <v>5388.1111522685205</v>
      </c>
      <c r="Q154">
        <f t="shared" si="28"/>
        <v>911.21914773147876</v>
      </c>
      <c r="R154">
        <f t="shared" si="29"/>
        <v>0</v>
      </c>
      <c r="S154">
        <f t="shared" si="30"/>
        <v>6299.3302999999996</v>
      </c>
    </row>
    <row r="155" spans="1:19" x14ac:dyDescent="0.3">
      <c r="A155" t="s">
        <v>13</v>
      </c>
      <c r="B155" t="s">
        <v>25</v>
      </c>
      <c r="C155" t="s">
        <v>15</v>
      </c>
      <c r="D155">
        <v>12</v>
      </c>
      <c r="E155">
        <v>7</v>
      </c>
      <c r="F155">
        <v>0</v>
      </c>
      <c r="G155">
        <v>20251220</v>
      </c>
      <c r="H155">
        <v>20260107</v>
      </c>
      <c r="I155">
        <v>3022.2555000000002</v>
      </c>
      <c r="J155">
        <f t="shared" si="21"/>
        <v>19</v>
      </c>
      <c r="K155">
        <f t="shared" si="22"/>
        <v>159.06607894736842</v>
      </c>
      <c r="L155">
        <f t="shared" si="23"/>
        <v>1612.4063165723378</v>
      </c>
      <c r="M155">
        <f t="shared" si="24"/>
        <v>1113.462552631579</v>
      </c>
      <c r="N155">
        <f t="shared" si="25"/>
        <v>0</v>
      </c>
      <c r="O155">
        <f t="shared" si="26"/>
        <v>2725.8688692039168</v>
      </c>
      <c r="P155">
        <f t="shared" si="27"/>
        <v>1787.7249758968292</v>
      </c>
      <c r="Q155">
        <f t="shared" si="28"/>
        <v>1234.530524103171</v>
      </c>
      <c r="R155">
        <f t="shared" si="29"/>
        <v>0</v>
      </c>
      <c r="S155">
        <f t="shared" si="30"/>
        <v>3022.2555000000002</v>
      </c>
    </row>
    <row r="156" spans="1:19" x14ac:dyDescent="0.3">
      <c r="A156" t="s">
        <v>13</v>
      </c>
      <c r="B156" t="s">
        <v>25</v>
      </c>
      <c r="C156" t="s">
        <v>15</v>
      </c>
      <c r="D156">
        <v>0</v>
      </c>
      <c r="E156">
        <v>17</v>
      </c>
      <c r="F156">
        <v>2</v>
      </c>
      <c r="G156">
        <v>20260115</v>
      </c>
      <c r="H156">
        <v>20260202</v>
      </c>
      <c r="I156">
        <v>4119.9204</v>
      </c>
      <c r="J156">
        <f t="shared" si="21"/>
        <v>19</v>
      </c>
      <c r="K156">
        <f t="shared" si="22"/>
        <v>216.83791578947367</v>
      </c>
      <c r="L156">
        <f t="shared" si="23"/>
        <v>0</v>
      </c>
      <c r="M156">
        <f t="shared" si="24"/>
        <v>3686.2445684210525</v>
      </c>
      <c r="N156">
        <f t="shared" si="25"/>
        <v>357.56918481421178</v>
      </c>
      <c r="O156">
        <f t="shared" si="26"/>
        <v>4043.8137532352644</v>
      </c>
      <c r="P156">
        <f t="shared" si="27"/>
        <v>0</v>
      </c>
      <c r="Q156">
        <f t="shared" si="28"/>
        <v>3755.6215799198617</v>
      </c>
      <c r="R156">
        <f t="shared" si="29"/>
        <v>364.29882008013806</v>
      </c>
      <c r="S156">
        <f t="shared" si="30"/>
        <v>4119.9204</v>
      </c>
    </row>
    <row r="157" spans="1:19" x14ac:dyDescent="0.3">
      <c r="A157" t="s">
        <v>13</v>
      </c>
      <c r="B157" t="s">
        <v>25</v>
      </c>
      <c r="C157" t="s">
        <v>15</v>
      </c>
      <c r="D157">
        <v>0</v>
      </c>
      <c r="E157">
        <v>17</v>
      </c>
      <c r="F157">
        <v>5</v>
      </c>
      <c r="G157">
        <v>20260115</v>
      </c>
      <c r="H157">
        <v>20260205</v>
      </c>
      <c r="I157">
        <v>715.01610000000005</v>
      </c>
      <c r="J157">
        <f t="shared" si="21"/>
        <v>22</v>
      </c>
      <c r="K157">
        <f t="shared" si="22"/>
        <v>32.500731818181819</v>
      </c>
      <c r="L157">
        <f t="shared" si="23"/>
        <v>0</v>
      </c>
      <c r="M157">
        <f t="shared" si="24"/>
        <v>552.51244090909097</v>
      </c>
      <c r="N157">
        <f t="shared" si="25"/>
        <v>133.98556405347003</v>
      </c>
      <c r="O157">
        <f t="shared" si="26"/>
        <v>686.49800496256103</v>
      </c>
      <c r="P157">
        <f t="shared" si="27"/>
        <v>0</v>
      </c>
      <c r="Q157">
        <f t="shared" si="28"/>
        <v>575.46458670603647</v>
      </c>
      <c r="R157">
        <f t="shared" si="29"/>
        <v>139.55151329396361</v>
      </c>
      <c r="S157">
        <f t="shared" si="30"/>
        <v>715.01610000000005</v>
      </c>
    </row>
    <row r="158" spans="1:19" x14ac:dyDescent="0.3">
      <c r="A158" t="s">
        <v>13</v>
      </c>
      <c r="B158" t="s">
        <v>25</v>
      </c>
      <c r="C158" t="s">
        <v>14</v>
      </c>
      <c r="D158">
        <v>0</v>
      </c>
      <c r="E158">
        <v>9</v>
      </c>
      <c r="F158">
        <v>1</v>
      </c>
      <c r="G158">
        <v>20260123</v>
      </c>
      <c r="H158">
        <v>20260201</v>
      </c>
      <c r="I158">
        <v>2397.3505</v>
      </c>
      <c r="J158">
        <f t="shared" si="21"/>
        <v>10</v>
      </c>
      <c r="K158">
        <f t="shared" si="22"/>
        <v>239.73505</v>
      </c>
      <c r="L158">
        <f t="shared" si="23"/>
        <v>0</v>
      </c>
      <c r="M158">
        <f t="shared" si="24"/>
        <v>2157.6154500000002</v>
      </c>
      <c r="N158">
        <f t="shared" si="25"/>
        <v>197.66346233266933</v>
      </c>
      <c r="O158">
        <f t="shared" si="26"/>
        <v>2355.2789123326697</v>
      </c>
      <c r="P158">
        <f t="shared" si="27"/>
        <v>0</v>
      </c>
      <c r="Q158">
        <f t="shared" si="28"/>
        <v>2196.1562389833134</v>
      </c>
      <c r="R158">
        <f t="shared" si="29"/>
        <v>201.1942610166862</v>
      </c>
      <c r="S158">
        <f t="shared" si="30"/>
        <v>2397.3504999999996</v>
      </c>
    </row>
    <row r="159" spans="1:19" x14ac:dyDescent="0.3">
      <c r="A159" t="s">
        <v>13</v>
      </c>
      <c r="B159" t="s">
        <v>25</v>
      </c>
      <c r="C159" t="s">
        <v>15</v>
      </c>
      <c r="D159">
        <v>30</v>
      </c>
      <c r="E159">
        <v>1</v>
      </c>
      <c r="F159">
        <v>0</v>
      </c>
      <c r="G159">
        <v>20251202</v>
      </c>
      <c r="H159">
        <v>20260101</v>
      </c>
      <c r="I159">
        <v>20951472.449999999</v>
      </c>
      <c r="J159">
        <f t="shared" si="21"/>
        <v>31</v>
      </c>
      <c r="K159">
        <f t="shared" si="22"/>
        <v>675853.95</v>
      </c>
      <c r="L159">
        <f t="shared" si="23"/>
        <v>17127334.521474883</v>
      </c>
      <c r="M159">
        <f t="shared" si="24"/>
        <v>675853.95</v>
      </c>
      <c r="N159">
        <f t="shared" si="25"/>
        <v>0</v>
      </c>
      <c r="O159">
        <f t="shared" si="26"/>
        <v>17803188.471474882</v>
      </c>
      <c r="P159">
        <f t="shared" si="27"/>
        <v>20156101.697376855</v>
      </c>
      <c r="Q159">
        <f t="shared" si="28"/>
        <v>795370.752623145</v>
      </c>
      <c r="R159">
        <f t="shared" si="29"/>
        <v>0</v>
      </c>
      <c r="S159">
        <f t="shared" si="30"/>
        <v>20951472.449999999</v>
      </c>
    </row>
    <row r="160" spans="1:19" x14ac:dyDescent="0.3">
      <c r="A160" t="s">
        <v>13</v>
      </c>
      <c r="B160" t="s">
        <v>25</v>
      </c>
      <c r="C160" t="s">
        <v>15</v>
      </c>
      <c r="D160">
        <v>0</v>
      </c>
      <c r="E160">
        <v>29</v>
      </c>
      <c r="F160">
        <v>1</v>
      </c>
      <c r="G160">
        <v>20260103</v>
      </c>
      <c r="H160">
        <v>20260201</v>
      </c>
      <c r="I160">
        <v>7313198.8673</v>
      </c>
      <c r="J160">
        <f t="shared" si="21"/>
        <v>30</v>
      </c>
      <c r="K160">
        <f t="shared" si="22"/>
        <v>243773.29557666666</v>
      </c>
      <c r="L160">
        <f t="shared" si="23"/>
        <v>0</v>
      </c>
      <c r="M160">
        <f t="shared" si="24"/>
        <v>7069425.5717233326</v>
      </c>
      <c r="N160">
        <f t="shared" si="25"/>
        <v>200993.02804462306</v>
      </c>
      <c r="O160">
        <f t="shared" si="26"/>
        <v>7270418.599767956</v>
      </c>
      <c r="P160">
        <f t="shared" si="27"/>
        <v>0</v>
      </c>
      <c r="Q160">
        <f t="shared" si="28"/>
        <v>7111023.165191452</v>
      </c>
      <c r="R160">
        <f t="shared" si="29"/>
        <v>202175.70210854823</v>
      </c>
      <c r="S160">
        <f t="shared" si="30"/>
        <v>7313198.8673</v>
      </c>
    </row>
    <row r="161" spans="1:19" x14ac:dyDescent="0.3">
      <c r="A161" t="s">
        <v>13</v>
      </c>
      <c r="B161" t="s">
        <v>25</v>
      </c>
      <c r="C161" t="s">
        <v>14</v>
      </c>
      <c r="D161">
        <v>14</v>
      </c>
      <c r="E161">
        <v>16</v>
      </c>
      <c r="F161">
        <v>0</v>
      </c>
      <c r="G161">
        <v>20251218</v>
      </c>
      <c r="H161">
        <v>20260116</v>
      </c>
      <c r="I161">
        <v>527017.22679999995</v>
      </c>
      <c r="J161">
        <f t="shared" si="21"/>
        <v>30</v>
      </c>
      <c r="K161">
        <f t="shared" si="22"/>
        <v>17567.240893333332</v>
      </c>
      <c r="L161">
        <f t="shared" si="23"/>
        <v>207752.97974719465</v>
      </c>
      <c r="M161">
        <f t="shared" si="24"/>
        <v>281075.85429333331</v>
      </c>
      <c r="N161">
        <f t="shared" si="25"/>
        <v>0</v>
      </c>
      <c r="O161">
        <f t="shared" si="26"/>
        <v>488828.83404052793</v>
      </c>
      <c r="P161">
        <f t="shared" si="27"/>
        <v>223983.10333045022</v>
      </c>
      <c r="Q161">
        <f t="shared" si="28"/>
        <v>303034.1234695497</v>
      </c>
      <c r="R161">
        <f t="shared" si="29"/>
        <v>0</v>
      </c>
      <c r="S161">
        <f t="shared" si="30"/>
        <v>527017.22679999995</v>
      </c>
    </row>
    <row r="162" spans="1:19" x14ac:dyDescent="0.3">
      <c r="A162" t="s">
        <v>13</v>
      </c>
      <c r="B162" t="s">
        <v>25</v>
      </c>
      <c r="C162" t="s">
        <v>14</v>
      </c>
      <c r="D162">
        <v>0</v>
      </c>
      <c r="E162">
        <v>30</v>
      </c>
      <c r="F162">
        <v>2</v>
      </c>
      <c r="G162">
        <v>20260102</v>
      </c>
      <c r="H162">
        <v>20260202</v>
      </c>
      <c r="I162">
        <v>1021131.3975</v>
      </c>
      <c r="J162">
        <f t="shared" si="21"/>
        <v>32</v>
      </c>
      <c r="K162">
        <f t="shared" si="22"/>
        <v>31910.356171874999</v>
      </c>
      <c r="L162">
        <f t="shared" si="23"/>
        <v>0</v>
      </c>
      <c r="M162">
        <f t="shared" si="24"/>
        <v>957310.68515624991</v>
      </c>
      <c r="N162">
        <f t="shared" si="25"/>
        <v>52620.686755661933</v>
      </c>
      <c r="O162">
        <f t="shared" si="26"/>
        <v>1009931.3719119119</v>
      </c>
      <c r="P162">
        <f t="shared" si="27"/>
        <v>0</v>
      </c>
      <c r="Q162">
        <f t="shared" si="28"/>
        <v>967927.15323288995</v>
      </c>
      <c r="R162">
        <f t="shared" si="29"/>
        <v>53204.244267109934</v>
      </c>
      <c r="S162">
        <f t="shared" si="30"/>
        <v>1021131.3974999998</v>
      </c>
    </row>
    <row r="163" spans="1:19" x14ac:dyDescent="0.3">
      <c r="A163" t="s">
        <v>13</v>
      </c>
      <c r="B163" t="s">
        <v>25</v>
      </c>
      <c r="C163" t="s">
        <v>15</v>
      </c>
      <c r="D163">
        <v>0</v>
      </c>
      <c r="E163">
        <v>25</v>
      </c>
      <c r="F163">
        <v>5</v>
      </c>
      <c r="G163">
        <v>20260107</v>
      </c>
      <c r="H163">
        <v>20260205</v>
      </c>
      <c r="I163">
        <v>4415441.5921</v>
      </c>
      <c r="J163">
        <f t="shared" si="21"/>
        <v>30</v>
      </c>
      <c r="K163">
        <f t="shared" si="22"/>
        <v>147181.38640333334</v>
      </c>
      <c r="L163">
        <f t="shared" si="23"/>
        <v>0</v>
      </c>
      <c r="M163">
        <f t="shared" si="24"/>
        <v>3679534.6600833335</v>
      </c>
      <c r="N163">
        <f t="shared" si="25"/>
        <v>606761.13958733459</v>
      </c>
      <c r="O163">
        <f t="shared" si="26"/>
        <v>4286295.7996706683</v>
      </c>
      <c r="P163">
        <f t="shared" si="27"/>
        <v>0</v>
      </c>
      <c r="Q163">
        <f t="shared" si="28"/>
        <v>3790398.7818465037</v>
      </c>
      <c r="R163">
        <f t="shared" si="29"/>
        <v>625042.81025349617</v>
      </c>
      <c r="S163">
        <f t="shared" si="30"/>
        <v>4415441.5921</v>
      </c>
    </row>
    <row r="164" spans="1:19" x14ac:dyDescent="0.3">
      <c r="A164" t="s">
        <v>13</v>
      </c>
      <c r="B164" t="s">
        <v>25</v>
      </c>
      <c r="C164" t="s">
        <v>15</v>
      </c>
      <c r="D164">
        <v>27</v>
      </c>
      <c r="E164">
        <v>1</v>
      </c>
      <c r="F164">
        <v>0</v>
      </c>
      <c r="G164">
        <v>20251205</v>
      </c>
      <c r="H164">
        <v>20260101</v>
      </c>
      <c r="I164">
        <v>1452250.527</v>
      </c>
      <c r="J164">
        <f t="shared" si="21"/>
        <v>28</v>
      </c>
      <c r="K164">
        <f t="shared" si="22"/>
        <v>51866.090250000001</v>
      </c>
      <c r="L164">
        <f t="shared" si="23"/>
        <v>1182940.6193889689</v>
      </c>
      <c r="M164">
        <f t="shared" si="24"/>
        <v>51866.090250000001</v>
      </c>
      <c r="N164">
        <f t="shared" si="25"/>
        <v>0</v>
      </c>
      <c r="O164">
        <f t="shared" si="26"/>
        <v>1234806.7096389688</v>
      </c>
      <c r="P164">
        <f t="shared" si="27"/>
        <v>1391251.05533288</v>
      </c>
      <c r="Q164">
        <f t="shared" si="28"/>
        <v>60999.471667120088</v>
      </c>
      <c r="R164">
        <f t="shared" si="29"/>
        <v>0</v>
      </c>
      <c r="S164">
        <f t="shared" si="30"/>
        <v>1452250.527</v>
      </c>
    </row>
    <row r="165" spans="1:19" x14ac:dyDescent="0.3">
      <c r="A165" t="s">
        <v>13</v>
      </c>
      <c r="B165" t="s">
        <v>25</v>
      </c>
      <c r="C165" t="s">
        <v>15</v>
      </c>
      <c r="D165">
        <v>30</v>
      </c>
      <c r="E165">
        <v>4</v>
      </c>
      <c r="F165">
        <v>0</v>
      </c>
      <c r="G165">
        <v>20251202</v>
      </c>
      <c r="H165">
        <v>20260104</v>
      </c>
      <c r="I165">
        <v>1930822.6786</v>
      </c>
      <c r="J165">
        <f t="shared" si="21"/>
        <v>34</v>
      </c>
      <c r="K165">
        <f t="shared" si="22"/>
        <v>56788.902311764708</v>
      </c>
      <c r="L165">
        <f t="shared" si="23"/>
        <v>1439131.2309426505</v>
      </c>
      <c r="M165">
        <f t="shared" si="24"/>
        <v>227155.60924705883</v>
      </c>
      <c r="N165">
        <f t="shared" si="25"/>
        <v>0</v>
      </c>
      <c r="O165">
        <f t="shared" si="26"/>
        <v>1666286.8401897093</v>
      </c>
      <c r="P165">
        <f t="shared" si="27"/>
        <v>1667604.3710872992</v>
      </c>
      <c r="Q165">
        <f t="shared" si="28"/>
        <v>263218.30751270056</v>
      </c>
      <c r="R165">
        <f t="shared" si="29"/>
        <v>0</v>
      </c>
      <c r="S165">
        <f t="shared" si="30"/>
        <v>1930822.6785999998</v>
      </c>
    </row>
    <row r="166" spans="1:19" x14ac:dyDescent="0.3">
      <c r="A166" t="s">
        <v>13</v>
      </c>
      <c r="B166" t="s">
        <v>25</v>
      </c>
      <c r="C166" t="s">
        <v>14</v>
      </c>
      <c r="D166">
        <v>26</v>
      </c>
      <c r="E166">
        <v>5</v>
      </c>
      <c r="F166">
        <v>0</v>
      </c>
      <c r="G166">
        <v>20251206</v>
      </c>
      <c r="H166">
        <v>20260105</v>
      </c>
      <c r="I166">
        <v>634867.20250000001</v>
      </c>
      <c r="J166">
        <f t="shared" si="21"/>
        <v>31</v>
      </c>
      <c r="K166">
        <f t="shared" si="22"/>
        <v>20479.587177419355</v>
      </c>
      <c r="L166">
        <f t="shared" si="23"/>
        <v>449790.43434278417</v>
      </c>
      <c r="M166">
        <f t="shared" si="24"/>
        <v>102397.93588709677</v>
      </c>
      <c r="N166">
        <f t="shared" si="25"/>
        <v>0</v>
      </c>
      <c r="O166">
        <f t="shared" si="26"/>
        <v>552188.37022988091</v>
      </c>
      <c r="P166">
        <f t="shared" si="27"/>
        <v>517137.28531367535</v>
      </c>
      <c r="Q166">
        <f t="shared" si="28"/>
        <v>117729.9171863247</v>
      </c>
      <c r="R166">
        <f t="shared" si="29"/>
        <v>0</v>
      </c>
      <c r="S166">
        <f t="shared" si="30"/>
        <v>634867.20250000001</v>
      </c>
    </row>
    <row r="167" spans="1:19" x14ac:dyDescent="0.3">
      <c r="A167" t="s">
        <v>13</v>
      </c>
      <c r="B167" t="s">
        <v>25</v>
      </c>
      <c r="C167" t="s">
        <v>14</v>
      </c>
      <c r="D167">
        <v>0</v>
      </c>
      <c r="E167">
        <v>25</v>
      </c>
      <c r="F167">
        <v>5</v>
      </c>
      <c r="G167">
        <v>20260107</v>
      </c>
      <c r="H167">
        <v>20260205</v>
      </c>
      <c r="I167">
        <v>841098.94889999996</v>
      </c>
      <c r="J167">
        <f t="shared" si="21"/>
        <v>30</v>
      </c>
      <c r="K167">
        <f t="shared" si="22"/>
        <v>28036.63163</v>
      </c>
      <c r="L167">
        <f t="shared" si="23"/>
        <v>0</v>
      </c>
      <c r="M167">
        <f t="shared" si="24"/>
        <v>700915.79075000004</v>
      </c>
      <c r="N167">
        <f t="shared" si="25"/>
        <v>115582.13286149502</v>
      </c>
      <c r="O167">
        <f t="shared" si="26"/>
        <v>816497.92361149506</v>
      </c>
      <c r="P167">
        <f t="shared" si="27"/>
        <v>0</v>
      </c>
      <c r="Q167">
        <f t="shared" si="28"/>
        <v>722034.33446543734</v>
      </c>
      <c r="R167">
        <f t="shared" si="29"/>
        <v>119064.61443456259</v>
      </c>
      <c r="S167">
        <f t="shared" si="30"/>
        <v>841098.94889999996</v>
      </c>
    </row>
    <row r="168" spans="1:19" x14ac:dyDescent="0.3">
      <c r="A168" t="s">
        <v>13</v>
      </c>
      <c r="B168" t="s">
        <v>25</v>
      </c>
      <c r="C168" t="s">
        <v>14</v>
      </c>
      <c r="D168">
        <v>0</v>
      </c>
      <c r="E168">
        <v>26</v>
      </c>
      <c r="F168">
        <v>5</v>
      </c>
      <c r="G168">
        <v>20260106</v>
      </c>
      <c r="H168">
        <v>20260205</v>
      </c>
      <c r="I168">
        <v>759416.48930000002</v>
      </c>
      <c r="J168">
        <f t="shared" si="21"/>
        <v>31</v>
      </c>
      <c r="K168">
        <f t="shared" si="22"/>
        <v>24497.306106451615</v>
      </c>
      <c r="L168">
        <f t="shared" si="23"/>
        <v>0</v>
      </c>
      <c r="M168">
        <f t="shared" si="24"/>
        <v>636929.95876774203</v>
      </c>
      <c r="N168">
        <f t="shared" si="25"/>
        <v>100991.12213304789</v>
      </c>
      <c r="O168">
        <f t="shared" si="26"/>
        <v>737921.08090078994</v>
      </c>
      <c r="P168">
        <f t="shared" si="27"/>
        <v>0</v>
      </c>
      <c r="Q168">
        <f t="shared" si="28"/>
        <v>655483.52762457938</v>
      </c>
      <c r="R168">
        <f t="shared" si="29"/>
        <v>103932.96167542061</v>
      </c>
      <c r="S168">
        <f t="shared" si="30"/>
        <v>759416.48930000002</v>
      </c>
    </row>
    <row r="169" spans="1:19" x14ac:dyDescent="0.3">
      <c r="A169" t="s">
        <v>13</v>
      </c>
      <c r="B169" t="s">
        <v>25</v>
      </c>
      <c r="C169" t="s">
        <v>15</v>
      </c>
      <c r="D169">
        <v>0</v>
      </c>
      <c r="E169">
        <v>16</v>
      </c>
      <c r="F169">
        <v>20</v>
      </c>
      <c r="G169">
        <v>20260116</v>
      </c>
      <c r="H169">
        <v>20260220</v>
      </c>
      <c r="I169">
        <v>568810.85719999997</v>
      </c>
      <c r="J169">
        <f t="shared" si="21"/>
        <v>36</v>
      </c>
      <c r="K169">
        <f t="shared" si="22"/>
        <v>15800.301588888888</v>
      </c>
      <c r="L169">
        <f t="shared" si="23"/>
        <v>0</v>
      </c>
      <c r="M169">
        <f t="shared" si="24"/>
        <v>252804.8254222222</v>
      </c>
      <c r="N169">
        <f t="shared" si="25"/>
        <v>260549.49561694494</v>
      </c>
      <c r="O169">
        <f t="shared" si="26"/>
        <v>513354.32103916712</v>
      </c>
      <c r="P169">
        <f t="shared" si="27"/>
        <v>0</v>
      </c>
      <c r="Q169">
        <f t="shared" si="28"/>
        <v>280114.7736744954</v>
      </c>
      <c r="R169">
        <f t="shared" si="29"/>
        <v>288696.08352550457</v>
      </c>
      <c r="S169">
        <f t="shared" si="30"/>
        <v>568810.85719999997</v>
      </c>
    </row>
    <row r="170" spans="1:19" x14ac:dyDescent="0.3">
      <c r="A170" t="s">
        <v>13</v>
      </c>
      <c r="B170" t="s">
        <v>25</v>
      </c>
      <c r="C170" t="s">
        <v>14</v>
      </c>
      <c r="D170">
        <v>0</v>
      </c>
      <c r="E170">
        <v>30</v>
      </c>
      <c r="F170">
        <v>5</v>
      </c>
      <c r="G170">
        <v>20260102</v>
      </c>
      <c r="H170">
        <v>20260205</v>
      </c>
      <c r="I170">
        <v>98656.563500000004</v>
      </c>
      <c r="J170">
        <f t="shared" si="21"/>
        <v>35</v>
      </c>
      <c r="K170">
        <f t="shared" si="22"/>
        <v>2818.7589571428571</v>
      </c>
      <c r="L170">
        <f t="shared" si="23"/>
        <v>0</v>
      </c>
      <c r="M170">
        <f t="shared" si="24"/>
        <v>84562.768714285718</v>
      </c>
      <c r="N170">
        <f t="shared" si="25"/>
        <v>11620.446299989955</v>
      </c>
      <c r="O170">
        <f t="shared" si="26"/>
        <v>96183.215014275673</v>
      </c>
      <c r="P170">
        <f t="shared" si="27"/>
        <v>0</v>
      </c>
      <c r="Q170">
        <f t="shared" si="28"/>
        <v>86737.297772366102</v>
      </c>
      <c r="R170">
        <f t="shared" si="29"/>
        <v>11919.265727633907</v>
      </c>
      <c r="S170">
        <f t="shared" si="30"/>
        <v>98656.563500000004</v>
      </c>
    </row>
    <row r="171" spans="1:19" x14ac:dyDescent="0.3">
      <c r="A171" t="s">
        <v>13</v>
      </c>
      <c r="B171" t="s">
        <v>25</v>
      </c>
      <c r="C171" t="s">
        <v>14</v>
      </c>
      <c r="D171">
        <v>0</v>
      </c>
      <c r="E171">
        <v>24</v>
      </c>
      <c r="F171">
        <v>3</v>
      </c>
      <c r="G171">
        <v>20260108</v>
      </c>
      <c r="H171">
        <v>20260203</v>
      </c>
      <c r="I171">
        <v>386576.5931</v>
      </c>
      <c r="J171">
        <f t="shared" si="21"/>
        <v>27</v>
      </c>
      <c r="K171">
        <f t="shared" si="22"/>
        <v>14317.651596296297</v>
      </c>
      <c r="L171">
        <f t="shared" si="23"/>
        <v>0</v>
      </c>
      <c r="M171">
        <f t="shared" si="24"/>
        <v>343623.63831111114</v>
      </c>
      <c r="N171">
        <f t="shared" si="25"/>
        <v>35415.054081538714</v>
      </c>
      <c r="O171">
        <f t="shared" si="26"/>
        <v>379038.69239264983</v>
      </c>
      <c r="P171">
        <f t="shared" si="27"/>
        <v>0</v>
      </c>
      <c r="Q171">
        <f t="shared" si="28"/>
        <v>350457.24374051241</v>
      </c>
      <c r="R171">
        <f t="shared" si="29"/>
        <v>36119.349359487635</v>
      </c>
      <c r="S171">
        <f t="shared" si="30"/>
        <v>386576.59310000006</v>
      </c>
    </row>
    <row r="172" spans="1:19" x14ac:dyDescent="0.3">
      <c r="A172" t="s">
        <v>13</v>
      </c>
      <c r="B172" t="s">
        <v>25</v>
      </c>
      <c r="C172" t="s">
        <v>14</v>
      </c>
      <c r="D172">
        <v>28</v>
      </c>
      <c r="E172">
        <v>2</v>
      </c>
      <c r="F172">
        <v>0</v>
      </c>
      <c r="G172">
        <v>20251204</v>
      </c>
      <c r="H172">
        <v>20260102</v>
      </c>
      <c r="I172">
        <v>975770.3186</v>
      </c>
      <c r="J172">
        <f t="shared" si="21"/>
        <v>30</v>
      </c>
      <c r="K172">
        <f t="shared" si="22"/>
        <v>32525.677286666665</v>
      </c>
      <c r="L172">
        <f t="shared" si="23"/>
        <v>769307.64661683538</v>
      </c>
      <c r="M172">
        <f t="shared" si="24"/>
        <v>65051.35457333333</v>
      </c>
      <c r="N172">
        <f t="shared" si="25"/>
        <v>0</v>
      </c>
      <c r="O172">
        <f t="shared" si="26"/>
        <v>834359.00119016867</v>
      </c>
      <c r="P172">
        <f t="shared" si="27"/>
        <v>899693.73659292748</v>
      </c>
      <c r="Q172">
        <f t="shared" si="28"/>
        <v>76076.582007072575</v>
      </c>
      <c r="R172">
        <f t="shared" si="29"/>
        <v>0</v>
      </c>
      <c r="S172">
        <f t="shared" si="30"/>
        <v>975770.31860000012</v>
      </c>
    </row>
    <row r="173" spans="1:19" x14ac:dyDescent="0.3">
      <c r="A173" t="s">
        <v>13</v>
      </c>
      <c r="B173" t="s">
        <v>25</v>
      </c>
      <c r="C173" t="s">
        <v>14</v>
      </c>
      <c r="D173">
        <v>14</v>
      </c>
      <c r="E173">
        <v>15</v>
      </c>
      <c r="F173">
        <v>0</v>
      </c>
      <c r="G173">
        <v>20251218</v>
      </c>
      <c r="H173">
        <v>20260115</v>
      </c>
      <c r="I173">
        <v>814419.59629999998</v>
      </c>
      <c r="J173">
        <f t="shared" si="21"/>
        <v>29</v>
      </c>
      <c r="K173">
        <f t="shared" si="22"/>
        <v>28083.434355172412</v>
      </c>
      <c r="L173">
        <f t="shared" si="23"/>
        <v>332119.15315830463</v>
      </c>
      <c r="M173">
        <f t="shared" si="24"/>
        <v>421251.51532758621</v>
      </c>
      <c r="N173">
        <f t="shared" si="25"/>
        <v>0</v>
      </c>
      <c r="O173">
        <f t="shared" si="26"/>
        <v>753370.66848589084</v>
      </c>
      <c r="P173">
        <f t="shared" si="27"/>
        <v>359032.22404755722</v>
      </c>
      <c r="Q173">
        <f t="shared" si="28"/>
        <v>455387.37225244276</v>
      </c>
      <c r="R173">
        <f t="shared" si="29"/>
        <v>0</v>
      </c>
      <c r="S173">
        <f t="shared" si="30"/>
        <v>814419.59629999998</v>
      </c>
    </row>
    <row r="174" spans="1:19" x14ac:dyDescent="0.3">
      <c r="A174" t="s">
        <v>13</v>
      </c>
      <c r="B174" t="s">
        <v>25</v>
      </c>
      <c r="C174" t="s">
        <v>14</v>
      </c>
      <c r="D174">
        <v>0</v>
      </c>
      <c r="E174">
        <v>16</v>
      </c>
      <c r="F174">
        <v>20</v>
      </c>
      <c r="G174">
        <v>20260116</v>
      </c>
      <c r="H174">
        <v>20260220</v>
      </c>
      <c r="I174">
        <v>952855.64339999994</v>
      </c>
      <c r="J174">
        <f t="shared" si="21"/>
        <v>36</v>
      </c>
      <c r="K174">
        <f t="shared" si="22"/>
        <v>26468.212316666664</v>
      </c>
      <c r="L174">
        <f t="shared" si="23"/>
        <v>0</v>
      </c>
      <c r="M174">
        <f t="shared" si="24"/>
        <v>423491.39706666663</v>
      </c>
      <c r="N174">
        <f t="shared" si="25"/>
        <v>436465.04658109322</v>
      </c>
      <c r="O174">
        <f t="shared" si="26"/>
        <v>859956.44364775985</v>
      </c>
      <c r="P174">
        <f t="shared" si="27"/>
        <v>0</v>
      </c>
      <c r="Q174">
        <f t="shared" si="28"/>
        <v>469240.23955753824</v>
      </c>
      <c r="R174">
        <f t="shared" si="29"/>
        <v>483615.4038424617</v>
      </c>
      <c r="S174">
        <f t="shared" si="30"/>
        <v>952855.64339999994</v>
      </c>
    </row>
    <row r="175" spans="1:19" x14ac:dyDescent="0.3">
      <c r="A175" t="s">
        <v>13</v>
      </c>
      <c r="B175" t="s">
        <v>25</v>
      </c>
      <c r="C175" t="s">
        <v>15</v>
      </c>
      <c r="D175">
        <v>25</v>
      </c>
      <c r="E175">
        <v>1</v>
      </c>
      <c r="F175">
        <v>0</v>
      </c>
      <c r="G175">
        <v>20251207</v>
      </c>
      <c r="H175">
        <v>20260101</v>
      </c>
      <c r="I175">
        <v>362231.50880000001</v>
      </c>
      <c r="J175">
        <f t="shared" si="21"/>
        <v>26</v>
      </c>
      <c r="K175">
        <f t="shared" si="22"/>
        <v>13931.981107692309</v>
      </c>
      <c r="L175">
        <f t="shared" si="23"/>
        <v>294217.53641980683</v>
      </c>
      <c r="M175">
        <f t="shared" si="24"/>
        <v>13931.981107692309</v>
      </c>
      <c r="N175">
        <f t="shared" si="25"/>
        <v>0</v>
      </c>
      <c r="O175">
        <f t="shared" si="26"/>
        <v>308149.51752749912</v>
      </c>
      <c r="P175">
        <f t="shared" si="27"/>
        <v>345854.38584454346</v>
      </c>
      <c r="Q175">
        <f t="shared" si="28"/>
        <v>16377.122955456594</v>
      </c>
      <c r="R175">
        <f t="shared" si="29"/>
        <v>0</v>
      </c>
      <c r="S175">
        <f t="shared" si="30"/>
        <v>362231.50880000007</v>
      </c>
    </row>
    <row r="176" spans="1:19" x14ac:dyDescent="0.3">
      <c r="A176" t="s">
        <v>13</v>
      </c>
      <c r="B176" t="s">
        <v>25</v>
      </c>
      <c r="C176" t="s">
        <v>15</v>
      </c>
      <c r="D176">
        <v>28</v>
      </c>
      <c r="E176">
        <v>1</v>
      </c>
      <c r="F176">
        <v>0</v>
      </c>
      <c r="G176">
        <v>20251204</v>
      </c>
      <c r="H176">
        <v>20260101</v>
      </c>
      <c r="I176">
        <v>3415941.4213999999</v>
      </c>
      <c r="J176">
        <f t="shared" si="21"/>
        <v>29</v>
      </c>
      <c r="K176">
        <f t="shared" si="22"/>
        <v>117791.08349655171</v>
      </c>
      <c r="L176">
        <f t="shared" si="23"/>
        <v>2786032.1074490417</v>
      </c>
      <c r="M176">
        <f t="shared" si="24"/>
        <v>117791.08349655171</v>
      </c>
      <c r="N176">
        <f t="shared" si="25"/>
        <v>0</v>
      </c>
      <c r="O176">
        <f t="shared" si="26"/>
        <v>2903823.1909455932</v>
      </c>
      <c r="P176">
        <f t="shared" si="27"/>
        <v>3277376.7035335414</v>
      </c>
      <c r="Q176">
        <f t="shared" si="28"/>
        <v>138564.71786645902</v>
      </c>
      <c r="R176">
        <f t="shared" si="29"/>
        <v>0</v>
      </c>
      <c r="S176">
        <f t="shared" si="30"/>
        <v>3415941.4214000003</v>
      </c>
    </row>
    <row r="177" spans="1:19" x14ac:dyDescent="0.3">
      <c r="A177" t="s">
        <v>13</v>
      </c>
      <c r="B177" t="s">
        <v>25</v>
      </c>
      <c r="C177" t="s">
        <v>14</v>
      </c>
      <c r="D177">
        <v>0</v>
      </c>
      <c r="E177">
        <v>24</v>
      </c>
      <c r="F177">
        <v>5</v>
      </c>
      <c r="G177">
        <v>20260108</v>
      </c>
      <c r="H177">
        <v>20260205</v>
      </c>
      <c r="I177">
        <v>193480.10810000001</v>
      </c>
      <c r="J177">
        <f t="shared" si="21"/>
        <v>29</v>
      </c>
      <c r="K177">
        <f t="shared" si="22"/>
        <v>6671.7278655172422</v>
      </c>
      <c r="L177">
        <f t="shared" si="23"/>
        <v>0</v>
      </c>
      <c r="M177">
        <f t="shared" si="24"/>
        <v>160121.46877241382</v>
      </c>
      <c r="N177">
        <f t="shared" si="25"/>
        <v>27504.464400167763</v>
      </c>
      <c r="O177">
        <f t="shared" si="26"/>
        <v>187625.93317258157</v>
      </c>
      <c r="P177">
        <f t="shared" si="27"/>
        <v>0</v>
      </c>
      <c r="Q177">
        <f t="shared" si="28"/>
        <v>165117.46837640597</v>
      </c>
      <c r="R177">
        <f t="shared" si="29"/>
        <v>28362.639723594028</v>
      </c>
      <c r="S177">
        <f t="shared" si="30"/>
        <v>193480.10810000001</v>
      </c>
    </row>
    <row r="178" spans="1:19" x14ac:dyDescent="0.3">
      <c r="A178" t="s">
        <v>13</v>
      </c>
      <c r="B178" t="s">
        <v>25</v>
      </c>
      <c r="C178" t="s">
        <v>15</v>
      </c>
      <c r="D178">
        <v>0</v>
      </c>
      <c r="E178">
        <v>24</v>
      </c>
      <c r="F178">
        <v>3</v>
      </c>
      <c r="G178">
        <v>20260108</v>
      </c>
      <c r="H178">
        <v>20260203</v>
      </c>
      <c r="I178">
        <v>1025510.8744</v>
      </c>
      <c r="J178">
        <f t="shared" si="21"/>
        <v>27</v>
      </c>
      <c r="K178">
        <f t="shared" si="22"/>
        <v>37981.884237037033</v>
      </c>
      <c r="L178">
        <f t="shared" si="23"/>
        <v>0</v>
      </c>
      <c r="M178">
        <f t="shared" si="24"/>
        <v>911565.22168888873</v>
      </c>
      <c r="N178">
        <f t="shared" si="25"/>
        <v>93949.100194711311</v>
      </c>
      <c r="O178">
        <f t="shared" si="26"/>
        <v>1005514.3218836001</v>
      </c>
      <c r="P178">
        <f t="shared" si="27"/>
        <v>0</v>
      </c>
      <c r="Q178">
        <f t="shared" si="28"/>
        <v>929693.41880246066</v>
      </c>
      <c r="R178">
        <f t="shared" si="29"/>
        <v>95817.455597539214</v>
      </c>
      <c r="S178">
        <f t="shared" si="30"/>
        <v>1025510.8743999999</v>
      </c>
    </row>
    <row r="179" spans="1:19" x14ac:dyDescent="0.3">
      <c r="A179" t="s">
        <v>13</v>
      </c>
      <c r="B179" t="s">
        <v>25</v>
      </c>
      <c r="C179" t="s">
        <v>15</v>
      </c>
      <c r="D179">
        <v>15</v>
      </c>
      <c r="E179">
        <v>15</v>
      </c>
      <c r="F179">
        <v>0</v>
      </c>
      <c r="G179">
        <v>20251217</v>
      </c>
      <c r="H179">
        <v>20260115</v>
      </c>
      <c r="I179">
        <v>1420126.3644000001</v>
      </c>
      <c r="J179">
        <f t="shared" si="21"/>
        <v>30</v>
      </c>
      <c r="K179">
        <f t="shared" si="22"/>
        <v>47337.545480000001</v>
      </c>
      <c r="L179">
        <f t="shared" si="23"/>
        <v>599808.56578665506</v>
      </c>
      <c r="M179">
        <f t="shared" si="24"/>
        <v>710063.18220000004</v>
      </c>
      <c r="N179">
        <f t="shared" si="25"/>
        <v>0</v>
      </c>
      <c r="O179">
        <f t="shared" si="26"/>
        <v>1309871.7479866552</v>
      </c>
      <c r="P179">
        <f t="shared" si="27"/>
        <v>650295.69435011491</v>
      </c>
      <c r="Q179">
        <f t="shared" si="28"/>
        <v>769830.67004988506</v>
      </c>
      <c r="R179">
        <f t="shared" si="29"/>
        <v>0</v>
      </c>
      <c r="S179">
        <f t="shared" si="30"/>
        <v>1420126.3643999998</v>
      </c>
    </row>
    <row r="180" spans="1:19" x14ac:dyDescent="0.3">
      <c r="A180" t="s">
        <v>13</v>
      </c>
      <c r="B180" t="s">
        <v>25</v>
      </c>
      <c r="C180" t="s">
        <v>15</v>
      </c>
      <c r="D180">
        <v>0</v>
      </c>
      <c r="E180">
        <v>28</v>
      </c>
      <c r="F180">
        <v>5</v>
      </c>
      <c r="G180">
        <v>20260104</v>
      </c>
      <c r="H180">
        <v>20260205</v>
      </c>
      <c r="I180">
        <v>1198767.7779999999</v>
      </c>
      <c r="J180">
        <f t="shared" si="21"/>
        <v>33</v>
      </c>
      <c r="K180">
        <f t="shared" si="22"/>
        <v>36326.2963030303</v>
      </c>
      <c r="L180">
        <f t="shared" si="23"/>
        <v>0</v>
      </c>
      <c r="M180">
        <f t="shared" si="24"/>
        <v>1017136.2964848484</v>
      </c>
      <c r="N180">
        <f t="shared" si="25"/>
        <v>149756.6063239275</v>
      </c>
      <c r="O180">
        <f t="shared" si="26"/>
        <v>1166892.9028087759</v>
      </c>
      <c r="P180">
        <f t="shared" si="27"/>
        <v>0</v>
      </c>
      <c r="Q180">
        <f t="shared" si="28"/>
        <v>1044920.4165398071</v>
      </c>
      <c r="R180">
        <f t="shared" si="29"/>
        <v>153847.36146019274</v>
      </c>
      <c r="S180">
        <f t="shared" si="30"/>
        <v>1198767.7779999999</v>
      </c>
    </row>
    <row r="181" spans="1:19" x14ac:dyDescent="0.3">
      <c r="A181" t="s">
        <v>13</v>
      </c>
      <c r="B181" t="s">
        <v>25</v>
      </c>
      <c r="C181" t="s">
        <v>15</v>
      </c>
      <c r="D181">
        <v>0</v>
      </c>
      <c r="E181">
        <v>29</v>
      </c>
      <c r="F181">
        <v>5</v>
      </c>
      <c r="G181">
        <v>20260103</v>
      </c>
      <c r="H181">
        <v>20260205</v>
      </c>
      <c r="I181">
        <v>588635.22</v>
      </c>
      <c r="J181">
        <f t="shared" si="21"/>
        <v>34</v>
      </c>
      <c r="K181">
        <f t="shared" si="22"/>
        <v>17312.800588235292</v>
      </c>
      <c r="L181">
        <f t="shared" si="23"/>
        <v>0</v>
      </c>
      <c r="M181">
        <f t="shared" si="24"/>
        <v>502071.21705882344</v>
      </c>
      <c r="N181">
        <f t="shared" si="25"/>
        <v>71372.71139421752</v>
      </c>
      <c r="O181">
        <f t="shared" si="26"/>
        <v>573443.92845304101</v>
      </c>
      <c r="P181">
        <f t="shared" si="27"/>
        <v>0</v>
      </c>
      <c r="Q181">
        <f t="shared" si="28"/>
        <v>515371.7506545884</v>
      </c>
      <c r="R181">
        <f t="shared" si="29"/>
        <v>73263.469345411533</v>
      </c>
      <c r="S181">
        <f t="shared" si="30"/>
        <v>588635.22</v>
      </c>
    </row>
    <row r="182" spans="1:19" x14ac:dyDescent="0.3">
      <c r="A182" t="s">
        <v>13</v>
      </c>
      <c r="B182" t="s">
        <v>25</v>
      </c>
      <c r="C182" t="s">
        <v>15</v>
      </c>
      <c r="D182">
        <v>0</v>
      </c>
      <c r="E182">
        <v>30</v>
      </c>
      <c r="F182">
        <v>9</v>
      </c>
      <c r="G182">
        <v>20260102</v>
      </c>
      <c r="H182">
        <v>20260209</v>
      </c>
      <c r="I182">
        <v>20971.551800000001</v>
      </c>
      <c r="J182">
        <f t="shared" si="21"/>
        <v>39</v>
      </c>
      <c r="K182">
        <f t="shared" si="22"/>
        <v>537.73209743589746</v>
      </c>
      <c r="L182">
        <f t="shared" si="23"/>
        <v>0</v>
      </c>
      <c r="M182">
        <f t="shared" si="24"/>
        <v>16131.962923076924</v>
      </c>
      <c r="N182">
        <f t="shared" si="25"/>
        <v>3990.2796594794545</v>
      </c>
      <c r="O182">
        <f t="shared" si="26"/>
        <v>20122.242582556377</v>
      </c>
      <c r="P182">
        <f t="shared" si="27"/>
        <v>0</v>
      </c>
      <c r="Q182">
        <f t="shared" si="28"/>
        <v>16812.852478493834</v>
      </c>
      <c r="R182">
        <f t="shared" si="29"/>
        <v>4158.6993215061684</v>
      </c>
      <c r="S182">
        <f t="shared" si="30"/>
        <v>20971.551800000001</v>
      </c>
    </row>
    <row r="183" spans="1:19" x14ac:dyDescent="0.3">
      <c r="A183" t="s">
        <v>13</v>
      </c>
      <c r="B183" t="s">
        <v>25</v>
      </c>
      <c r="C183" t="s">
        <v>14</v>
      </c>
      <c r="D183">
        <v>0</v>
      </c>
      <c r="E183">
        <v>27</v>
      </c>
      <c r="F183">
        <v>3</v>
      </c>
      <c r="G183">
        <v>20260105</v>
      </c>
      <c r="H183">
        <v>20260203</v>
      </c>
      <c r="I183">
        <v>124791.3091</v>
      </c>
      <c r="J183">
        <f t="shared" si="21"/>
        <v>30</v>
      </c>
      <c r="K183">
        <f t="shared" si="22"/>
        <v>4159.7103033333333</v>
      </c>
      <c r="L183">
        <f t="shared" si="23"/>
        <v>0</v>
      </c>
      <c r="M183">
        <f t="shared" si="24"/>
        <v>112312.17819000001</v>
      </c>
      <c r="N183">
        <f t="shared" si="25"/>
        <v>10289.143045930223</v>
      </c>
      <c r="O183">
        <f t="shared" si="26"/>
        <v>122601.32123593023</v>
      </c>
      <c r="P183">
        <f t="shared" si="27"/>
        <v>0</v>
      </c>
      <c r="Q183">
        <f t="shared" si="28"/>
        <v>114318.37440994139</v>
      </c>
      <c r="R183">
        <f t="shared" si="29"/>
        <v>10472.934690058617</v>
      </c>
      <c r="S183">
        <f t="shared" si="30"/>
        <v>124791.30910000001</v>
      </c>
    </row>
    <row r="184" spans="1:19" x14ac:dyDescent="0.3">
      <c r="A184" t="s">
        <v>13</v>
      </c>
      <c r="B184" t="s">
        <v>25</v>
      </c>
      <c r="C184" t="s">
        <v>15</v>
      </c>
      <c r="D184">
        <v>0</v>
      </c>
      <c r="E184">
        <v>27</v>
      </c>
      <c r="F184">
        <v>1</v>
      </c>
      <c r="G184">
        <v>20260105</v>
      </c>
      <c r="H184">
        <v>20260201</v>
      </c>
      <c r="I184">
        <v>887932.07129999995</v>
      </c>
      <c r="J184">
        <f t="shared" si="21"/>
        <v>28</v>
      </c>
      <c r="K184">
        <f t="shared" si="22"/>
        <v>31711.859689285713</v>
      </c>
      <c r="L184">
        <f t="shared" si="23"/>
        <v>0</v>
      </c>
      <c r="M184">
        <f t="shared" si="24"/>
        <v>856220.21161071421</v>
      </c>
      <c r="N184">
        <f t="shared" si="25"/>
        <v>26146.681443501988</v>
      </c>
      <c r="O184">
        <f t="shared" si="26"/>
        <v>882366.89305421617</v>
      </c>
      <c r="P184">
        <f t="shared" si="27"/>
        <v>0</v>
      </c>
      <c r="Q184">
        <f t="shared" si="28"/>
        <v>861620.48006226809</v>
      </c>
      <c r="R184">
        <f t="shared" si="29"/>
        <v>26311.591237731853</v>
      </c>
      <c r="S184">
        <f t="shared" si="30"/>
        <v>887932.07129999995</v>
      </c>
    </row>
    <row r="185" spans="1:19" x14ac:dyDescent="0.3">
      <c r="A185" t="s">
        <v>13</v>
      </c>
      <c r="B185" t="s">
        <v>25</v>
      </c>
      <c r="C185" t="s">
        <v>14</v>
      </c>
      <c r="D185">
        <v>28</v>
      </c>
      <c r="E185">
        <v>7</v>
      </c>
      <c r="F185">
        <v>0</v>
      </c>
      <c r="G185">
        <v>20251204</v>
      </c>
      <c r="H185">
        <v>20260107</v>
      </c>
      <c r="I185">
        <v>129791.36500000001</v>
      </c>
      <c r="J185">
        <f t="shared" si="21"/>
        <v>35</v>
      </c>
      <c r="K185">
        <f t="shared" si="22"/>
        <v>3708.3247142857144</v>
      </c>
      <c r="L185">
        <f t="shared" si="23"/>
        <v>87710.473595815463</v>
      </c>
      <c r="M185">
        <f t="shared" si="24"/>
        <v>25958.273000000001</v>
      </c>
      <c r="N185">
        <f t="shared" si="25"/>
        <v>0</v>
      </c>
      <c r="O185">
        <f t="shared" si="26"/>
        <v>113668.74659581546</v>
      </c>
      <c r="P185">
        <f t="shared" si="27"/>
        <v>100151.20632302665</v>
      </c>
      <c r="Q185">
        <f t="shared" si="28"/>
        <v>29640.158676973355</v>
      </c>
      <c r="R185">
        <f t="shared" si="29"/>
        <v>0</v>
      </c>
      <c r="S185">
        <f t="shared" si="30"/>
        <v>129791.36500000001</v>
      </c>
    </row>
    <row r="186" spans="1:19" x14ac:dyDescent="0.3">
      <c r="A186" t="s">
        <v>13</v>
      </c>
      <c r="B186" t="s">
        <v>25</v>
      </c>
      <c r="C186" t="s">
        <v>15</v>
      </c>
      <c r="D186">
        <v>27</v>
      </c>
      <c r="E186">
        <v>2</v>
      </c>
      <c r="F186">
        <v>0</v>
      </c>
      <c r="G186">
        <v>20251205</v>
      </c>
      <c r="H186">
        <v>20260102</v>
      </c>
      <c r="I186">
        <v>1399710.9223</v>
      </c>
      <c r="J186">
        <f t="shared" si="21"/>
        <v>29</v>
      </c>
      <c r="K186">
        <f t="shared" si="22"/>
        <v>48265.893872413792</v>
      </c>
      <c r="L186">
        <f t="shared" si="23"/>
        <v>1100828.8096825536</v>
      </c>
      <c r="M186">
        <f t="shared" si="24"/>
        <v>96531.787744827583</v>
      </c>
      <c r="N186">
        <f t="shared" si="25"/>
        <v>0</v>
      </c>
      <c r="O186">
        <f t="shared" si="26"/>
        <v>1197360.5974273812</v>
      </c>
      <c r="P186">
        <f t="shared" si="27"/>
        <v>1286865.5539574234</v>
      </c>
      <c r="Q186">
        <f t="shared" si="28"/>
        <v>112845.36834257664</v>
      </c>
      <c r="R186">
        <f t="shared" si="29"/>
        <v>0</v>
      </c>
      <c r="S186">
        <f t="shared" si="30"/>
        <v>1399710.9223</v>
      </c>
    </row>
    <row r="187" spans="1:19" x14ac:dyDescent="0.3">
      <c r="A187" t="s">
        <v>13</v>
      </c>
      <c r="B187" t="s">
        <v>25</v>
      </c>
      <c r="C187" t="s">
        <v>14</v>
      </c>
      <c r="D187">
        <v>0</v>
      </c>
      <c r="E187">
        <v>5</v>
      </c>
      <c r="F187">
        <v>0</v>
      </c>
      <c r="G187">
        <v>20260103</v>
      </c>
      <c r="H187">
        <v>20260107</v>
      </c>
      <c r="I187">
        <v>2766.4875999999999</v>
      </c>
      <c r="J187">
        <f t="shared" si="21"/>
        <v>5</v>
      </c>
      <c r="K187">
        <f t="shared" si="22"/>
        <v>553.29751999999996</v>
      </c>
      <c r="L187">
        <f t="shared" si="23"/>
        <v>0</v>
      </c>
      <c r="M187">
        <f t="shared" si="24"/>
        <v>2766.4875999999999</v>
      </c>
      <c r="N187">
        <f t="shared" si="25"/>
        <v>0</v>
      </c>
      <c r="O187">
        <f t="shared" si="26"/>
        <v>2766.4875999999999</v>
      </c>
      <c r="P187">
        <f t="shared" si="27"/>
        <v>0</v>
      </c>
      <c r="Q187">
        <f t="shared" si="28"/>
        <v>2766.4875999999999</v>
      </c>
      <c r="R187">
        <f t="shared" si="29"/>
        <v>0</v>
      </c>
      <c r="S187">
        <f t="shared" si="30"/>
        <v>2766.4875999999999</v>
      </c>
    </row>
    <row r="188" spans="1:19" x14ac:dyDescent="0.3">
      <c r="A188" t="s">
        <v>13</v>
      </c>
      <c r="B188" t="s">
        <v>25</v>
      </c>
      <c r="C188" t="s">
        <v>14</v>
      </c>
      <c r="D188">
        <v>0</v>
      </c>
      <c r="E188">
        <v>30</v>
      </c>
      <c r="F188">
        <v>8</v>
      </c>
      <c r="G188">
        <v>20260102</v>
      </c>
      <c r="H188">
        <v>20260208</v>
      </c>
      <c r="I188">
        <v>21472.8478</v>
      </c>
      <c r="J188">
        <f t="shared" si="21"/>
        <v>38</v>
      </c>
      <c r="K188">
        <f t="shared" si="22"/>
        <v>565.07494210526318</v>
      </c>
      <c r="L188">
        <f t="shared" si="23"/>
        <v>0</v>
      </c>
      <c r="M188">
        <f t="shared" si="24"/>
        <v>16952.248263157897</v>
      </c>
      <c r="N188">
        <f t="shared" si="25"/>
        <v>3727.2704023532306</v>
      </c>
      <c r="O188">
        <f t="shared" si="26"/>
        <v>20679.518665511128</v>
      </c>
      <c r="P188">
        <f t="shared" si="27"/>
        <v>0</v>
      </c>
      <c r="Q188">
        <f t="shared" si="28"/>
        <v>17602.587986232833</v>
      </c>
      <c r="R188">
        <f t="shared" si="29"/>
        <v>3870.2598137671635</v>
      </c>
      <c r="S188">
        <f t="shared" si="30"/>
        <v>21472.847799999996</v>
      </c>
    </row>
    <row r="189" spans="1:19" x14ac:dyDescent="0.3">
      <c r="A189" t="s">
        <v>13</v>
      </c>
      <c r="B189" t="s">
        <v>25</v>
      </c>
      <c r="C189" t="s">
        <v>15</v>
      </c>
      <c r="D189">
        <v>0</v>
      </c>
      <c r="E189">
        <v>16</v>
      </c>
      <c r="F189">
        <v>16</v>
      </c>
      <c r="G189">
        <v>20260116</v>
      </c>
      <c r="H189">
        <v>20260216</v>
      </c>
      <c r="I189">
        <v>441686.31459999998</v>
      </c>
      <c r="J189">
        <f t="shared" si="21"/>
        <v>32</v>
      </c>
      <c r="K189">
        <f t="shared" si="22"/>
        <v>13802.697331249999</v>
      </c>
      <c r="L189">
        <f t="shared" si="23"/>
        <v>0</v>
      </c>
      <c r="M189">
        <f t="shared" si="24"/>
        <v>220843.15729999999</v>
      </c>
      <c r="N189">
        <f t="shared" si="25"/>
        <v>182086.94600308262</v>
      </c>
      <c r="O189">
        <f t="shared" si="26"/>
        <v>402930.10330308264</v>
      </c>
      <c r="P189">
        <f t="shared" si="27"/>
        <v>0</v>
      </c>
      <c r="Q189">
        <f t="shared" si="28"/>
        <v>242085.16428243456</v>
      </c>
      <c r="R189">
        <f t="shared" si="29"/>
        <v>199601.15031756542</v>
      </c>
      <c r="S189">
        <f t="shared" si="30"/>
        <v>441686.31459999998</v>
      </c>
    </row>
    <row r="190" spans="1:19" x14ac:dyDescent="0.3">
      <c r="A190" t="s">
        <v>13</v>
      </c>
      <c r="B190" t="s">
        <v>25</v>
      </c>
      <c r="C190" t="s">
        <v>14</v>
      </c>
      <c r="D190">
        <v>0</v>
      </c>
      <c r="E190">
        <v>24</v>
      </c>
      <c r="F190">
        <v>9</v>
      </c>
      <c r="G190">
        <v>20260108</v>
      </c>
      <c r="H190">
        <v>20260209</v>
      </c>
      <c r="I190">
        <v>34183.3439</v>
      </c>
      <c r="J190">
        <f t="shared" si="21"/>
        <v>33</v>
      </c>
      <c r="K190">
        <f t="shared" si="22"/>
        <v>1035.8589060606062</v>
      </c>
      <c r="L190">
        <f t="shared" si="23"/>
        <v>0</v>
      </c>
      <c r="M190">
        <f t="shared" si="24"/>
        <v>24860.613745454546</v>
      </c>
      <c r="N190">
        <f t="shared" si="25"/>
        <v>7686.6654281075553</v>
      </c>
      <c r="O190">
        <f t="shared" si="26"/>
        <v>32547.279173562099</v>
      </c>
      <c r="P190">
        <f t="shared" si="27"/>
        <v>0</v>
      </c>
      <c r="Q190">
        <f t="shared" si="28"/>
        <v>26110.290346980557</v>
      </c>
      <c r="R190">
        <f t="shared" si="29"/>
        <v>8073.0535530194447</v>
      </c>
      <c r="S190">
        <f t="shared" si="30"/>
        <v>34183.3439</v>
      </c>
    </row>
    <row r="191" spans="1:19" x14ac:dyDescent="0.3">
      <c r="A191" t="s">
        <v>13</v>
      </c>
      <c r="B191" t="s">
        <v>25</v>
      </c>
      <c r="C191" t="s">
        <v>15</v>
      </c>
      <c r="D191">
        <v>0</v>
      </c>
      <c r="E191">
        <v>22</v>
      </c>
      <c r="F191">
        <v>5</v>
      </c>
      <c r="G191">
        <v>20260110</v>
      </c>
      <c r="H191">
        <v>20260205</v>
      </c>
      <c r="I191">
        <v>9797.3932999999997</v>
      </c>
      <c r="J191">
        <f t="shared" si="21"/>
        <v>27</v>
      </c>
      <c r="K191">
        <f t="shared" si="22"/>
        <v>362.86641851851851</v>
      </c>
      <c r="L191">
        <f t="shared" si="23"/>
        <v>0</v>
      </c>
      <c r="M191">
        <f t="shared" si="24"/>
        <v>7983.061207407407</v>
      </c>
      <c r="N191">
        <f t="shared" si="25"/>
        <v>1495.9312926630002</v>
      </c>
      <c r="O191">
        <f t="shared" si="26"/>
        <v>9478.9925000704079</v>
      </c>
      <c r="P191">
        <f t="shared" si="27"/>
        <v>0</v>
      </c>
      <c r="Q191">
        <f t="shared" si="28"/>
        <v>8251.2134476699175</v>
      </c>
      <c r="R191">
        <f t="shared" si="29"/>
        <v>1546.1798523300818</v>
      </c>
      <c r="S191">
        <f t="shared" si="30"/>
        <v>9797.3932999999997</v>
      </c>
    </row>
    <row r="192" spans="1:19" x14ac:dyDescent="0.3">
      <c r="A192" t="s">
        <v>13</v>
      </c>
      <c r="B192" t="s">
        <v>25</v>
      </c>
      <c r="C192" t="s">
        <v>15</v>
      </c>
      <c r="D192">
        <v>0</v>
      </c>
      <c r="E192">
        <v>29</v>
      </c>
      <c r="F192">
        <v>0</v>
      </c>
      <c r="G192">
        <v>20260103</v>
      </c>
      <c r="H192">
        <v>20260131</v>
      </c>
      <c r="I192">
        <v>12344.072700000001</v>
      </c>
      <c r="J192">
        <f t="shared" si="21"/>
        <v>29</v>
      </c>
      <c r="K192">
        <f t="shared" si="22"/>
        <v>425.65767931034486</v>
      </c>
      <c r="L192">
        <f t="shared" si="23"/>
        <v>0</v>
      </c>
      <c r="M192">
        <f t="shared" si="24"/>
        <v>12344.072700000001</v>
      </c>
      <c r="N192">
        <f t="shared" si="25"/>
        <v>0</v>
      </c>
      <c r="O192">
        <f t="shared" si="26"/>
        <v>12344.072700000001</v>
      </c>
      <c r="P192">
        <f t="shared" si="27"/>
        <v>0</v>
      </c>
      <c r="Q192">
        <f t="shared" si="28"/>
        <v>12344.072700000001</v>
      </c>
      <c r="R192">
        <f t="shared" si="29"/>
        <v>0</v>
      </c>
      <c r="S192">
        <f t="shared" si="30"/>
        <v>12344.072700000001</v>
      </c>
    </row>
    <row r="193" spans="1:19" x14ac:dyDescent="0.3">
      <c r="A193" t="s">
        <v>13</v>
      </c>
      <c r="B193" t="s">
        <v>25</v>
      </c>
      <c r="C193" t="s">
        <v>15</v>
      </c>
      <c r="D193">
        <v>24</v>
      </c>
      <c r="E193">
        <v>7</v>
      </c>
      <c r="F193">
        <v>0</v>
      </c>
      <c r="G193">
        <v>20251208</v>
      </c>
      <c r="H193">
        <v>20260107</v>
      </c>
      <c r="I193">
        <v>225678.69649999999</v>
      </c>
      <c r="J193">
        <f t="shared" si="21"/>
        <v>31</v>
      </c>
      <c r="K193">
        <f t="shared" si="22"/>
        <v>7279.9579516129033</v>
      </c>
      <c r="L193">
        <f t="shared" si="23"/>
        <v>147589.60883728831</v>
      </c>
      <c r="M193">
        <f t="shared" si="24"/>
        <v>50959.705661290325</v>
      </c>
      <c r="N193">
        <f t="shared" si="25"/>
        <v>0</v>
      </c>
      <c r="O193">
        <f t="shared" si="26"/>
        <v>198549.31449857863</v>
      </c>
      <c r="P193">
        <f t="shared" si="27"/>
        <v>167755.958379713</v>
      </c>
      <c r="Q193">
        <f t="shared" si="28"/>
        <v>57922.738120286987</v>
      </c>
      <c r="R193">
        <f t="shared" si="29"/>
        <v>0</v>
      </c>
      <c r="S193">
        <f t="shared" si="30"/>
        <v>225678.69649999999</v>
      </c>
    </row>
    <row r="194" spans="1:19" x14ac:dyDescent="0.3">
      <c r="A194" t="s">
        <v>13</v>
      </c>
      <c r="B194" t="s">
        <v>25</v>
      </c>
      <c r="C194" t="s">
        <v>15</v>
      </c>
      <c r="D194">
        <v>0</v>
      </c>
      <c r="E194">
        <v>20</v>
      </c>
      <c r="F194">
        <v>0</v>
      </c>
      <c r="G194">
        <v>20260102</v>
      </c>
      <c r="H194">
        <v>20260121</v>
      </c>
      <c r="I194">
        <v>14224.0915</v>
      </c>
      <c r="J194">
        <f t="shared" si="21"/>
        <v>20</v>
      </c>
      <c r="K194">
        <f t="shared" si="22"/>
        <v>711.20457499999998</v>
      </c>
      <c r="L194">
        <f t="shared" si="23"/>
        <v>0</v>
      </c>
      <c r="M194">
        <f t="shared" si="24"/>
        <v>14224.091499999999</v>
      </c>
      <c r="N194">
        <f t="shared" si="25"/>
        <v>0</v>
      </c>
      <c r="O194">
        <f t="shared" si="26"/>
        <v>14224.091499999999</v>
      </c>
      <c r="P194">
        <f t="shared" si="27"/>
        <v>0</v>
      </c>
      <c r="Q194">
        <f t="shared" si="28"/>
        <v>14224.0915</v>
      </c>
      <c r="R194">
        <f t="shared" si="29"/>
        <v>0</v>
      </c>
      <c r="S194">
        <f t="shared" si="30"/>
        <v>14224.0915</v>
      </c>
    </row>
    <row r="195" spans="1:19" x14ac:dyDescent="0.3">
      <c r="A195" t="s">
        <v>13</v>
      </c>
      <c r="B195" t="s">
        <v>25</v>
      </c>
      <c r="C195" t="s">
        <v>15</v>
      </c>
      <c r="D195">
        <v>0</v>
      </c>
      <c r="E195">
        <v>22</v>
      </c>
      <c r="F195">
        <v>0</v>
      </c>
      <c r="G195">
        <v>20260103</v>
      </c>
      <c r="H195">
        <v>20260124</v>
      </c>
      <c r="I195">
        <v>2560.2206999999999</v>
      </c>
      <c r="J195">
        <f t="shared" si="21"/>
        <v>22</v>
      </c>
      <c r="K195">
        <f t="shared" si="22"/>
        <v>116.37366818181818</v>
      </c>
      <c r="L195">
        <f t="shared" si="23"/>
        <v>0</v>
      </c>
      <c r="M195">
        <f t="shared" si="24"/>
        <v>2560.2206999999999</v>
      </c>
      <c r="N195">
        <f t="shared" si="25"/>
        <v>0</v>
      </c>
      <c r="O195">
        <f t="shared" si="26"/>
        <v>2560.2206999999999</v>
      </c>
      <c r="P195">
        <f t="shared" si="27"/>
        <v>0</v>
      </c>
      <c r="Q195">
        <f t="shared" si="28"/>
        <v>2560.2206999999999</v>
      </c>
      <c r="R195">
        <f t="shared" si="29"/>
        <v>0</v>
      </c>
      <c r="S195">
        <f t="shared" si="30"/>
        <v>2560.2206999999999</v>
      </c>
    </row>
    <row r="196" spans="1:19" x14ac:dyDescent="0.3">
      <c r="A196" t="s">
        <v>13</v>
      </c>
      <c r="B196" t="s">
        <v>25</v>
      </c>
      <c r="C196" t="s">
        <v>14</v>
      </c>
      <c r="D196">
        <v>0</v>
      </c>
      <c r="E196">
        <v>13</v>
      </c>
      <c r="F196">
        <v>19</v>
      </c>
      <c r="G196">
        <v>20260119</v>
      </c>
      <c r="H196">
        <v>20260219</v>
      </c>
      <c r="I196">
        <v>12421.3331</v>
      </c>
      <c r="J196">
        <f t="shared" si="21"/>
        <v>32</v>
      </c>
      <c r="K196">
        <f t="shared" si="22"/>
        <v>388.16665937499999</v>
      </c>
      <c r="L196">
        <f t="shared" si="23"/>
        <v>0</v>
      </c>
      <c r="M196">
        <f t="shared" si="24"/>
        <v>5046.166571875</v>
      </c>
      <c r="N196">
        <f t="shared" si="25"/>
        <v>6080.8836723257591</v>
      </c>
      <c r="O196">
        <f t="shared" si="26"/>
        <v>11127.05024420076</v>
      </c>
      <c r="P196">
        <f t="shared" si="27"/>
        <v>0</v>
      </c>
      <c r="Q196">
        <f t="shared" si="28"/>
        <v>5633.1295798733663</v>
      </c>
      <c r="R196">
        <f t="shared" si="29"/>
        <v>6788.2035201266326</v>
      </c>
      <c r="S196">
        <f t="shared" si="30"/>
        <v>12421.3331</v>
      </c>
    </row>
    <row r="197" spans="1:19" x14ac:dyDescent="0.3">
      <c r="A197" t="s">
        <v>13</v>
      </c>
      <c r="B197" t="s">
        <v>25</v>
      </c>
      <c r="C197" t="s">
        <v>14</v>
      </c>
      <c r="D197">
        <v>16</v>
      </c>
      <c r="E197">
        <v>18</v>
      </c>
      <c r="F197">
        <v>0</v>
      </c>
      <c r="G197">
        <v>20251216</v>
      </c>
      <c r="H197">
        <v>20260118</v>
      </c>
      <c r="I197">
        <v>6967.4522999999999</v>
      </c>
      <c r="J197">
        <f t="shared" si="21"/>
        <v>34</v>
      </c>
      <c r="K197">
        <f t="shared" si="22"/>
        <v>204.92506764705882</v>
      </c>
      <c r="L197">
        <f t="shared" si="23"/>
        <v>2769.6872954495934</v>
      </c>
      <c r="M197">
        <f t="shared" si="24"/>
        <v>3688.6512176470587</v>
      </c>
      <c r="N197">
        <f t="shared" si="25"/>
        <v>0</v>
      </c>
      <c r="O197">
        <f t="shared" si="26"/>
        <v>6458.3385130966526</v>
      </c>
      <c r="P197">
        <f t="shared" si="27"/>
        <v>2988.0230151807541</v>
      </c>
      <c r="Q197">
        <f t="shared" si="28"/>
        <v>3979.4292848192449</v>
      </c>
      <c r="R197">
        <f t="shared" si="29"/>
        <v>0</v>
      </c>
      <c r="S197">
        <f t="shared" si="30"/>
        <v>6967.452299999999</v>
      </c>
    </row>
    <row r="198" spans="1:19" x14ac:dyDescent="0.3">
      <c r="A198" t="s">
        <v>13</v>
      </c>
      <c r="B198" t="s">
        <v>25</v>
      </c>
      <c r="C198" t="s">
        <v>14</v>
      </c>
      <c r="D198">
        <v>25</v>
      </c>
      <c r="E198">
        <v>4</v>
      </c>
      <c r="F198">
        <v>0</v>
      </c>
      <c r="G198">
        <v>20251207</v>
      </c>
      <c r="H198">
        <v>20260104</v>
      </c>
      <c r="I198">
        <v>4495.2141000000001</v>
      </c>
      <c r="J198">
        <f t="shared" si="21"/>
        <v>29</v>
      </c>
      <c r="K198">
        <f t="shared" si="22"/>
        <v>155.00738275862071</v>
      </c>
      <c r="L198">
        <f t="shared" si="23"/>
        <v>3273.4677092651887</v>
      </c>
      <c r="M198">
        <f t="shared" si="24"/>
        <v>620.02953103448283</v>
      </c>
      <c r="N198">
        <f t="shared" si="25"/>
        <v>0</v>
      </c>
      <c r="O198">
        <f t="shared" si="26"/>
        <v>3893.4972402996714</v>
      </c>
      <c r="P198">
        <f t="shared" si="27"/>
        <v>3779.3626897372633</v>
      </c>
      <c r="Q198">
        <f t="shared" si="28"/>
        <v>715.85141026273709</v>
      </c>
      <c r="R198">
        <f t="shared" si="29"/>
        <v>0</v>
      </c>
      <c r="S198">
        <f t="shared" si="30"/>
        <v>4495.2141000000001</v>
      </c>
    </row>
    <row r="199" spans="1:19" x14ac:dyDescent="0.3">
      <c r="A199" t="s">
        <v>13</v>
      </c>
      <c r="B199" t="s">
        <v>25</v>
      </c>
      <c r="C199" t="s">
        <v>15</v>
      </c>
      <c r="D199">
        <v>0</v>
      </c>
      <c r="E199">
        <v>18</v>
      </c>
      <c r="F199">
        <v>0</v>
      </c>
      <c r="G199">
        <v>20260102</v>
      </c>
      <c r="H199">
        <v>20260119</v>
      </c>
      <c r="I199">
        <v>2936.5747000000001</v>
      </c>
      <c r="J199">
        <f t="shared" si="21"/>
        <v>18</v>
      </c>
      <c r="K199">
        <f t="shared" si="22"/>
        <v>163.1430388888889</v>
      </c>
      <c r="L199">
        <f t="shared" si="23"/>
        <v>0</v>
      </c>
      <c r="M199">
        <f t="shared" si="24"/>
        <v>2936.5747000000001</v>
      </c>
      <c r="N199">
        <f t="shared" si="25"/>
        <v>0</v>
      </c>
      <c r="O199">
        <f t="shared" si="26"/>
        <v>2936.5747000000001</v>
      </c>
      <c r="P199">
        <f t="shared" si="27"/>
        <v>0</v>
      </c>
      <c r="Q199">
        <f t="shared" si="28"/>
        <v>2936.5747000000001</v>
      </c>
      <c r="R199">
        <f t="shared" si="29"/>
        <v>0</v>
      </c>
      <c r="S199">
        <f t="shared" si="30"/>
        <v>2936.5747000000001</v>
      </c>
    </row>
    <row r="200" spans="1:19" x14ac:dyDescent="0.3">
      <c r="A200" t="s">
        <v>13</v>
      </c>
      <c r="B200" t="s">
        <v>25</v>
      </c>
      <c r="C200" t="s">
        <v>15</v>
      </c>
      <c r="D200">
        <v>30</v>
      </c>
      <c r="E200">
        <v>9</v>
      </c>
      <c r="F200">
        <v>0</v>
      </c>
      <c r="G200">
        <v>20251202</v>
      </c>
      <c r="H200">
        <v>20260109</v>
      </c>
      <c r="I200">
        <v>17519.555700000001</v>
      </c>
      <c r="J200">
        <f t="shared" si="21"/>
        <v>39</v>
      </c>
      <c r="K200">
        <f t="shared" si="22"/>
        <v>449.21937692307694</v>
      </c>
      <c r="L200">
        <f t="shared" si="23"/>
        <v>11384.013575847344</v>
      </c>
      <c r="M200">
        <f t="shared" si="24"/>
        <v>4042.9743923076926</v>
      </c>
      <c r="N200">
        <f t="shared" si="25"/>
        <v>0</v>
      </c>
      <c r="O200">
        <f t="shared" si="26"/>
        <v>15426.987968155037</v>
      </c>
      <c r="P200">
        <f t="shared" si="27"/>
        <v>12928.178873498255</v>
      </c>
      <c r="Q200">
        <f t="shared" si="28"/>
        <v>4591.3768265017452</v>
      </c>
      <c r="R200">
        <f t="shared" si="29"/>
        <v>0</v>
      </c>
      <c r="S200">
        <f t="shared" si="30"/>
        <v>17519.555700000001</v>
      </c>
    </row>
    <row r="201" spans="1:19" x14ac:dyDescent="0.3">
      <c r="A201" t="s">
        <v>13</v>
      </c>
      <c r="B201" t="s">
        <v>25</v>
      </c>
      <c r="C201" t="s">
        <v>14</v>
      </c>
      <c r="D201">
        <v>0</v>
      </c>
      <c r="E201">
        <v>25</v>
      </c>
      <c r="F201">
        <v>9</v>
      </c>
      <c r="G201">
        <v>20260107</v>
      </c>
      <c r="H201">
        <v>20260209</v>
      </c>
      <c r="I201">
        <v>42372.300999999999</v>
      </c>
      <c r="J201">
        <f t="shared" si="21"/>
        <v>34</v>
      </c>
      <c r="K201">
        <f t="shared" si="22"/>
        <v>1246.2441470588235</v>
      </c>
      <c r="L201">
        <f t="shared" si="23"/>
        <v>0</v>
      </c>
      <c r="M201">
        <f t="shared" si="24"/>
        <v>31156.103676470586</v>
      </c>
      <c r="N201">
        <f t="shared" si="25"/>
        <v>9247.8442229254433</v>
      </c>
      <c r="O201">
        <f t="shared" si="26"/>
        <v>40403.947899396029</v>
      </c>
      <c r="P201">
        <f t="shared" si="27"/>
        <v>0</v>
      </c>
      <c r="Q201">
        <f t="shared" si="28"/>
        <v>32673.93093006024</v>
      </c>
      <c r="R201">
        <f t="shared" si="29"/>
        <v>9698.3700699397632</v>
      </c>
      <c r="S201">
        <f t="shared" si="30"/>
        <v>42372.301000000007</v>
      </c>
    </row>
    <row r="202" spans="1:19" x14ac:dyDescent="0.3">
      <c r="A202" t="s">
        <v>13</v>
      </c>
      <c r="B202" t="s">
        <v>25</v>
      </c>
      <c r="C202" t="s">
        <v>14</v>
      </c>
      <c r="D202">
        <v>0</v>
      </c>
      <c r="E202">
        <v>27</v>
      </c>
      <c r="F202">
        <v>8</v>
      </c>
      <c r="G202">
        <v>20260105</v>
      </c>
      <c r="H202">
        <v>20260208</v>
      </c>
      <c r="I202">
        <v>672.46609999999998</v>
      </c>
      <c r="J202">
        <f t="shared" si="21"/>
        <v>35</v>
      </c>
      <c r="K202">
        <f t="shared" si="22"/>
        <v>19.213317142857143</v>
      </c>
      <c r="L202">
        <f t="shared" si="23"/>
        <v>0</v>
      </c>
      <c r="M202">
        <f t="shared" si="24"/>
        <v>518.7595628571429</v>
      </c>
      <c r="N202">
        <f t="shared" si="25"/>
        <v>126.73226678711427</v>
      </c>
      <c r="O202">
        <f t="shared" si="26"/>
        <v>645.49182964425722</v>
      </c>
      <c r="P202">
        <f t="shared" si="27"/>
        <v>0</v>
      </c>
      <c r="Q202">
        <f t="shared" si="28"/>
        <v>540.43785537069402</v>
      </c>
      <c r="R202">
        <f t="shared" si="29"/>
        <v>132.02824462930593</v>
      </c>
      <c r="S202">
        <f t="shared" si="30"/>
        <v>672.46609999999998</v>
      </c>
    </row>
    <row r="203" spans="1:19" x14ac:dyDescent="0.3">
      <c r="A203" t="s">
        <v>13</v>
      </c>
      <c r="B203" t="s">
        <v>25</v>
      </c>
      <c r="C203" t="s">
        <v>15</v>
      </c>
      <c r="D203">
        <v>0</v>
      </c>
      <c r="E203">
        <v>14</v>
      </c>
      <c r="F203">
        <v>0</v>
      </c>
      <c r="G203">
        <v>20260107</v>
      </c>
      <c r="H203">
        <v>20260120</v>
      </c>
      <c r="I203">
        <v>125.9036</v>
      </c>
      <c r="J203">
        <f t="shared" ref="J203:J266" si="31">IF(D203&lt;0,0,D203)+E203+F203</f>
        <v>14</v>
      </c>
      <c r="K203">
        <f t="shared" ref="K203:K266" si="32">I203/J203</f>
        <v>8.9931142857142863</v>
      </c>
      <c r="L203">
        <f t="shared" ref="L203:L266" si="33">IF(D203&lt;0,0,D203)*$K203*$B$6</f>
        <v>0</v>
      </c>
      <c r="M203">
        <f t="shared" ref="M203:M266" si="34">IF(E203&lt;0,0,E203)*$K203*$C$6</f>
        <v>125.90360000000001</v>
      </c>
      <c r="N203">
        <f t="shared" ref="N203:N266" si="35">IF(F203&lt;0,0,F203)*$K203*$D$6</f>
        <v>0</v>
      </c>
      <c r="O203">
        <f t="shared" ref="O203:O266" si="36">L203+M203+N203</f>
        <v>125.90360000000001</v>
      </c>
      <c r="P203">
        <f t="shared" ref="P203:P266" si="37">L203/$O203*$I203</f>
        <v>0</v>
      </c>
      <c r="Q203">
        <f t="shared" ref="Q203:Q266" si="38">M203/$O203*$I203</f>
        <v>125.9036</v>
      </c>
      <c r="R203">
        <f t="shared" ref="R203:R266" si="39">N203/$O203*$I203</f>
        <v>0</v>
      </c>
      <c r="S203">
        <f t="shared" ref="S203:S266" si="40">P203+Q203+R203</f>
        <v>125.9036</v>
      </c>
    </row>
    <row r="204" spans="1:19" x14ac:dyDescent="0.3">
      <c r="A204" t="s">
        <v>13</v>
      </c>
      <c r="B204" t="s">
        <v>25</v>
      </c>
      <c r="C204" t="s">
        <v>15</v>
      </c>
      <c r="D204">
        <v>0</v>
      </c>
      <c r="E204">
        <v>27</v>
      </c>
      <c r="F204">
        <v>8</v>
      </c>
      <c r="G204">
        <v>20260105</v>
      </c>
      <c r="H204">
        <v>20260208</v>
      </c>
      <c r="I204">
        <v>2311.6024000000002</v>
      </c>
      <c r="J204">
        <f t="shared" si="31"/>
        <v>35</v>
      </c>
      <c r="K204">
        <f t="shared" si="32"/>
        <v>66.045782857142868</v>
      </c>
      <c r="L204">
        <f t="shared" si="33"/>
        <v>0</v>
      </c>
      <c r="M204">
        <f t="shared" si="34"/>
        <v>1783.2361371428574</v>
      </c>
      <c r="N204">
        <f t="shared" si="35"/>
        <v>435.64220123889322</v>
      </c>
      <c r="O204">
        <f t="shared" si="36"/>
        <v>2218.8783383817508</v>
      </c>
      <c r="P204">
        <f t="shared" si="37"/>
        <v>0</v>
      </c>
      <c r="Q204">
        <f t="shared" si="38"/>
        <v>1857.7552735011463</v>
      </c>
      <c r="R204">
        <f t="shared" si="39"/>
        <v>453.84712649885364</v>
      </c>
      <c r="S204">
        <f t="shared" si="40"/>
        <v>2311.6023999999998</v>
      </c>
    </row>
    <row r="205" spans="1:19" x14ac:dyDescent="0.3">
      <c r="A205" t="s">
        <v>13</v>
      </c>
      <c r="B205" t="s">
        <v>25</v>
      </c>
      <c r="C205" t="s">
        <v>15</v>
      </c>
      <c r="D205">
        <v>23</v>
      </c>
      <c r="E205">
        <v>3</v>
      </c>
      <c r="F205">
        <v>0</v>
      </c>
      <c r="G205">
        <v>20251209</v>
      </c>
      <c r="H205">
        <v>20260103</v>
      </c>
      <c r="I205">
        <v>8947.1538</v>
      </c>
      <c r="J205">
        <f t="shared" si="31"/>
        <v>26</v>
      </c>
      <c r="K205">
        <f t="shared" si="32"/>
        <v>344.12130000000002</v>
      </c>
      <c r="L205">
        <f t="shared" si="33"/>
        <v>6685.8258496277558</v>
      </c>
      <c r="M205">
        <f t="shared" si="34"/>
        <v>1032.3639000000001</v>
      </c>
      <c r="N205">
        <f t="shared" si="35"/>
        <v>0</v>
      </c>
      <c r="O205">
        <f t="shared" si="36"/>
        <v>7718.1897496277561</v>
      </c>
      <c r="P205">
        <f t="shared" si="37"/>
        <v>7750.4070380648836</v>
      </c>
      <c r="Q205">
        <f t="shared" si="38"/>
        <v>1196.746761935116</v>
      </c>
      <c r="R205">
        <f t="shared" si="39"/>
        <v>0</v>
      </c>
      <c r="S205">
        <f t="shared" si="40"/>
        <v>8947.1538</v>
      </c>
    </row>
    <row r="206" spans="1:19" x14ac:dyDescent="0.3">
      <c r="A206" t="s">
        <v>13</v>
      </c>
      <c r="B206" t="s">
        <v>25</v>
      </c>
      <c r="C206" t="s">
        <v>15</v>
      </c>
      <c r="D206">
        <v>0</v>
      </c>
      <c r="E206">
        <v>26</v>
      </c>
      <c r="F206">
        <v>0</v>
      </c>
      <c r="G206">
        <v>20260102</v>
      </c>
      <c r="H206">
        <v>20260127</v>
      </c>
      <c r="I206">
        <v>73802.092399999994</v>
      </c>
      <c r="J206">
        <f t="shared" si="31"/>
        <v>26</v>
      </c>
      <c r="K206">
        <f t="shared" si="32"/>
        <v>2838.5420153846153</v>
      </c>
      <c r="L206">
        <f t="shared" si="33"/>
        <v>0</v>
      </c>
      <c r="M206">
        <f t="shared" si="34"/>
        <v>73802.092399999994</v>
      </c>
      <c r="N206">
        <f t="shared" si="35"/>
        <v>0</v>
      </c>
      <c r="O206">
        <f t="shared" si="36"/>
        <v>73802.092399999994</v>
      </c>
      <c r="P206">
        <f t="shared" si="37"/>
        <v>0</v>
      </c>
      <c r="Q206">
        <f t="shared" si="38"/>
        <v>73802.092399999994</v>
      </c>
      <c r="R206">
        <f t="shared" si="39"/>
        <v>0</v>
      </c>
      <c r="S206">
        <f t="shared" si="40"/>
        <v>73802.092399999994</v>
      </c>
    </row>
    <row r="207" spans="1:19" x14ac:dyDescent="0.3">
      <c r="A207" t="s">
        <v>13</v>
      </c>
      <c r="B207" t="s">
        <v>25</v>
      </c>
      <c r="C207" t="s">
        <v>15</v>
      </c>
      <c r="D207">
        <v>0</v>
      </c>
      <c r="E207">
        <v>16</v>
      </c>
      <c r="F207">
        <v>17</v>
      </c>
      <c r="G207">
        <v>20260116</v>
      </c>
      <c r="H207">
        <v>20260217</v>
      </c>
      <c r="I207">
        <v>293705.52140000003</v>
      </c>
      <c r="J207">
        <f t="shared" si="31"/>
        <v>33</v>
      </c>
      <c r="K207">
        <f t="shared" si="32"/>
        <v>8900.1673151515151</v>
      </c>
      <c r="L207">
        <f t="shared" si="33"/>
        <v>0</v>
      </c>
      <c r="M207">
        <f t="shared" si="34"/>
        <v>142402.67704242424</v>
      </c>
      <c r="N207">
        <f t="shared" si="35"/>
        <v>124750.40289894782</v>
      </c>
      <c r="O207">
        <f t="shared" si="36"/>
        <v>267153.07994137204</v>
      </c>
      <c r="P207">
        <f t="shared" si="37"/>
        <v>0</v>
      </c>
      <c r="Q207">
        <f t="shared" si="38"/>
        <v>156556.13073478168</v>
      </c>
      <c r="R207">
        <f t="shared" si="39"/>
        <v>137149.39066521835</v>
      </c>
      <c r="S207">
        <f t="shared" si="40"/>
        <v>293705.52140000003</v>
      </c>
    </row>
    <row r="208" spans="1:19" x14ac:dyDescent="0.3">
      <c r="A208" t="s">
        <v>13</v>
      </c>
      <c r="B208" t="s">
        <v>25</v>
      </c>
      <c r="C208" t="s">
        <v>14</v>
      </c>
      <c r="D208">
        <v>0</v>
      </c>
      <c r="E208">
        <v>23</v>
      </c>
      <c r="F208">
        <v>9</v>
      </c>
      <c r="G208">
        <v>20260109</v>
      </c>
      <c r="H208">
        <v>20260209</v>
      </c>
      <c r="I208">
        <v>7737.7245999999996</v>
      </c>
      <c r="J208">
        <f t="shared" si="31"/>
        <v>32</v>
      </c>
      <c r="K208">
        <f t="shared" si="32"/>
        <v>241.80389374999999</v>
      </c>
      <c r="L208">
        <f t="shared" si="33"/>
        <v>0</v>
      </c>
      <c r="M208">
        <f t="shared" si="34"/>
        <v>5561.4895562499996</v>
      </c>
      <c r="N208">
        <f t="shared" si="35"/>
        <v>1794.3231646657969</v>
      </c>
      <c r="O208">
        <f t="shared" si="36"/>
        <v>7355.8127209157965</v>
      </c>
      <c r="P208">
        <f t="shared" si="37"/>
        <v>0</v>
      </c>
      <c r="Q208">
        <f t="shared" si="38"/>
        <v>5850.2406443378122</v>
      </c>
      <c r="R208">
        <f t="shared" si="39"/>
        <v>1887.4839556621876</v>
      </c>
      <c r="S208">
        <f t="shared" si="40"/>
        <v>7737.7245999999996</v>
      </c>
    </row>
    <row r="209" spans="1:19" x14ac:dyDescent="0.3">
      <c r="A209" t="s">
        <v>13</v>
      </c>
      <c r="B209" t="s">
        <v>25</v>
      </c>
      <c r="C209" t="s">
        <v>15</v>
      </c>
      <c r="D209">
        <v>0</v>
      </c>
      <c r="E209">
        <v>29</v>
      </c>
      <c r="F209">
        <v>9</v>
      </c>
      <c r="G209">
        <v>20260103</v>
      </c>
      <c r="H209">
        <v>20260209</v>
      </c>
      <c r="I209">
        <v>22527.615900000001</v>
      </c>
      <c r="J209">
        <f t="shared" si="31"/>
        <v>38</v>
      </c>
      <c r="K209">
        <f t="shared" si="32"/>
        <v>592.83199736842107</v>
      </c>
      <c r="L209">
        <f t="shared" si="33"/>
        <v>0</v>
      </c>
      <c r="M209">
        <f t="shared" si="34"/>
        <v>17192.127923684209</v>
      </c>
      <c r="N209">
        <f t="shared" si="35"/>
        <v>4399.1524252832705</v>
      </c>
      <c r="O209">
        <f t="shared" si="36"/>
        <v>21591.280348967481</v>
      </c>
      <c r="P209">
        <f t="shared" si="37"/>
        <v>0</v>
      </c>
      <c r="Q209">
        <f t="shared" si="38"/>
        <v>17937.688182856808</v>
      </c>
      <c r="R209">
        <f t="shared" si="39"/>
        <v>4589.9277171431922</v>
      </c>
      <c r="S209">
        <f t="shared" si="40"/>
        <v>22527.615900000001</v>
      </c>
    </row>
    <row r="210" spans="1:19" x14ac:dyDescent="0.3">
      <c r="A210" t="s">
        <v>13</v>
      </c>
      <c r="B210" t="s">
        <v>25</v>
      </c>
      <c r="C210" t="s">
        <v>15</v>
      </c>
      <c r="D210">
        <v>0</v>
      </c>
      <c r="E210">
        <v>10</v>
      </c>
      <c r="F210">
        <v>0</v>
      </c>
      <c r="G210">
        <v>20260107</v>
      </c>
      <c r="H210">
        <v>20260116</v>
      </c>
      <c r="I210">
        <v>1888.4649999999999</v>
      </c>
      <c r="J210">
        <f t="shared" si="31"/>
        <v>10</v>
      </c>
      <c r="K210">
        <f t="shared" si="32"/>
        <v>188.84649999999999</v>
      </c>
      <c r="L210">
        <f t="shared" si="33"/>
        <v>0</v>
      </c>
      <c r="M210">
        <f t="shared" si="34"/>
        <v>1888.4649999999999</v>
      </c>
      <c r="N210">
        <f t="shared" si="35"/>
        <v>0</v>
      </c>
      <c r="O210">
        <f t="shared" si="36"/>
        <v>1888.4649999999999</v>
      </c>
      <c r="P210">
        <f t="shared" si="37"/>
        <v>0</v>
      </c>
      <c r="Q210">
        <f t="shared" si="38"/>
        <v>1888.4649999999999</v>
      </c>
      <c r="R210">
        <f t="shared" si="39"/>
        <v>0</v>
      </c>
      <c r="S210">
        <f t="shared" si="40"/>
        <v>1888.4649999999999</v>
      </c>
    </row>
    <row r="211" spans="1:19" x14ac:dyDescent="0.3">
      <c r="A211" t="s">
        <v>13</v>
      </c>
      <c r="B211" t="s">
        <v>25</v>
      </c>
      <c r="C211" t="s">
        <v>14</v>
      </c>
      <c r="D211">
        <v>30</v>
      </c>
      <c r="E211">
        <v>12</v>
      </c>
      <c r="F211">
        <v>0</v>
      </c>
      <c r="G211">
        <v>20251202</v>
      </c>
      <c r="H211">
        <v>20260112</v>
      </c>
      <c r="I211">
        <v>84.030600000000007</v>
      </c>
      <c r="J211">
        <f t="shared" si="31"/>
        <v>42</v>
      </c>
      <c r="K211">
        <f t="shared" si="32"/>
        <v>2.0007285714285716</v>
      </c>
      <c r="L211">
        <f t="shared" si="33"/>
        <v>50.702000823594659</v>
      </c>
      <c r="M211">
        <f t="shared" si="34"/>
        <v>24.00874285714286</v>
      </c>
      <c r="N211">
        <f t="shared" si="35"/>
        <v>0</v>
      </c>
      <c r="O211">
        <f t="shared" si="36"/>
        <v>74.710743680737522</v>
      </c>
      <c r="P211">
        <f t="shared" si="37"/>
        <v>57.026865755930523</v>
      </c>
      <c r="Q211">
        <f t="shared" si="38"/>
        <v>27.003734244069474</v>
      </c>
      <c r="R211">
        <f t="shared" si="39"/>
        <v>0</v>
      </c>
      <c r="S211">
        <f t="shared" si="40"/>
        <v>84.030599999999993</v>
      </c>
    </row>
    <row r="212" spans="1:19" x14ac:dyDescent="0.3">
      <c r="A212" t="s">
        <v>13</v>
      </c>
      <c r="B212" t="s">
        <v>25</v>
      </c>
      <c r="C212" t="s">
        <v>15</v>
      </c>
      <c r="D212">
        <v>0</v>
      </c>
      <c r="E212">
        <v>21</v>
      </c>
      <c r="F212">
        <v>0</v>
      </c>
      <c r="G212">
        <v>20260102</v>
      </c>
      <c r="H212">
        <v>20260122</v>
      </c>
      <c r="I212">
        <v>923.09739999999999</v>
      </c>
      <c r="J212">
        <f t="shared" si="31"/>
        <v>21</v>
      </c>
      <c r="K212">
        <f t="shared" si="32"/>
        <v>43.957019047619049</v>
      </c>
      <c r="L212">
        <f t="shared" si="33"/>
        <v>0</v>
      </c>
      <c r="M212">
        <f t="shared" si="34"/>
        <v>923.09739999999999</v>
      </c>
      <c r="N212">
        <f t="shared" si="35"/>
        <v>0</v>
      </c>
      <c r="O212">
        <f t="shared" si="36"/>
        <v>923.09739999999999</v>
      </c>
      <c r="P212">
        <f t="shared" si="37"/>
        <v>0</v>
      </c>
      <c r="Q212">
        <f t="shared" si="38"/>
        <v>923.09739999999999</v>
      </c>
      <c r="R212">
        <f t="shared" si="39"/>
        <v>0</v>
      </c>
      <c r="S212">
        <f t="shared" si="40"/>
        <v>923.09739999999999</v>
      </c>
    </row>
    <row r="213" spans="1:19" x14ac:dyDescent="0.3">
      <c r="A213" t="s">
        <v>13</v>
      </c>
      <c r="B213" t="s">
        <v>25</v>
      </c>
      <c r="C213" t="s">
        <v>15</v>
      </c>
      <c r="D213">
        <v>0</v>
      </c>
      <c r="E213">
        <v>9</v>
      </c>
      <c r="F213">
        <v>0</v>
      </c>
      <c r="G213">
        <v>20260109</v>
      </c>
      <c r="H213">
        <v>20260117</v>
      </c>
      <c r="I213">
        <v>167.93469999999999</v>
      </c>
      <c r="J213">
        <f t="shared" si="31"/>
        <v>9</v>
      </c>
      <c r="K213">
        <f t="shared" si="32"/>
        <v>18.659411111111112</v>
      </c>
      <c r="L213">
        <f t="shared" si="33"/>
        <v>0</v>
      </c>
      <c r="M213">
        <f t="shared" si="34"/>
        <v>167.93470000000002</v>
      </c>
      <c r="N213">
        <f t="shared" si="35"/>
        <v>0</v>
      </c>
      <c r="O213">
        <f t="shared" si="36"/>
        <v>167.93470000000002</v>
      </c>
      <c r="P213">
        <f t="shared" si="37"/>
        <v>0</v>
      </c>
      <c r="Q213">
        <f t="shared" si="38"/>
        <v>167.93469999999999</v>
      </c>
      <c r="R213">
        <f t="shared" si="39"/>
        <v>0</v>
      </c>
      <c r="S213">
        <f t="shared" si="40"/>
        <v>167.93469999999999</v>
      </c>
    </row>
    <row r="214" spans="1:19" x14ac:dyDescent="0.3">
      <c r="A214" t="s">
        <v>13</v>
      </c>
      <c r="B214" t="s">
        <v>25</v>
      </c>
      <c r="C214" t="s">
        <v>15</v>
      </c>
      <c r="D214">
        <v>27</v>
      </c>
      <c r="E214">
        <v>10</v>
      </c>
      <c r="F214">
        <v>0</v>
      </c>
      <c r="G214">
        <v>20251205</v>
      </c>
      <c r="H214">
        <v>20260110</v>
      </c>
      <c r="I214">
        <v>252.0444</v>
      </c>
      <c r="J214">
        <f t="shared" si="31"/>
        <v>37</v>
      </c>
      <c r="K214">
        <f t="shared" si="32"/>
        <v>6.8120108108108104</v>
      </c>
      <c r="L214">
        <f t="shared" si="33"/>
        <v>155.36556252810846</v>
      </c>
      <c r="M214">
        <f t="shared" si="34"/>
        <v>68.120108108108099</v>
      </c>
      <c r="N214">
        <f t="shared" si="35"/>
        <v>0</v>
      </c>
      <c r="O214">
        <f t="shared" si="36"/>
        <v>223.48567063621655</v>
      </c>
      <c r="P214">
        <f t="shared" si="37"/>
        <v>175.21937704812174</v>
      </c>
      <c r="Q214">
        <f t="shared" si="38"/>
        <v>76.825022951878253</v>
      </c>
      <c r="R214">
        <f t="shared" si="39"/>
        <v>0</v>
      </c>
      <c r="S214">
        <f t="shared" si="40"/>
        <v>252.0444</v>
      </c>
    </row>
    <row r="215" spans="1:19" x14ac:dyDescent="0.3">
      <c r="A215" t="s">
        <v>13</v>
      </c>
      <c r="B215" t="s">
        <v>25</v>
      </c>
      <c r="C215" t="s">
        <v>15</v>
      </c>
      <c r="D215">
        <v>16</v>
      </c>
      <c r="E215">
        <v>5</v>
      </c>
      <c r="F215">
        <v>0</v>
      </c>
      <c r="G215">
        <v>20251216</v>
      </c>
      <c r="H215">
        <v>20260105</v>
      </c>
      <c r="I215">
        <v>3693.9548</v>
      </c>
      <c r="J215">
        <f t="shared" si="31"/>
        <v>21</v>
      </c>
      <c r="K215">
        <f t="shared" si="32"/>
        <v>175.90260952380953</v>
      </c>
      <c r="L215">
        <f t="shared" si="33"/>
        <v>2377.4310699441576</v>
      </c>
      <c r="M215">
        <f t="shared" si="34"/>
        <v>879.51304761904771</v>
      </c>
      <c r="N215">
        <f t="shared" si="35"/>
        <v>0</v>
      </c>
      <c r="O215">
        <f t="shared" si="36"/>
        <v>3256.9441175632055</v>
      </c>
      <c r="P215">
        <f t="shared" si="37"/>
        <v>2696.4303333088819</v>
      </c>
      <c r="Q215">
        <f t="shared" si="38"/>
        <v>997.52446669111771</v>
      </c>
      <c r="R215">
        <f t="shared" si="39"/>
        <v>0</v>
      </c>
      <c r="S215">
        <f t="shared" si="40"/>
        <v>3693.9547999999995</v>
      </c>
    </row>
    <row r="216" spans="1:19" x14ac:dyDescent="0.3">
      <c r="A216" t="s">
        <v>13</v>
      </c>
      <c r="B216" t="s">
        <v>25</v>
      </c>
      <c r="C216" t="s">
        <v>15</v>
      </c>
      <c r="D216">
        <v>0</v>
      </c>
      <c r="E216">
        <v>26</v>
      </c>
      <c r="F216">
        <v>11</v>
      </c>
      <c r="G216">
        <v>20260106</v>
      </c>
      <c r="H216">
        <v>20260211</v>
      </c>
      <c r="I216">
        <v>91742.070900000006</v>
      </c>
      <c r="J216">
        <f t="shared" si="31"/>
        <v>37</v>
      </c>
      <c r="K216">
        <f t="shared" si="32"/>
        <v>2479.5154297297299</v>
      </c>
      <c r="L216">
        <f t="shared" si="33"/>
        <v>0</v>
      </c>
      <c r="M216">
        <f t="shared" si="34"/>
        <v>64467.401172972975</v>
      </c>
      <c r="N216">
        <f t="shared" si="35"/>
        <v>22488.182901182801</v>
      </c>
      <c r="O216">
        <f t="shared" si="36"/>
        <v>86955.584074155777</v>
      </c>
      <c r="P216">
        <f t="shared" si="37"/>
        <v>0</v>
      </c>
      <c r="Q216">
        <f t="shared" si="38"/>
        <v>68016.021651994772</v>
      </c>
      <c r="R216">
        <f t="shared" si="39"/>
        <v>23726.049248005245</v>
      </c>
      <c r="S216">
        <f t="shared" si="40"/>
        <v>91742.070900000021</v>
      </c>
    </row>
    <row r="217" spans="1:19" x14ac:dyDescent="0.3">
      <c r="A217" t="s">
        <v>13</v>
      </c>
      <c r="B217" t="s">
        <v>25</v>
      </c>
      <c r="C217" t="s">
        <v>15</v>
      </c>
      <c r="D217">
        <v>0</v>
      </c>
      <c r="E217">
        <v>23</v>
      </c>
      <c r="F217">
        <v>8</v>
      </c>
      <c r="G217">
        <v>20260109</v>
      </c>
      <c r="H217">
        <v>20260208</v>
      </c>
      <c r="I217">
        <v>7904.8212999999996</v>
      </c>
      <c r="J217">
        <f t="shared" si="31"/>
        <v>31</v>
      </c>
      <c r="K217">
        <f t="shared" si="32"/>
        <v>254.99423548387097</v>
      </c>
      <c r="L217">
        <f t="shared" si="33"/>
        <v>0</v>
      </c>
      <c r="M217">
        <f t="shared" si="34"/>
        <v>5864.8674161290319</v>
      </c>
      <c r="N217">
        <f t="shared" si="35"/>
        <v>1681.9582605251569</v>
      </c>
      <c r="O217">
        <f t="shared" si="36"/>
        <v>7546.825676654189</v>
      </c>
      <c r="P217">
        <f t="shared" si="37"/>
        <v>0</v>
      </c>
      <c r="Q217">
        <f t="shared" si="38"/>
        <v>6143.0766866800486</v>
      </c>
      <c r="R217">
        <f t="shared" si="39"/>
        <v>1761.7446133199505</v>
      </c>
      <c r="S217">
        <f t="shared" si="40"/>
        <v>7904.8212999999996</v>
      </c>
    </row>
    <row r="218" spans="1:19" x14ac:dyDescent="0.3">
      <c r="A218" t="s">
        <v>13</v>
      </c>
      <c r="B218" t="s">
        <v>25</v>
      </c>
      <c r="C218" t="s">
        <v>15</v>
      </c>
      <c r="D218">
        <v>10</v>
      </c>
      <c r="E218">
        <v>8</v>
      </c>
      <c r="F218">
        <v>0</v>
      </c>
      <c r="G218">
        <v>20251222</v>
      </c>
      <c r="H218">
        <v>20260108</v>
      </c>
      <c r="I218">
        <v>3272.9540000000002</v>
      </c>
      <c r="J218">
        <f t="shared" si="31"/>
        <v>18</v>
      </c>
      <c r="K218">
        <f t="shared" si="32"/>
        <v>181.8307777777778</v>
      </c>
      <c r="L218">
        <f t="shared" si="33"/>
        <v>1535.9711750839865</v>
      </c>
      <c r="M218">
        <f t="shared" si="34"/>
        <v>1454.6462222222224</v>
      </c>
      <c r="N218">
        <f t="shared" si="35"/>
        <v>0</v>
      </c>
      <c r="O218">
        <f t="shared" si="36"/>
        <v>2990.6173973062087</v>
      </c>
      <c r="P218">
        <f t="shared" si="37"/>
        <v>1680.9783176891967</v>
      </c>
      <c r="Q218">
        <f t="shared" si="38"/>
        <v>1591.9756823108039</v>
      </c>
      <c r="R218">
        <f t="shared" si="39"/>
        <v>0</v>
      </c>
      <c r="S218">
        <f t="shared" si="40"/>
        <v>3272.9540000000006</v>
      </c>
    </row>
    <row r="219" spans="1:19" x14ac:dyDescent="0.3">
      <c r="A219" t="s">
        <v>13</v>
      </c>
      <c r="B219" t="s">
        <v>25</v>
      </c>
      <c r="C219" t="s">
        <v>15</v>
      </c>
      <c r="D219">
        <v>8</v>
      </c>
      <c r="E219">
        <v>2</v>
      </c>
      <c r="F219">
        <v>0</v>
      </c>
      <c r="G219">
        <v>20251224</v>
      </c>
      <c r="H219">
        <v>20260102</v>
      </c>
      <c r="I219">
        <v>4996.4103999999998</v>
      </c>
      <c r="J219">
        <f t="shared" si="31"/>
        <v>10</v>
      </c>
      <c r="K219">
        <f t="shared" si="32"/>
        <v>499.64103999999998</v>
      </c>
      <c r="L219">
        <f t="shared" si="33"/>
        <v>3376.4767206436095</v>
      </c>
      <c r="M219">
        <f t="shared" si="34"/>
        <v>999.28207999999995</v>
      </c>
      <c r="N219">
        <f t="shared" si="35"/>
        <v>0</v>
      </c>
      <c r="O219">
        <f t="shared" si="36"/>
        <v>4375.758800643609</v>
      </c>
      <c r="P219">
        <f t="shared" si="37"/>
        <v>3855.3915265851169</v>
      </c>
      <c r="Q219">
        <f t="shared" si="38"/>
        <v>1141.0188734148833</v>
      </c>
      <c r="R219">
        <f t="shared" si="39"/>
        <v>0</v>
      </c>
      <c r="S219">
        <f t="shared" si="40"/>
        <v>4996.4104000000007</v>
      </c>
    </row>
    <row r="220" spans="1:19" x14ac:dyDescent="0.3">
      <c r="A220" t="s">
        <v>13</v>
      </c>
      <c r="B220" t="s">
        <v>25</v>
      </c>
      <c r="C220" t="s">
        <v>15</v>
      </c>
      <c r="D220">
        <v>10</v>
      </c>
      <c r="E220">
        <v>5</v>
      </c>
      <c r="F220">
        <v>0</v>
      </c>
      <c r="G220">
        <v>20251222</v>
      </c>
      <c r="H220">
        <v>20260105</v>
      </c>
      <c r="I220">
        <v>9444.5486000000001</v>
      </c>
      <c r="J220">
        <f t="shared" si="31"/>
        <v>15</v>
      </c>
      <c r="K220">
        <f t="shared" si="32"/>
        <v>629.63657333333333</v>
      </c>
      <c r="L220">
        <f t="shared" si="33"/>
        <v>5318.7014829831951</v>
      </c>
      <c r="M220">
        <f t="shared" si="34"/>
        <v>3148.1828666666665</v>
      </c>
      <c r="N220">
        <f t="shared" si="35"/>
        <v>0</v>
      </c>
      <c r="O220">
        <f t="shared" si="36"/>
        <v>8466.8843496498612</v>
      </c>
      <c r="P220">
        <f t="shared" si="37"/>
        <v>5932.847617908491</v>
      </c>
      <c r="Q220">
        <f t="shared" si="38"/>
        <v>3511.70098209151</v>
      </c>
      <c r="R220">
        <f t="shared" si="39"/>
        <v>0</v>
      </c>
      <c r="S220">
        <f t="shared" si="40"/>
        <v>9444.5486000000019</v>
      </c>
    </row>
    <row r="221" spans="1:19" x14ac:dyDescent="0.3">
      <c r="A221" t="s">
        <v>13</v>
      </c>
      <c r="B221" t="s">
        <v>25</v>
      </c>
      <c r="C221" t="s">
        <v>15</v>
      </c>
      <c r="D221">
        <v>2</v>
      </c>
      <c r="E221">
        <v>31</v>
      </c>
      <c r="F221">
        <v>5</v>
      </c>
      <c r="G221">
        <v>20251230</v>
      </c>
      <c r="H221">
        <v>20260205</v>
      </c>
      <c r="I221">
        <v>6091.5020000000004</v>
      </c>
      <c r="J221">
        <f t="shared" si="31"/>
        <v>38</v>
      </c>
      <c r="K221">
        <f t="shared" si="32"/>
        <v>160.30268421052634</v>
      </c>
      <c r="L221">
        <f t="shared" si="33"/>
        <v>270.82357040442781</v>
      </c>
      <c r="M221">
        <f t="shared" si="34"/>
        <v>4969.3832105263164</v>
      </c>
      <c r="N221">
        <f t="shared" si="35"/>
        <v>660.85421348011391</v>
      </c>
      <c r="O221">
        <f t="shared" si="36"/>
        <v>5901.0609944108583</v>
      </c>
      <c r="P221">
        <f t="shared" si="37"/>
        <v>279.56367885846862</v>
      </c>
      <c r="Q221">
        <f t="shared" si="38"/>
        <v>5129.7568004056247</v>
      </c>
      <c r="R221">
        <f t="shared" si="39"/>
        <v>682.1815207359067</v>
      </c>
      <c r="S221">
        <f t="shared" si="40"/>
        <v>6091.5020000000004</v>
      </c>
    </row>
    <row r="222" spans="1:19" x14ac:dyDescent="0.3">
      <c r="A222" t="s">
        <v>13</v>
      </c>
      <c r="B222" t="s">
        <v>25</v>
      </c>
      <c r="C222" t="s">
        <v>15</v>
      </c>
      <c r="D222">
        <v>14</v>
      </c>
      <c r="E222">
        <v>3</v>
      </c>
      <c r="F222">
        <v>0</v>
      </c>
      <c r="G222">
        <v>20251218</v>
      </c>
      <c r="H222">
        <v>20260103</v>
      </c>
      <c r="I222">
        <v>23344.572700000001</v>
      </c>
      <c r="J222">
        <f t="shared" si="31"/>
        <v>17</v>
      </c>
      <c r="K222">
        <f t="shared" si="32"/>
        <v>1373.2101588235294</v>
      </c>
      <c r="L222">
        <f t="shared" si="33"/>
        <v>16239.801346549077</v>
      </c>
      <c r="M222">
        <f t="shared" si="34"/>
        <v>4119.6304764705883</v>
      </c>
      <c r="N222">
        <f t="shared" si="35"/>
        <v>0</v>
      </c>
      <c r="O222">
        <f t="shared" si="36"/>
        <v>20359.431823019666</v>
      </c>
      <c r="P222">
        <f t="shared" si="37"/>
        <v>18620.913710343608</v>
      </c>
      <c r="Q222">
        <f t="shared" si="38"/>
        <v>4723.6589896563928</v>
      </c>
      <c r="R222">
        <f t="shared" si="39"/>
        <v>0</v>
      </c>
      <c r="S222">
        <f t="shared" si="40"/>
        <v>23344.572700000001</v>
      </c>
    </row>
    <row r="223" spans="1:19" x14ac:dyDescent="0.3">
      <c r="A223" t="s">
        <v>13</v>
      </c>
      <c r="B223" t="s">
        <v>25</v>
      </c>
      <c r="C223" t="s">
        <v>15</v>
      </c>
      <c r="D223">
        <v>6</v>
      </c>
      <c r="E223">
        <v>31</v>
      </c>
      <c r="F223">
        <v>3</v>
      </c>
      <c r="G223">
        <v>20251226</v>
      </c>
      <c r="H223">
        <v>20260203</v>
      </c>
      <c r="I223">
        <v>17767.873500000002</v>
      </c>
      <c r="J223">
        <f t="shared" si="31"/>
        <v>40</v>
      </c>
      <c r="K223">
        <f t="shared" si="32"/>
        <v>444.19683750000002</v>
      </c>
      <c r="L223">
        <f t="shared" si="33"/>
        <v>2251.3467086324549</v>
      </c>
      <c r="M223">
        <f t="shared" si="34"/>
        <v>13770.101962500001</v>
      </c>
      <c r="N223">
        <f t="shared" si="35"/>
        <v>1098.7315145299624</v>
      </c>
      <c r="O223">
        <f t="shared" si="36"/>
        <v>17120.180185662419</v>
      </c>
      <c r="P223">
        <f t="shared" si="37"/>
        <v>2336.5200067884134</v>
      </c>
      <c r="Q223">
        <f t="shared" si="38"/>
        <v>14291.054597468601</v>
      </c>
      <c r="R223">
        <f t="shared" si="39"/>
        <v>1140.2988957429848</v>
      </c>
      <c r="S223">
        <f t="shared" si="40"/>
        <v>17767.873499999998</v>
      </c>
    </row>
    <row r="224" spans="1:19" x14ac:dyDescent="0.3">
      <c r="A224" t="s">
        <v>13</v>
      </c>
      <c r="B224" t="s">
        <v>25</v>
      </c>
      <c r="C224" t="s">
        <v>15</v>
      </c>
      <c r="D224">
        <v>31</v>
      </c>
      <c r="E224">
        <v>6</v>
      </c>
      <c r="F224">
        <v>0</v>
      </c>
      <c r="G224">
        <v>20251126</v>
      </c>
      <c r="H224">
        <v>20260106</v>
      </c>
      <c r="I224">
        <v>666.30529999999999</v>
      </c>
      <c r="J224">
        <f t="shared" si="31"/>
        <v>37</v>
      </c>
      <c r="K224">
        <f t="shared" si="32"/>
        <v>18.008251351351351</v>
      </c>
      <c r="L224">
        <f t="shared" si="33"/>
        <v>471.57297304066452</v>
      </c>
      <c r="M224">
        <f t="shared" si="34"/>
        <v>108.04950810810811</v>
      </c>
      <c r="N224">
        <f t="shared" si="35"/>
        <v>0</v>
      </c>
      <c r="O224">
        <f t="shared" si="36"/>
        <v>579.62248114877264</v>
      </c>
      <c r="P224">
        <f t="shared" si="37"/>
        <v>542.09693635589451</v>
      </c>
      <c r="Q224">
        <f t="shared" si="38"/>
        <v>124.20836364410546</v>
      </c>
      <c r="R224">
        <f t="shared" si="39"/>
        <v>0</v>
      </c>
      <c r="S224">
        <f t="shared" si="40"/>
        <v>666.30529999999999</v>
      </c>
    </row>
    <row r="225" spans="1:19" x14ac:dyDescent="0.3">
      <c r="A225" t="s">
        <v>13</v>
      </c>
      <c r="B225" t="s">
        <v>25</v>
      </c>
      <c r="C225" t="s">
        <v>14</v>
      </c>
      <c r="D225">
        <v>20</v>
      </c>
      <c r="E225">
        <v>2</v>
      </c>
      <c r="F225">
        <v>0</v>
      </c>
      <c r="G225">
        <v>20251212</v>
      </c>
      <c r="H225">
        <v>20260102</v>
      </c>
      <c r="I225">
        <v>4871.826</v>
      </c>
      <c r="J225">
        <f t="shared" si="31"/>
        <v>22</v>
      </c>
      <c r="K225">
        <f t="shared" si="32"/>
        <v>221.44663636363637</v>
      </c>
      <c r="L225">
        <f t="shared" si="33"/>
        <v>3741.2329687061379</v>
      </c>
      <c r="M225">
        <f t="shared" si="34"/>
        <v>442.89327272727274</v>
      </c>
      <c r="N225">
        <f t="shared" si="35"/>
        <v>0</v>
      </c>
      <c r="O225">
        <f t="shared" si="36"/>
        <v>4184.1262414334105</v>
      </c>
      <c r="P225">
        <f t="shared" si="37"/>
        <v>4356.1391309158043</v>
      </c>
      <c r="Q225">
        <f t="shared" si="38"/>
        <v>515.68686908419556</v>
      </c>
      <c r="R225">
        <f t="shared" si="39"/>
        <v>0</v>
      </c>
      <c r="S225">
        <f t="shared" si="40"/>
        <v>4871.826</v>
      </c>
    </row>
    <row r="226" spans="1:19" x14ac:dyDescent="0.3">
      <c r="A226" t="s">
        <v>13</v>
      </c>
      <c r="B226" t="s">
        <v>25</v>
      </c>
      <c r="C226" t="s">
        <v>15</v>
      </c>
      <c r="D226">
        <v>31</v>
      </c>
      <c r="E226">
        <v>5</v>
      </c>
      <c r="F226">
        <v>0</v>
      </c>
      <c r="G226">
        <v>20251128</v>
      </c>
      <c r="H226">
        <v>20260105</v>
      </c>
      <c r="I226">
        <v>3569.0754999999999</v>
      </c>
      <c r="J226">
        <f t="shared" si="31"/>
        <v>36</v>
      </c>
      <c r="K226">
        <f t="shared" si="32"/>
        <v>99.140986111111104</v>
      </c>
      <c r="L226">
        <f t="shared" si="33"/>
        <v>2596.1548769193282</v>
      </c>
      <c r="M226">
        <f t="shared" si="34"/>
        <v>495.70493055555551</v>
      </c>
      <c r="N226">
        <f t="shared" si="35"/>
        <v>0</v>
      </c>
      <c r="O226">
        <f t="shared" si="36"/>
        <v>3091.8598074748838</v>
      </c>
      <c r="P226">
        <f t="shared" si="37"/>
        <v>2996.8605766073561</v>
      </c>
      <c r="Q226">
        <f t="shared" si="38"/>
        <v>572.21492339264364</v>
      </c>
      <c r="R226">
        <f t="shared" si="39"/>
        <v>0</v>
      </c>
      <c r="S226">
        <f t="shared" si="40"/>
        <v>3569.0754999999999</v>
      </c>
    </row>
    <row r="227" spans="1:19" x14ac:dyDescent="0.3">
      <c r="A227" t="s">
        <v>13</v>
      </c>
      <c r="B227" t="s">
        <v>16</v>
      </c>
      <c r="C227" t="s">
        <v>15</v>
      </c>
      <c r="D227">
        <v>31</v>
      </c>
      <c r="E227">
        <v>5</v>
      </c>
      <c r="F227">
        <v>0</v>
      </c>
      <c r="G227">
        <v>20251128</v>
      </c>
      <c r="H227">
        <v>20260105</v>
      </c>
      <c r="I227">
        <v>297.423</v>
      </c>
      <c r="J227">
        <f t="shared" si="31"/>
        <v>36</v>
      </c>
      <c r="K227">
        <f t="shared" si="32"/>
        <v>8.2617499999999993</v>
      </c>
      <c r="L227">
        <f t="shared" si="33"/>
        <v>216.3462700517199</v>
      </c>
      <c r="M227">
        <f t="shared" si="34"/>
        <v>41.308749999999996</v>
      </c>
      <c r="N227">
        <f t="shared" si="35"/>
        <v>0</v>
      </c>
      <c r="O227">
        <f t="shared" si="36"/>
        <v>257.65502005171987</v>
      </c>
      <c r="P227">
        <f t="shared" si="37"/>
        <v>249.73841637037094</v>
      </c>
      <c r="Q227">
        <f t="shared" si="38"/>
        <v>47.684583629629095</v>
      </c>
      <c r="R227">
        <f t="shared" si="39"/>
        <v>0</v>
      </c>
      <c r="S227">
        <f t="shared" si="40"/>
        <v>297.42300000000006</v>
      </c>
    </row>
    <row r="228" spans="1:19" x14ac:dyDescent="0.3">
      <c r="A228" t="s">
        <v>13</v>
      </c>
      <c r="B228" t="s">
        <v>25</v>
      </c>
      <c r="C228" t="s">
        <v>14</v>
      </c>
      <c r="D228">
        <v>21</v>
      </c>
      <c r="E228">
        <v>2</v>
      </c>
      <c r="F228">
        <v>0</v>
      </c>
      <c r="G228">
        <v>20251211</v>
      </c>
      <c r="H228">
        <v>20260102</v>
      </c>
      <c r="I228">
        <v>797.97149999999999</v>
      </c>
      <c r="J228">
        <f t="shared" si="31"/>
        <v>23</v>
      </c>
      <c r="K228">
        <f t="shared" si="32"/>
        <v>34.694413043478264</v>
      </c>
      <c r="L228">
        <f t="shared" si="33"/>
        <v>615.45245500941678</v>
      </c>
      <c r="M228">
        <f t="shared" si="34"/>
        <v>69.388826086956527</v>
      </c>
      <c r="N228">
        <f t="shared" si="35"/>
        <v>0</v>
      </c>
      <c r="O228">
        <f t="shared" si="36"/>
        <v>684.84128109637334</v>
      </c>
      <c r="P228">
        <f t="shared" si="37"/>
        <v>717.12020326274046</v>
      </c>
      <c r="Q228">
        <f t="shared" si="38"/>
        <v>80.851296737259503</v>
      </c>
      <c r="R228">
        <f t="shared" si="39"/>
        <v>0</v>
      </c>
      <c r="S228">
        <f t="shared" si="40"/>
        <v>797.97149999999999</v>
      </c>
    </row>
    <row r="229" spans="1:19" x14ac:dyDescent="0.3">
      <c r="A229" t="s">
        <v>13</v>
      </c>
      <c r="B229" t="s">
        <v>25</v>
      </c>
      <c r="C229" t="s">
        <v>15</v>
      </c>
      <c r="D229">
        <v>21</v>
      </c>
      <c r="E229">
        <v>6</v>
      </c>
      <c r="F229">
        <v>0</v>
      </c>
      <c r="G229">
        <v>20251211</v>
      </c>
      <c r="H229">
        <v>20260106</v>
      </c>
      <c r="I229">
        <v>11881.6603</v>
      </c>
      <c r="J229">
        <f t="shared" si="31"/>
        <v>27</v>
      </c>
      <c r="K229">
        <f t="shared" si="32"/>
        <v>440.06149259259257</v>
      </c>
      <c r="L229">
        <f t="shared" si="33"/>
        <v>7806.3556121215415</v>
      </c>
      <c r="M229">
        <f t="shared" si="34"/>
        <v>2640.3689555555557</v>
      </c>
      <c r="N229">
        <f t="shared" si="35"/>
        <v>0</v>
      </c>
      <c r="O229">
        <f t="shared" si="36"/>
        <v>10446.724567677098</v>
      </c>
      <c r="P229">
        <f t="shared" si="37"/>
        <v>8878.6169256543217</v>
      </c>
      <c r="Q229">
        <f t="shared" si="38"/>
        <v>3003.0433743456765</v>
      </c>
      <c r="R229">
        <f t="shared" si="39"/>
        <v>0</v>
      </c>
      <c r="S229">
        <f t="shared" si="40"/>
        <v>11881.660299999998</v>
      </c>
    </row>
    <row r="230" spans="1:19" x14ac:dyDescent="0.3">
      <c r="A230" t="s">
        <v>13</v>
      </c>
      <c r="B230" t="s">
        <v>25</v>
      </c>
      <c r="C230" t="s">
        <v>15</v>
      </c>
      <c r="D230">
        <v>15</v>
      </c>
      <c r="E230">
        <v>1</v>
      </c>
      <c r="F230">
        <v>0</v>
      </c>
      <c r="G230">
        <v>20251217</v>
      </c>
      <c r="H230">
        <v>20260101</v>
      </c>
      <c r="I230">
        <v>12386.6423</v>
      </c>
      <c r="J230">
        <f t="shared" si="31"/>
        <v>16</v>
      </c>
      <c r="K230">
        <f t="shared" si="32"/>
        <v>774.16514374999997</v>
      </c>
      <c r="L230">
        <f t="shared" si="33"/>
        <v>9809.3570303701999</v>
      </c>
      <c r="M230">
        <f t="shared" si="34"/>
        <v>774.16514374999997</v>
      </c>
      <c r="N230">
        <f t="shared" si="35"/>
        <v>0</v>
      </c>
      <c r="O230">
        <f t="shared" si="36"/>
        <v>10583.5221741202</v>
      </c>
      <c r="P230">
        <f t="shared" si="37"/>
        <v>11480.582241826929</v>
      </c>
      <c r="Q230">
        <f t="shared" si="38"/>
        <v>906.06005817307039</v>
      </c>
      <c r="R230">
        <f t="shared" si="39"/>
        <v>0</v>
      </c>
      <c r="S230">
        <f t="shared" si="40"/>
        <v>12386.6423</v>
      </c>
    </row>
    <row r="231" spans="1:19" x14ac:dyDescent="0.3">
      <c r="A231" t="s">
        <v>13</v>
      </c>
      <c r="B231" t="s">
        <v>25</v>
      </c>
      <c r="C231" t="s">
        <v>15</v>
      </c>
      <c r="D231">
        <v>23</v>
      </c>
      <c r="E231">
        <v>4</v>
      </c>
      <c r="F231">
        <v>0</v>
      </c>
      <c r="G231">
        <v>20251209</v>
      </c>
      <c r="H231">
        <v>20260104</v>
      </c>
      <c r="I231">
        <v>252.00290000000001</v>
      </c>
      <c r="J231">
        <f t="shared" si="31"/>
        <v>27</v>
      </c>
      <c r="K231">
        <f t="shared" si="32"/>
        <v>9.3334407407407411</v>
      </c>
      <c r="L231">
        <f t="shared" si="33"/>
        <v>181.33652107676355</v>
      </c>
      <c r="M231">
        <f t="shared" si="34"/>
        <v>37.333762962962965</v>
      </c>
      <c r="N231">
        <f t="shared" si="35"/>
        <v>0</v>
      </c>
      <c r="O231">
        <f t="shared" si="36"/>
        <v>218.67028403972651</v>
      </c>
      <c r="P231">
        <f t="shared" si="37"/>
        <v>208.97823125776688</v>
      </c>
      <c r="Q231">
        <f t="shared" si="38"/>
        <v>43.024668742233125</v>
      </c>
      <c r="R231">
        <f t="shared" si="39"/>
        <v>0</v>
      </c>
      <c r="S231">
        <f t="shared" si="40"/>
        <v>252.00290000000001</v>
      </c>
    </row>
    <row r="232" spans="1:19" x14ac:dyDescent="0.3">
      <c r="A232" t="s">
        <v>13</v>
      </c>
      <c r="B232" t="s">
        <v>25</v>
      </c>
      <c r="C232" t="s">
        <v>14</v>
      </c>
      <c r="D232">
        <v>20</v>
      </c>
      <c r="E232">
        <v>5</v>
      </c>
      <c r="F232">
        <v>0</v>
      </c>
      <c r="G232">
        <v>20251212</v>
      </c>
      <c r="H232">
        <v>20260105</v>
      </c>
      <c r="I232">
        <v>293.90649999999999</v>
      </c>
      <c r="J232">
        <f t="shared" si="31"/>
        <v>25</v>
      </c>
      <c r="K232">
        <f t="shared" si="32"/>
        <v>11.756259999999999</v>
      </c>
      <c r="L232">
        <f t="shared" si="33"/>
        <v>198.6162816600976</v>
      </c>
      <c r="M232">
        <f t="shared" si="34"/>
        <v>58.781299999999995</v>
      </c>
      <c r="N232">
        <f t="shared" si="35"/>
        <v>0</v>
      </c>
      <c r="O232">
        <f t="shared" si="36"/>
        <v>257.39758166009761</v>
      </c>
      <c r="P232">
        <f t="shared" si="37"/>
        <v>226.78774139696142</v>
      </c>
      <c r="Q232">
        <f t="shared" si="38"/>
        <v>67.118758603038557</v>
      </c>
      <c r="R232">
        <f t="shared" si="39"/>
        <v>0</v>
      </c>
      <c r="S232">
        <f t="shared" si="40"/>
        <v>293.90649999999999</v>
      </c>
    </row>
    <row r="233" spans="1:19" x14ac:dyDescent="0.3">
      <c r="A233" t="s">
        <v>13</v>
      </c>
      <c r="B233" t="s">
        <v>25</v>
      </c>
      <c r="C233" t="s">
        <v>15</v>
      </c>
      <c r="D233">
        <v>16</v>
      </c>
      <c r="E233">
        <v>14</v>
      </c>
      <c r="F233">
        <v>0</v>
      </c>
      <c r="G233">
        <v>20251216</v>
      </c>
      <c r="H233">
        <v>20260114</v>
      </c>
      <c r="I233">
        <v>923.3365</v>
      </c>
      <c r="J233">
        <f t="shared" si="31"/>
        <v>30</v>
      </c>
      <c r="K233">
        <f t="shared" si="32"/>
        <v>30.777883333333332</v>
      </c>
      <c r="L233">
        <f t="shared" si="33"/>
        <v>415.98186804544696</v>
      </c>
      <c r="M233">
        <f t="shared" si="34"/>
        <v>430.89036666666664</v>
      </c>
      <c r="N233">
        <f t="shared" si="35"/>
        <v>0</v>
      </c>
      <c r="O233">
        <f t="shared" si="36"/>
        <v>846.8722347121136</v>
      </c>
      <c r="P233">
        <f t="shared" si="37"/>
        <v>453.5409550120782</v>
      </c>
      <c r="Q233">
        <f t="shared" si="38"/>
        <v>469.7955449879218</v>
      </c>
      <c r="R233">
        <f t="shared" si="39"/>
        <v>0</v>
      </c>
      <c r="S233">
        <f t="shared" si="40"/>
        <v>923.3365</v>
      </c>
    </row>
    <row r="234" spans="1:19" x14ac:dyDescent="0.3">
      <c r="A234" t="s">
        <v>13</v>
      </c>
      <c r="B234" t="s">
        <v>25</v>
      </c>
      <c r="C234" t="s">
        <v>15</v>
      </c>
      <c r="D234">
        <v>17</v>
      </c>
      <c r="E234">
        <v>4</v>
      </c>
      <c r="F234">
        <v>0</v>
      </c>
      <c r="G234">
        <v>20251215</v>
      </c>
      <c r="H234">
        <v>20260104</v>
      </c>
      <c r="I234">
        <v>83.971299999999999</v>
      </c>
      <c r="J234">
        <f t="shared" si="31"/>
        <v>21</v>
      </c>
      <c r="K234">
        <f t="shared" si="32"/>
        <v>3.9986333333333333</v>
      </c>
      <c r="L234">
        <f t="shared" si="33"/>
        <v>57.421716747543016</v>
      </c>
      <c r="M234">
        <f t="shared" si="34"/>
        <v>15.994533333333333</v>
      </c>
      <c r="N234">
        <f t="shared" si="35"/>
        <v>0</v>
      </c>
      <c r="O234">
        <f t="shared" si="36"/>
        <v>73.416250080876353</v>
      </c>
      <c r="P234">
        <f t="shared" si="37"/>
        <v>65.677233558118587</v>
      </c>
      <c r="Q234">
        <f t="shared" si="38"/>
        <v>18.294066441881409</v>
      </c>
      <c r="R234">
        <f t="shared" si="39"/>
        <v>0</v>
      </c>
      <c r="S234">
        <f t="shared" si="40"/>
        <v>83.971299999999999</v>
      </c>
    </row>
    <row r="235" spans="1:19" x14ac:dyDescent="0.3">
      <c r="A235" t="s">
        <v>13</v>
      </c>
      <c r="B235" t="s">
        <v>25</v>
      </c>
      <c r="C235" t="s">
        <v>15</v>
      </c>
      <c r="D235">
        <v>2</v>
      </c>
      <c r="E235">
        <v>31</v>
      </c>
      <c r="F235">
        <v>4</v>
      </c>
      <c r="G235">
        <v>20251230</v>
      </c>
      <c r="H235">
        <v>20260204</v>
      </c>
      <c r="I235">
        <v>14240.8416</v>
      </c>
      <c r="J235">
        <f t="shared" si="31"/>
        <v>37</v>
      </c>
      <c r="K235">
        <f t="shared" si="32"/>
        <v>384.88761081081083</v>
      </c>
      <c r="L235">
        <f t="shared" si="33"/>
        <v>650.24885564186263</v>
      </c>
      <c r="M235">
        <f t="shared" si="34"/>
        <v>11931.515935135136</v>
      </c>
      <c r="N235">
        <f t="shared" si="35"/>
        <v>1269.3716294186236</v>
      </c>
      <c r="O235">
        <f t="shared" si="36"/>
        <v>13851.136420195622</v>
      </c>
      <c r="P235">
        <f t="shared" si="37"/>
        <v>668.54376946828529</v>
      </c>
      <c r="Q235">
        <f t="shared" si="38"/>
        <v>12267.212113541193</v>
      </c>
      <c r="R235">
        <f t="shared" si="39"/>
        <v>1305.0857169905207</v>
      </c>
      <c r="S235">
        <f t="shared" si="40"/>
        <v>14240.8416</v>
      </c>
    </row>
    <row r="236" spans="1:19" x14ac:dyDescent="0.3">
      <c r="A236" t="s">
        <v>13</v>
      </c>
      <c r="B236" t="s">
        <v>25</v>
      </c>
      <c r="C236" t="s">
        <v>15</v>
      </c>
      <c r="D236">
        <v>0</v>
      </c>
      <c r="E236">
        <v>9</v>
      </c>
      <c r="F236">
        <v>1</v>
      </c>
      <c r="G236">
        <v>20260123</v>
      </c>
      <c r="H236">
        <v>20260201</v>
      </c>
      <c r="I236">
        <v>14089.6914</v>
      </c>
      <c r="J236">
        <f t="shared" si="31"/>
        <v>10</v>
      </c>
      <c r="K236">
        <f t="shared" si="32"/>
        <v>1408.9691399999999</v>
      </c>
      <c r="L236">
        <f t="shared" si="33"/>
        <v>0</v>
      </c>
      <c r="M236">
        <f t="shared" si="34"/>
        <v>12680.722259999999</v>
      </c>
      <c r="N236">
        <f t="shared" si="35"/>
        <v>1161.7063025714574</v>
      </c>
      <c r="O236">
        <f t="shared" si="36"/>
        <v>13842.428562571456</v>
      </c>
      <c r="P236">
        <f t="shared" si="37"/>
        <v>0</v>
      </c>
      <c r="Q236">
        <f t="shared" si="38"/>
        <v>12907.233912379328</v>
      </c>
      <c r="R236">
        <f t="shared" si="39"/>
        <v>1182.4574876206709</v>
      </c>
      <c r="S236">
        <f t="shared" si="40"/>
        <v>14089.6914</v>
      </c>
    </row>
    <row r="237" spans="1:19" x14ac:dyDescent="0.3">
      <c r="A237" t="s">
        <v>13</v>
      </c>
      <c r="B237" t="s">
        <v>25</v>
      </c>
      <c r="C237" t="s">
        <v>15</v>
      </c>
      <c r="D237">
        <v>0</v>
      </c>
      <c r="E237">
        <v>9</v>
      </c>
      <c r="F237">
        <v>2</v>
      </c>
      <c r="G237">
        <v>20260123</v>
      </c>
      <c r="H237">
        <v>20260202</v>
      </c>
      <c r="I237">
        <v>2566.6705999999999</v>
      </c>
      <c r="J237">
        <f t="shared" si="31"/>
        <v>11</v>
      </c>
      <c r="K237">
        <f t="shared" si="32"/>
        <v>233.3336909090909</v>
      </c>
      <c r="L237">
        <f t="shared" si="33"/>
        <v>0</v>
      </c>
      <c r="M237">
        <f t="shared" si="34"/>
        <v>2100.0032181818183</v>
      </c>
      <c r="N237">
        <f t="shared" si="35"/>
        <v>384.77098133086332</v>
      </c>
      <c r="O237">
        <f t="shared" si="36"/>
        <v>2484.7741995126817</v>
      </c>
      <c r="P237">
        <f t="shared" si="37"/>
        <v>0</v>
      </c>
      <c r="Q237">
        <f t="shared" si="38"/>
        <v>2169.2178392184519</v>
      </c>
      <c r="R237">
        <f t="shared" si="39"/>
        <v>397.45276078154779</v>
      </c>
      <c r="S237">
        <f t="shared" si="40"/>
        <v>2566.6705999999995</v>
      </c>
    </row>
    <row r="238" spans="1:19" x14ac:dyDescent="0.3">
      <c r="A238" t="s">
        <v>13</v>
      </c>
      <c r="B238" t="s">
        <v>25</v>
      </c>
      <c r="C238" t="s">
        <v>15</v>
      </c>
      <c r="D238">
        <v>0</v>
      </c>
      <c r="E238">
        <v>17</v>
      </c>
      <c r="F238">
        <v>3</v>
      </c>
      <c r="G238">
        <v>20260115</v>
      </c>
      <c r="H238">
        <v>20260203</v>
      </c>
      <c r="I238">
        <v>53698.966800000002</v>
      </c>
      <c r="J238">
        <f t="shared" si="31"/>
        <v>20</v>
      </c>
      <c r="K238">
        <f t="shared" si="32"/>
        <v>2684.9483399999999</v>
      </c>
      <c r="L238">
        <f t="shared" si="33"/>
        <v>0</v>
      </c>
      <c r="M238">
        <f t="shared" si="34"/>
        <v>45644.121780000001</v>
      </c>
      <c r="N238">
        <f t="shared" si="35"/>
        <v>6641.2840141909119</v>
      </c>
      <c r="O238">
        <f t="shared" si="36"/>
        <v>52285.405794190912</v>
      </c>
      <c r="P238">
        <f t="shared" si="37"/>
        <v>0</v>
      </c>
      <c r="Q238">
        <f t="shared" si="38"/>
        <v>46878.132489347467</v>
      </c>
      <c r="R238">
        <f t="shared" si="39"/>
        <v>6820.8343106525408</v>
      </c>
      <c r="S238">
        <f t="shared" si="40"/>
        <v>53698.966800000009</v>
      </c>
    </row>
    <row r="239" spans="1:19" x14ac:dyDescent="0.3">
      <c r="A239" t="s">
        <v>13</v>
      </c>
      <c r="B239" t="s">
        <v>25</v>
      </c>
      <c r="C239" t="s">
        <v>15</v>
      </c>
      <c r="D239">
        <v>0</v>
      </c>
      <c r="E239">
        <v>12</v>
      </c>
      <c r="F239">
        <v>1</v>
      </c>
      <c r="G239">
        <v>20260120</v>
      </c>
      <c r="H239">
        <v>20260201</v>
      </c>
      <c r="I239">
        <v>4793.3491000000004</v>
      </c>
      <c r="J239">
        <f t="shared" si="31"/>
        <v>13</v>
      </c>
      <c r="K239">
        <f t="shared" si="32"/>
        <v>368.71916153846155</v>
      </c>
      <c r="L239">
        <f t="shared" si="33"/>
        <v>0</v>
      </c>
      <c r="M239">
        <f t="shared" si="34"/>
        <v>4424.6299384615386</v>
      </c>
      <c r="N239">
        <f t="shared" si="35"/>
        <v>304.01189187017548</v>
      </c>
      <c r="O239">
        <f t="shared" si="36"/>
        <v>4728.6418303317141</v>
      </c>
      <c r="P239">
        <f t="shared" si="37"/>
        <v>0</v>
      </c>
      <c r="Q239">
        <f t="shared" si="38"/>
        <v>4485.1770750143442</v>
      </c>
      <c r="R239">
        <f t="shared" si="39"/>
        <v>308.17202498565598</v>
      </c>
      <c r="S239">
        <f t="shared" si="40"/>
        <v>4793.3491000000004</v>
      </c>
    </row>
    <row r="240" spans="1:19" x14ac:dyDescent="0.3">
      <c r="A240" t="s">
        <v>13</v>
      </c>
      <c r="B240" t="s">
        <v>25</v>
      </c>
      <c r="C240" t="s">
        <v>15</v>
      </c>
      <c r="D240">
        <v>0</v>
      </c>
      <c r="E240">
        <v>11</v>
      </c>
      <c r="F240">
        <v>1</v>
      </c>
      <c r="G240">
        <v>20260121</v>
      </c>
      <c r="H240">
        <v>20260201</v>
      </c>
      <c r="I240">
        <v>10091.2613</v>
      </c>
      <c r="J240">
        <f t="shared" si="31"/>
        <v>12</v>
      </c>
      <c r="K240">
        <f t="shared" si="32"/>
        <v>840.93844166666668</v>
      </c>
      <c r="L240">
        <f t="shared" si="33"/>
        <v>0</v>
      </c>
      <c r="M240">
        <f t="shared" si="34"/>
        <v>9250.322858333333</v>
      </c>
      <c r="N240">
        <f t="shared" si="35"/>
        <v>693.36045767388953</v>
      </c>
      <c r="O240">
        <f t="shared" si="36"/>
        <v>9943.6833160072219</v>
      </c>
      <c r="P240">
        <f t="shared" si="37"/>
        <v>0</v>
      </c>
      <c r="Q240">
        <f t="shared" si="38"/>
        <v>9387.6104162061347</v>
      </c>
      <c r="R240">
        <f t="shared" si="39"/>
        <v>703.6508837938668</v>
      </c>
      <c r="S240">
        <f t="shared" si="40"/>
        <v>10091.261300000002</v>
      </c>
    </row>
    <row r="241" spans="1:19" x14ac:dyDescent="0.3">
      <c r="A241" t="s">
        <v>13</v>
      </c>
      <c r="B241" t="s">
        <v>25</v>
      </c>
      <c r="C241" t="s">
        <v>15</v>
      </c>
      <c r="D241">
        <v>0</v>
      </c>
      <c r="E241">
        <v>10</v>
      </c>
      <c r="F241">
        <v>2</v>
      </c>
      <c r="G241">
        <v>20260122</v>
      </c>
      <c r="H241">
        <v>20260202</v>
      </c>
      <c r="I241">
        <v>2986.7347</v>
      </c>
      <c r="J241">
        <f t="shared" si="31"/>
        <v>12</v>
      </c>
      <c r="K241">
        <f t="shared" si="32"/>
        <v>248.89455833333332</v>
      </c>
      <c r="L241">
        <f t="shared" si="33"/>
        <v>0</v>
      </c>
      <c r="M241">
        <f t="shared" si="34"/>
        <v>2488.9455833333332</v>
      </c>
      <c r="N241">
        <f t="shared" si="35"/>
        <v>410.43110013264391</v>
      </c>
      <c r="O241">
        <f t="shared" si="36"/>
        <v>2899.3766834659773</v>
      </c>
      <c r="P241">
        <f t="shared" si="37"/>
        <v>0</v>
      </c>
      <c r="Q241">
        <f t="shared" si="38"/>
        <v>2563.9373395480507</v>
      </c>
      <c r="R241">
        <f t="shared" si="39"/>
        <v>422.79736045194932</v>
      </c>
      <c r="S241">
        <f t="shared" si="40"/>
        <v>2986.7347</v>
      </c>
    </row>
    <row r="242" spans="1:19" x14ac:dyDescent="0.3">
      <c r="A242" t="s">
        <v>13</v>
      </c>
      <c r="B242" t="s">
        <v>25</v>
      </c>
      <c r="C242" t="s">
        <v>14</v>
      </c>
      <c r="D242">
        <v>0</v>
      </c>
      <c r="E242">
        <v>16</v>
      </c>
      <c r="F242">
        <v>2</v>
      </c>
      <c r="G242">
        <v>20260116</v>
      </c>
      <c r="H242">
        <v>20260202</v>
      </c>
      <c r="I242">
        <v>8156.1442999999999</v>
      </c>
      <c r="J242">
        <f t="shared" si="31"/>
        <v>18</v>
      </c>
      <c r="K242">
        <f t="shared" si="32"/>
        <v>453.11912777777775</v>
      </c>
      <c r="L242">
        <f t="shared" si="33"/>
        <v>0</v>
      </c>
      <c r="M242">
        <f t="shared" si="34"/>
        <v>7249.906044444444</v>
      </c>
      <c r="N242">
        <f t="shared" si="35"/>
        <v>747.20067545996926</v>
      </c>
      <c r="O242">
        <f t="shared" si="36"/>
        <v>7997.1067199044137</v>
      </c>
      <c r="P242">
        <f t="shared" si="37"/>
        <v>0</v>
      </c>
      <c r="Q242">
        <f t="shared" si="38"/>
        <v>7394.084127045121</v>
      </c>
      <c r="R242">
        <f t="shared" si="39"/>
        <v>762.06017295487845</v>
      </c>
      <c r="S242">
        <f t="shared" si="40"/>
        <v>8156.1442999999999</v>
      </c>
    </row>
    <row r="243" spans="1:19" x14ac:dyDescent="0.3">
      <c r="A243" t="s">
        <v>13</v>
      </c>
      <c r="B243" t="s">
        <v>25</v>
      </c>
      <c r="C243" t="s">
        <v>15</v>
      </c>
      <c r="D243">
        <v>0</v>
      </c>
      <c r="E243">
        <v>12</v>
      </c>
      <c r="F243">
        <v>4</v>
      </c>
      <c r="G243">
        <v>20260120</v>
      </c>
      <c r="H243">
        <v>20260204</v>
      </c>
      <c r="I243">
        <v>23776.052500000002</v>
      </c>
      <c r="J243">
        <f t="shared" si="31"/>
        <v>16</v>
      </c>
      <c r="K243">
        <f t="shared" si="32"/>
        <v>1486.0032812500001</v>
      </c>
      <c r="L243">
        <f t="shared" si="33"/>
        <v>0</v>
      </c>
      <c r="M243">
        <f t="shared" si="34"/>
        <v>17832.039375</v>
      </c>
      <c r="N243">
        <f t="shared" si="35"/>
        <v>4900.8862677290181</v>
      </c>
      <c r="O243">
        <f t="shared" si="36"/>
        <v>22732.925642729017</v>
      </c>
      <c r="P243">
        <f t="shared" si="37"/>
        <v>0</v>
      </c>
      <c r="Q243">
        <f t="shared" si="38"/>
        <v>18650.283339033096</v>
      </c>
      <c r="R243">
        <f t="shared" si="39"/>
        <v>5125.7691609669064</v>
      </c>
      <c r="S243">
        <f t="shared" si="40"/>
        <v>23776.052500000002</v>
      </c>
    </row>
    <row r="244" spans="1:19" x14ac:dyDescent="0.3">
      <c r="A244" t="s">
        <v>13</v>
      </c>
      <c r="B244" t="s">
        <v>25</v>
      </c>
      <c r="C244" t="s">
        <v>15</v>
      </c>
      <c r="D244">
        <v>0</v>
      </c>
      <c r="E244">
        <v>19</v>
      </c>
      <c r="F244">
        <v>6</v>
      </c>
      <c r="G244">
        <v>20260113</v>
      </c>
      <c r="H244">
        <v>20260206</v>
      </c>
      <c r="I244">
        <v>1051.1977999999999</v>
      </c>
      <c r="J244">
        <f t="shared" si="31"/>
        <v>25</v>
      </c>
      <c r="K244">
        <f t="shared" si="32"/>
        <v>42.047911999999997</v>
      </c>
      <c r="L244">
        <f t="shared" si="33"/>
        <v>0</v>
      </c>
      <c r="M244">
        <f t="shared" si="34"/>
        <v>798.91032799999994</v>
      </c>
      <c r="N244">
        <f t="shared" si="35"/>
        <v>208.013034467327</v>
      </c>
      <c r="O244">
        <f t="shared" si="36"/>
        <v>1006.9233624673269</v>
      </c>
      <c r="P244">
        <f t="shared" si="37"/>
        <v>0</v>
      </c>
      <c r="Q244">
        <f t="shared" si="38"/>
        <v>834.03842883636435</v>
      </c>
      <c r="R244">
        <f t="shared" si="39"/>
        <v>217.15937116363568</v>
      </c>
      <c r="S244">
        <f t="shared" si="40"/>
        <v>1051.1977999999999</v>
      </c>
    </row>
    <row r="245" spans="1:19" x14ac:dyDescent="0.3">
      <c r="A245" t="s">
        <v>13</v>
      </c>
      <c r="B245" t="s">
        <v>25</v>
      </c>
      <c r="C245" t="s">
        <v>15</v>
      </c>
      <c r="D245">
        <v>0</v>
      </c>
      <c r="E245">
        <v>11</v>
      </c>
      <c r="F245">
        <v>6</v>
      </c>
      <c r="G245">
        <v>20260121</v>
      </c>
      <c r="H245">
        <v>20260206</v>
      </c>
      <c r="I245">
        <v>631.20780000000002</v>
      </c>
      <c r="J245">
        <f t="shared" si="31"/>
        <v>17</v>
      </c>
      <c r="K245">
        <f t="shared" si="32"/>
        <v>37.129870588235292</v>
      </c>
      <c r="L245">
        <f t="shared" si="33"/>
        <v>0</v>
      </c>
      <c r="M245">
        <f t="shared" si="34"/>
        <v>408.42857647058821</v>
      </c>
      <c r="N245">
        <f t="shared" si="35"/>
        <v>183.68324806325649</v>
      </c>
      <c r="O245">
        <f t="shared" si="36"/>
        <v>592.1118245338447</v>
      </c>
      <c r="P245">
        <f t="shared" si="37"/>
        <v>0</v>
      </c>
      <c r="Q245">
        <f t="shared" si="38"/>
        <v>435.39630949625786</v>
      </c>
      <c r="R245">
        <f t="shared" si="39"/>
        <v>195.81149050374219</v>
      </c>
      <c r="S245">
        <f t="shared" si="40"/>
        <v>631.20780000000002</v>
      </c>
    </row>
    <row r="246" spans="1:19" x14ac:dyDescent="0.3">
      <c r="A246" t="s">
        <v>13</v>
      </c>
      <c r="B246" t="s">
        <v>25</v>
      </c>
      <c r="C246" t="s">
        <v>14</v>
      </c>
      <c r="D246">
        <v>0</v>
      </c>
      <c r="E246">
        <v>12</v>
      </c>
      <c r="F246">
        <v>4</v>
      </c>
      <c r="G246">
        <v>20260120</v>
      </c>
      <c r="H246">
        <v>20260204</v>
      </c>
      <c r="I246">
        <v>42.081499999999998</v>
      </c>
      <c r="J246">
        <f t="shared" si="31"/>
        <v>16</v>
      </c>
      <c r="K246">
        <f t="shared" si="32"/>
        <v>2.6300937499999999</v>
      </c>
      <c r="L246">
        <f t="shared" si="33"/>
        <v>0</v>
      </c>
      <c r="M246">
        <f t="shared" si="34"/>
        <v>31.561124999999997</v>
      </c>
      <c r="N246">
        <f t="shared" si="35"/>
        <v>8.6741331629983005</v>
      </c>
      <c r="O246">
        <f t="shared" si="36"/>
        <v>40.235258162998299</v>
      </c>
      <c r="P246">
        <f t="shared" si="37"/>
        <v>0</v>
      </c>
      <c r="Q246">
        <f t="shared" si="38"/>
        <v>33.00934410081409</v>
      </c>
      <c r="R246">
        <f t="shared" si="39"/>
        <v>9.0721558991859066</v>
      </c>
      <c r="S246">
        <f t="shared" si="40"/>
        <v>42.081499999999998</v>
      </c>
    </row>
    <row r="247" spans="1:19" x14ac:dyDescent="0.3">
      <c r="A247" t="s">
        <v>13</v>
      </c>
      <c r="B247" t="s">
        <v>25</v>
      </c>
      <c r="C247" t="s">
        <v>15</v>
      </c>
      <c r="D247">
        <v>0</v>
      </c>
      <c r="E247">
        <v>20</v>
      </c>
      <c r="F247">
        <v>6</v>
      </c>
      <c r="G247">
        <v>20260112</v>
      </c>
      <c r="H247">
        <v>20260206</v>
      </c>
      <c r="I247">
        <v>20140.002199999999</v>
      </c>
      <c r="J247">
        <f t="shared" si="31"/>
        <v>26</v>
      </c>
      <c r="K247">
        <f t="shared" si="32"/>
        <v>774.61546923076924</v>
      </c>
      <c r="L247">
        <f t="shared" si="33"/>
        <v>0</v>
      </c>
      <c r="M247">
        <f t="shared" si="34"/>
        <v>15492.309384615384</v>
      </c>
      <c r="N247">
        <f t="shared" si="35"/>
        <v>3832.0598249926106</v>
      </c>
      <c r="O247">
        <f t="shared" si="36"/>
        <v>19324.369209607994</v>
      </c>
      <c r="P247">
        <f t="shared" si="37"/>
        <v>0</v>
      </c>
      <c r="Q247">
        <f t="shared" si="38"/>
        <v>16146.200774000006</v>
      </c>
      <c r="R247">
        <f t="shared" si="39"/>
        <v>3993.8014259999945</v>
      </c>
      <c r="S247">
        <f t="shared" si="40"/>
        <v>20140.002200000003</v>
      </c>
    </row>
    <row r="248" spans="1:19" x14ac:dyDescent="0.3">
      <c r="A248" t="s">
        <v>13</v>
      </c>
      <c r="B248" t="s">
        <v>25</v>
      </c>
      <c r="C248" t="s">
        <v>15</v>
      </c>
      <c r="D248">
        <v>28</v>
      </c>
      <c r="E248">
        <v>7</v>
      </c>
      <c r="F248">
        <v>0</v>
      </c>
      <c r="G248">
        <v>20251204</v>
      </c>
      <c r="H248">
        <v>20260107</v>
      </c>
      <c r="I248">
        <v>1150012.8388</v>
      </c>
      <c r="J248">
        <f t="shared" si="31"/>
        <v>35</v>
      </c>
      <c r="K248">
        <f t="shared" si="32"/>
        <v>32857.509680000003</v>
      </c>
      <c r="L248">
        <f t="shared" si="33"/>
        <v>777156.25174614799</v>
      </c>
      <c r="M248">
        <f t="shared" si="34"/>
        <v>230002.56776000001</v>
      </c>
      <c r="N248">
        <f t="shared" si="35"/>
        <v>0</v>
      </c>
      <c r="O248">
        <f t="shared" si="36"/>
        <v>1007158.819506148</v>
      </c>
      <c r="P248">
        <f t="shared" si="37"/>
        <v>887387.02372679708</v>
      </c>
      <c r="Q248">
        <f t="shared" si="38"/>
        <v>262625.81507320289</v>
      </c>
      <c r="R248">
        <f t="shared" si="39"/>
        <v>0</v>
      </c>
      <c r="S248">
        <f t="shared" si="40"/>
        <v>1150012.8388</v>
      </c>
    </row>
    <row r="249" spans="1:19" x14ac:dyDescent="0.3">
      <c r="A249" t="s">
        <v>13</v>
      </c>
      <c r="B249" t="s">
        <v>25</v>
      </c>
      <c r="C249" t="s">
        <v>15</v>
      </c>
      <c r="D249">
        <v>30</v>
      </c>
      <c r="E249">
        <v>2</v>
      </c>
      <c r="F249">
        <v>0</v>
      </c>
      <c r="G249">
        <v>20251202</v>
      </c>
      <c r="H249">
        <v>20260102</v>
      </c>
      <c r="I249">
        <v>15131341.0087</v>
      </c>
      <c r="J249">
        <f t="shared" si="31"/>
        <v>32</v>
      </c>
      <c r="K249">
        <f t="shared" si="32"/>
        <v>472854.406521875</v>
      </c>
      <c r="L249">
        <f t="shared" si="33"/>
        <v>11982967.030752173</v>
      </c>
      <c r="M249">
        <f t="shared" si="34"/>
        <v>945708.81304375001</v>
      </c>
      <c r="N249">
        <f t="shared" si="35"/>
        <v>0</v>
      </c>
      <c r="O249">
        <f t="shared" si="36"/>
        <v>12928675.843795924</v>
      </c>
      <c r="P249">
        <f t="shared" si="37"/>
        <v>14024511.297909103</v>
      </c>
      <c r="Q249">
        <f t="shared" si="38"/>
        <v>1106829.7107908968</v>
      </c>
      <c r="R249">
        <f t="shared" si="39"/>
        <v>0</v>
      </c>
      <c r="S249">
        <f t="shared" si="40"/>
        <v>15131341.0087</v>
      </c>
    </row>
    <row r="250" spans="1:19" x14ac:dyDescent="0.3">
      <c r="A250" t="s">
        <v>13</v>
      </c>
      <c r="B250" t="s">
        <v>25</v>
      </c>
      <c r="C250" t="s">
        <v>15</v>
      </c>
      <c r="D250">
        <v>28</v>
      </c>
      <c r="E250">
        <v>8</v>
      </c>
      <c r="F250">
        <v>0</v>
      </c>
      <c r="G250">
        <v>20251204</v>
      </c>
      <c r="H250">
        <v>20260108</v>
      </c>
      <c r="I250">
        <v>460780.44949999999</v>
      </c>
      <c r="J250">
        <f t="shared" si="31"/>
        <v>36</v>
      </c>
      <c r="K250">
        <f t="shared" si="32"/>
        <v>12799.456930555556</v>
      </c>
      <c r="L250">
        <f t="shared" si="33"/>
        <v>302736.81935766269</v>
      </c>
      <c r="M250">
        <f t="shared" si="34"/>
        <v>102395.65544444445</v>
      </c>
      <c r="N250">
        <f t="shared" si="35"/>
        <v>0</v>
      </c>
      <c r="O250">
        <f t="shared" si="36"/>
        <v>405132.47480210714</v>
      </c>
      <c r="P250">
        <f t="shared" si="37"/>
        <v>344319.98514057056</v>
      </c>
      <c r="Q250">
        <f t="shared" si="38"/>
        <v>116460.4643594294</v>
      </c>
      <c r="R250">
        <f t="shared" si="39"/>
        <v>0</v>
      </c>
      <c r="S250">
        <f t="shared" si="40"/>
        <v>460780.44949999999</v>
      </c>
    </row>
    <row r="251" spans="1:19" x14ac:dyDescent="0.3">
      <c r="A251" t="s">
        <v>13</v>
      </c>
      <c r="B251" t="s">
        <v>25</v>
      </c>
      <c r="C251" t="s">
        <v>15</v>
      </c>
      <c r="D251">
        <v>30</v>
      </c>
      <c r="E251">
        <v>5</v>
      </c>
      <c r="F251">
        <v>0</v>
      </c>
      <c r="G251">
        <v>20251202</v>
      </c>
      <c r="H251">
        <v>20260105</v>
      </c>
      <c r="I251">
        <v>4188008.8522999999</v>
      </c>
      <c r="J251">
        <f t="shared" si="31"/>
        <v>35</v>
      </c>
      <c r="K251">
        <f t="shared" si="32"/>
        <v>119657.39577999999</v>
      </c>
      <c r="L251">
        <f t="shared" si="33"/>
        <v>3032330.0551732765</v>
      </c>
      <c r="M251">
        <f t="shared" si="34"/>
        <v>598286.97889999999</v>
      </c>
      <c r="N251">
        <f t="shared" si="35"/>
        <v>0</v>
      </c>
      <c r="O251">
        <f t="shared" si="36"/>
        <v>3630617.0340732764</v>
      </c>
      <c r="P251">
        <f t="shared" si="37"/>
        <v>3497869.6444646046</v>
      </c>
      <c r="Q251">
        <f t="shared" si="38"/>
        <v>690139.20783539524</v>
      </c>
      <c r="R251">
        <f t="shared" si="39"/>
        <v>0</v>
      </c>
      <c r="S251">
        <f t="shared" si="40"/>
        <v>4188008.8522999999</v>
      </c>
    </row>
    <row r="252" spans="1:19" x14ac:dyDescent="0.3">
      <c r="A252" t="s">
        <v>13</v>
      </c>
      <c r="B252" t="s">
        <v>25</v>
      </c>
      <c r="C252" t="s">
        <v>15</v>
      </c>
      <c r="D252">
        <v>0</v>
      </c>
      <c r="E252">
        <v>28</v>
      </c>
      <c r="F252">
        <v>3</v>
      </c>
      <c r="G252">
        <v>20260104</v>
      </c>
      <c r="H252">
        <v>20260203</v>
      </c>
      <c r="I252">
        <v>7824360.3013000004</v>
      </c>
      <c r="J252">
        <f t="shared" si="31"/>
        <v>31</v>
      </c>
      <c r="K252">
        <f t="shared" si="32"/>
        <v>252398.71939677422</v>
      </c>
      <c r="L252">
        <f t="shared" si="33"/>
        <v>0</v>
      </c>
      <c r="M252">
        <f t="shared" si="34"/>
        <v>7067164.1431096783</v>
      </c>
      <c r="N252">
        <f t="shared" si="35"/>
        <v>624314.27650189144</v>
      </c>
      <c r="O252">
        <f t="shared" si="36"/>
        <v>7691478.4196115695</v>
      </c>
      <c r="P252">
        <f t="shared" si="37"/>
        <v>0</v>
      </c>
      <c r="Q252">
        <f t="shared" si="38"/>
        <v>7189260.0547543019</v>
      </c>
      <c r="R252">
        <f t="shared" si="39"/>
        <v>635100.24654569896</v>
      </c>
      <c r="S252">
        <f t="shared" si="40"/>
        <v>7824360.3013000004</v>
      </c>
    </row>
    <row r="253" spans="1:19" x14ac:dyDescent="0.3">
      <c r="A253" t="s">
        <v>13</v>
      </c>
      <c r="B253" t="s">
        <v>25</v>
      </c>
      <c r="C253" t="s">
        <v>15</v>
      </c>
      <c r="D253">
        <v>28</v>
      </c>
      <c r="E253">
        <v>4</v>
      </c>
      <c r="F253">
        <v>0</v>
      </c>
      <c r="G253">
        <v>20251204</v>
      </c>
      <c r="H253">
        <v>20260104</v>
      </c>
      <c r="I253">
        <v>2115528.7574</v>
      </c>
      <c r="J253">
        <f t="shared" si="31"/>
        <v>32</v>
      </c>
      <c r="K253">
        <f t="shared" si="32"/>
        <v>66110.27366875</v>
      </c>
      <c r="L253">
        <f t="shared" si="33"/>
        <v>1563661.1839025354</v>
      </c>
      <c r="M253">
        <f t="shared" si="34"/>
        <v>264441.094675</v>
      </c>
      <c r="N253">
        <f t="shared" si="35"/>
        <v>0</v>
      </c>
      <c r="O253">
        <f t="shared" si="36"/>
        <v>1828102.2785775354</v>
      </c>
      <c r="P253">
        <f t="shared" si="37"/>
        <v>1809510.4634681097</v>
      </c>
      <c r="Q253">
        <f t="shared" si="38"/>
        <v>306018.29393189022</v>
      </c>
      <c r="R253">
        <f t="shared" si="39"/>
        <v>0</v>
      </c>
      <c r="S253">
        <f t="shared" si="40"/>
        <v>2115528.7574</v>
      </c>
    </row>
    <row r="254" spans="1:19" x14ac:dyDescent="0.3">
      <c r="A254" t="s">
        <v>13</v>
      </c>
      <c r="B254" t="s">
        <v>25</v>
      </c>
      <c r="C254" t="s">
        <v>15</v>
      </c>
      <c r="D254">
        <v>0</v>
      </c>
      <c r="E254">
        <v>30</v>
      </c>
      <c r="F254">
        <v>5</v>
      </c>
      <c r="G254">
        <v>20260102</v>
      </c>
      <c r="H254">
        <v>20260205</v>
      </c>
      <c r="I254">
        <v>1027092.6719</v>
      </c>
      <c r="J254">
        <f t="shared" si="31"/>
        <v>35</v>
      </c>
      <c r="K254">
        <f t="shared" si="32"/>
        <v>29345.504911428568</v>
      </c>
      <c r="L254">
        <f t="shared" si="33"/>
        <v>0</v>
      </c>
      <c r="M254">
        <f t="shared" si="34"/>
        <v>880365.14734285709</v>
      </c>
      <c r="N254">
        <f t="shared" si="35"/>
        <v>120978.01520247714</v>
      </c>
      <c r="O254">
        <f t="shared" si="36"/>
        <v>1001343.1625453342</v>
      </c>
      <c r="P254">
        <f t="shared" si="37"/>
        <v>0</v>
      </c>
      <c r="Q254">
        <f t="shared" si="38"/>
        <v>903003.71066954313</v>
      </c>
      <c r="R254">
        <f t="shared" si="39"/>
        <v>124088.96123045689</v>
      </c>
      <c r="S254">
        <f t="shared" si="40"/>
        <v>1027092.6719</v>
      </c>
    </row>
    <row r="255" spans="1:19" x14ac:dyDescent="0.3">
      <c r="A255" t="s">
        <v>13</v>
      </c>
      <c r="B255" t="s">
        <v>25</v>
      </c>
      <c r="C255" t="s">
        <v>15</v>
      </c>
      <c r="D255">
        <v>0</v>
      </c>
      <c r="E255">
        <v>16</v>
      </c>
      <c r="F255">
        <v>0</v>
      </c>
      <c r="G255">
        <v>20260116</v>
      </c>
      <c r="H255">
        <v>20260131</v>
      </c>
      <c r="I255">
        <v>15125.863600000001</v>
      </c>
      <c r="J255">
        <f t="shared" si="31"/>
        <v>16</v>
      </c>
      <c r="K255">
        <f t="shared" si="32"/>
        <v>945.36647500000004</v>
      </c>
      <c r="L255">
        <f t="shared" si="33"/>
        <v>0</v>
      </c>
      <c r="M255">
        <f t="shared" si="34"/>
        <v>15125.863600000001</v>
      </c>
      <c r="N255">
        <f t="shared" si="35"/>
        <v>0</v>
      </c>
      <c r="O255">
        <f t="shared" si="36"/>
        <v>15125.863600000001</v>
      </c>
      <c r="P255">
        <f t="shared" si="37"/>
        <v>0</v>
      </c>
      <c r="Q255">
        <f t="shared" si="38"/>
        <v>15125.863600000001</v>
      </c>
      <c r="R255">
        <f t="shared" si="39"/>
        <v>0</v>
      </c>
      <c r="S255">
        <f t="shared" si="40"/>
        <v>15125.863600000001</v>
      </c>
    </row>
    <row r="256" spans="1:19" x14ac:dyDescent="0.3">
      <c r="A256" t="s">
        <v>13</v>
      </c>
      <c r="B256" t="s">
        <v>25</v>
      </c>
      <c r="C256" t="s">
        <v>15</v>
      </c>
      <c r="D256">
        <v>28</v>
      </c>
      <c r="E256">
        <v>6</v>
      </c>
      <c r="F256">
        <v>0</v>
      </c>
      <c r="G256">
        <v>20251204</v>
      </c>
      <c r="H256">
        <v>20260106</v>
      </c>
      <c r="I256">
        <v>3029406.9822</v>
      </c>
      <c r="J256">
        <f t="shared" si="31"/>
        <v>34</v>
      </c>
      <c r="K256">
        <f t="shared" si="32"/>
        <v>89100.205358823529</v>
      </c>
      <c r="L256">
        <f t="shared" si="33"/>
        <v>2107426.347914123</v>
      </c>
      <c r="M256">
        <f t="shared" si="34"/>
        <v>534601.23215294117</v>
      </c>
      <c r="N256">
        <f t="shared" si="35"/>
        <v>0</v>
      </c>
      <c r="O256">
        <f t="shared" si="36"/>
        <v>2642027.5800670641</v>
      </c>
      <c r="P256">
        <f t="shared" si="37"/>
        <v>2416421.4412482535</v>
      </c>
      <c r="Q256">
        <f t="shared" si="38"/>
        <v>612985.54095174652</v>
      </c>
      <c r="R256">
        <f t="shared" si="39"/>
        <v>0</v>
      </c>
      <c r="S256">
        <f t="shared" si="40"/>
        <v>3029406.9822</v>
      </c>
    </row>
    <row r="257" spans="1:19" x14ac:dyDescent="0.3">
      <c r="A257" t="s">
        <v>13</v>
      </c>
      <c r="B257" t="s">
        <v>25</v>
      </c>
      <c r="C257" t="s">
        <v>14</v>
      </c>
      <c r="D257">
        <v>0</v>
      </c>
      <c r="E257">
        <v>25</v>
      </c>
      <c r="F257">
        <v>3</v>
      </c>
      <c r="G257">
        <v>20260107</v>
      </c>
      <c r="H257">
        <v>20260203</v>
      </c>
      <c r="I257">
        <v>729345.22880000004</v>
      </c>
      <c r="J257">
        <f t="shared" si="31"/>
        <v>28</v>
      </c>
      <c r="K257">
        <f t="shared" si="32"/>
        <v>26048.043885714287</v>
      </c>
      <c r="L257">
        <f t="shared" si="33"/>
        <v>0</v>
      </c>
      <c r="M257">
        <f t="shared" si="34"/>
        <v>651201.09714285715</v>
      </c>
      <c r="N257">
        <f t="shared" si="35"/>
        <v>64430.460311626564</v>
      </c>
      <c r="O257">
        <f t="shared" si="36"/>
        <v>715631.5574544837</v>
      </c>
      <c r="P257">
        <f t="shared" si="37"/>
        <v>0</v>
      </c>
      <c r="Q257">
        <f t="shared" si="38"/>
        <v>663680.08543373446</v>
      </c>
      <c r="R257">
        <f t="shared" si="39"/>
        <v>65665.143366265591</v>
      </c>
      <c r="S257">
        <f t="shared" si="40"/>
        <v>729345.22880000004</v>
      </c>
    </row>
    <row r="258" spans="1:19" x14ac:dyDescent="0.3">
      <c r="A258" t="s">
        <v>13</v>
      </c>
      <c r="B258" t="s">
        <v>25</v>
      </c>
      <c r="C258" t="s">
        <v>15</v>
      </c>
      <c r="D258">
        <v>29</v>
      </c>
      <c r="E258">
        <v>5</v>
      </c>
      <c r="F258">
        <v>0</v>
      </c>
      <c r="G258">
        <v>20251203</v>
      </c>
      <c r="H258">
        <v>20260105</v>
      </c>
      <c r="I258">
        <v>3610988.7803000002</v>
      </c>
      <c r="J258">
        <f t="shared" si="31"/>
        <v>34</v>
      </c>
      <c r="K258">
        <f t="shared" si="32"/>
        <v>106205.55236176471</v>
      </c>
      <c r="L258">
        <f t="shared" si="33"/>
        <v>2601721.9981131954</v>
      </c>
      <c r="M258">
        <f t="shared" si="34"/>
        <v>531027.76180882356</v>
      </c>
      <c r="N258">
        <f t="shared" si="35"/>
        <v>0</v>
      </c>
      <c r="O258">
        <f t="shared" si="36"/>
        <v>3132749.7599220192</v>
      </c>
      <c r="P258">
        <f t="shared" si="37"/>
        <v>2998895.4320054925</v>
      </c>
      <c r="Q258">
        <f t="shared" si="38"/>
        <v>612093.34829450736</v>
      </c>
      <c r="R258">
        <f t="shared" si="39"/>
        <v>0</v>
      </c>
      <c r="S258">
        <f t="shared" si="40"/>
        <v>3610988.7802999998</v>
      </c>
    </row>
    <row r="259" spans="1:19" x14ac:dyDescent="0.3">
      <c r="A259" t="s">
        <v>13</v>
      </c>
      <c r="B259" t="s">
        <v>25</v>
      </c>
      <c r="C259" t="s">
        <v>14</v>
      </c>
      <c r="D259">
        <v>0</v>
      </c>
      <c r="E259">
        <v>28</v>
      </c>
      <c r="F259">
        <v>4</v>
      </c>
      <c r="G259">
        <v>20260104</v>
      </c>
      <c r="H259">
        <v>20260204</v>
      </c>
      <c r="I259">
        <v>361660.6911</v>
      </c>
      <c r="J259">
        <f t="shared" si="31"/>
        <v>32</v>
      </c>
      <c r="K259">
        <f t="shared" si="32"/>
        <v>11301.896596875</v>
      </c>
      <c r="L259">
        <f t="shared" si="33"/>
        <v>0</v>
      </c>
      <c r="M259">
        <f t="shared" si="34"/>
        <v>316453.1047125</v>
      </c>
      <c r="N259">
        <f t="shared" si="35"/>
        <v>37274.01583146269</v>
      </c>
      <c r="O259">
        <f t="shared" si="36"/>
        <v>353727.12054396269</v>
      </c>
      <c r="P259">
        <f t="shared" si="37"/>
        <v>0</v>
      </c>
      <c r="Q259">
        <f t="shared" si="38"/>
        <v>323550.67481131759</v>
      </c>
      <c r="R259">
        <f t="shared" si="39"/>
        <v>38110.016288682389</v>
      </c>
      <c r="S259">
        <f t="shared" si="40"/>
        <v>361660.6911</v>
      </c>
    </row>
    <row r="260" spans="1:19" x14ac:dyDescent="0.3">
      <c r="A260" t="s">
        <v>13</v>
      </c>
      <c r="B260" t="s">
        <v>25</v>
      </c>
      <c r="C260" t="s">
        <v>14</v>
      </c>
      <c r="D260">
        <v>27</v>
      </c>
      <c r="E260">
        <v>7</v>
      </c>
      <c r="F260">
        <v>0</v>
      </c>
      <c r="G260">
        <v>20251205</v>
      </c>
      <c r="H260">
        <v>20260107</v>
      </c>
      <c r="I260">
        <v>704668.12419999996</v>
      </c>
      <c r="J260">
        <f t="shared" si="31"/>
        <v>34</v>
      </c>
      <c r="K260">
        <f t="shared" si="32"/>
        <v>20725.53306470588</v>
      </c>
      <c r="L260">
        <f t="shared" si="33"/>
        <v>472699.49985732202</v>
      </c>
      <c r="M260">
        <f t="shared" si="34"/>
        <v>145078.73145294117</v>
      </c>
      <c r="N260">
        <f t="shared" si="35"/>
        <v>0</v>
      </c>
      <c r="O260">
        <f t="shared" si="36"/>
        <v>617778.23131026316</v>
      </c>
      <c r="P260">
        <f t="shared" si="37"/>
        <v>539184.21367529256</v>
      </c>
      <c r="Q260">
        <f t="shared" si="38"/>
        <v>165483.9105247074</v>
      </c>
      <c r="R260">
        <f t="shared" si="39"/>
        <v>0</v>
      </c>
      <c r="S260">
        <f t="shared" si="40"/>
        <v>704668.12419999996</v>
      </c>
    </row>
    <row r="261" spans="1:19" x14ac:dyDescent="0.3">
      <c r="A261" t="s">
        <v>13</v>
      </c>
      <c r="B261" t="s">
        <v>25</v>
      </c>
      <c r="C261" t="s">
        <v>14</v>
      </c>
      <c r="D261">
        <v>0</v>
      </c>
      <c r="E261">
        <v>11</v>
      </c>
      <c r="F261">
        <v>2</v>
      </c>
      <c r="G261">
        <v>20260121</v>
      </c>
      <c r="H261">
        <v>20260202</v>
      </c>
      <c r="I261">
        <v>1177.7565</v>
      </c>
      <c r="J261">
        <f t="shared" si="31"/>
        <v>13</v>
      </c>
      <c r="K261">
        <f t="shared" si="32"/>
        <v>90.596653846153842</v>
      </c>
      <c r="L261">
        <f t="shared" si="33"/>
        <v>0</v>
      </c>
      <c r="M261">
        <f t="shared" si="34"/>
        <v>996.56319230769225</v>
      </c>
      <c r="N261">
        <f t="shared" si="35"/>
        <v>149.39532850941163</v>
      </c>
      <c r="O261">
        <f t="shared" si="36"/>
        <v>1145.9585208171038</v>
      </c>
      <c r="P261">
        <f t="shared" si="37"/>
        <v>0</v>
      </c>
      <c r="Q261">
        <f t="shared" si="38"/>
        <v>1024.2157600645476</v>
      </c>
      <c r="R261">
        <f t="shared" si="39"/>
        <v>153.54073993545259</v>
      </c>
      <c r="S261">
        <f t="shared" si="40"/>
        <v>1177.7565000000002</v>
      </c>
    </row>
    <row r="262" spans="1:19" x14ac:dyDescent="0.3">
      <c r="A262" t="s">
        <v>13</v>
      </c>
      <c r="B262" t="s">
        <v>25</v>
      </c>
      <c r="C262" t="s">
        <v>14</v>
      </c>
      <c r="D262">
        <v>23</v>
      </c>
      <c r="E262">
        <v>7</v>
      </c>
      <c r="F262">
        <v>0</v>
      </c>
      <c r="G262">
        <v>20251209</v>
      </c>
      <c r="H262">
        <v>20260107</v>
      </c>
      <c r="I262">
        <v>418713.7035</v>
      </c>
      <c r="J262">
        <f t="shared" si="31"/>
        <v>30</v>
      </c>
      <c r="K262">
        <f t="shared" si="32"/>
        <v>13957.123450000001</v>
      </c>
      <c r="L262">
        <f t="shared" si="33"/>
        <v>271168.61626541492</v>
      </c>
      <c r="M262">
        <f t="shared" si="34"/>
        <v>97699.864150000009</v>
      </c>
      <c r="N262">
        <f t="shared" si="35"/>
        <v>0</v>
      </c>
      <c r="O262">
        <f t="shared" si="36"/>
        <v>368868.4804154149</v>
      </c>
      <c r="P262">
        <f t="shared" si="37"/>
        <v>307811.64999945962</v>
      </c>
      <c r="Q262">
        <f t="shared" si="38"/>
        <v>110902.05350054041</v>
      </c>
      <c r="R262">
        <f t="shared" si="39"/>
        <v>0</v>
      </c>
      <c r="S262">
        <f t="shared" si="40"/>
        <v>418713.70350000006</v>
      </c>
    </row>
    <row r="263" spans="1:19" x14ac:dyDescent="0.3">
      <c r="A263" t="s">
        <v>13</v>
      </c>
      <c r="B263" t="s">
        <v>25</v>
      </c>
      <c r="C263" t="s">
        <v>14</v>
      </c>
      <c r="D263">
        <v>27</v>
      </c>
      <c r="E263">
        <v>6</v>
      </c>
      <c r="F263">
        <v>0</v>
      </c>
      <c r="G263">
        <v>20251205</v>
      </c>
      <c r="H263">
        <v>20260106</v>
      </c>
      <c r="I263">
        <v>598283.64379999996</v>
      </c>
      <c r="J263">
        <f t="shared" si="31"/>
        <v>33</v>
      </c>
      <c r="K263">
        <f t="shared" si="32"/>
        <v>18129.807387878787</v>
      </c>
      <c r="L263">
        <f t="shared" si="33"/>
        <v>413497.24796000088</v>
      </c>
      <c r="M263">
        <f t="shared" si="34"/>
        <v>108778.84432727273</v>
      </c>
      <c r="N263">
        <f t="shared" si="35"/>
        <v>0</v>
      </c>
      <c r="O263">
        <f t="shared" si="36"/>
        <v>522276.09228727361</v>
      </c>
      <c r="P263">
        <f t="shared" si="37"/>
        <v>473674.06600474328</v>
      </c>
      <c r="Q263">
        <f t="shared" si="38"/>
        <v>124609.57779525669</v>
      </c>
      <c r="R263">
        <f t="shared" si="39"/>
        <v>0</v>
      </c>
      <c r="S263">
        <f t="shared" si="40"/>
        <v>598283.64379999996</v>
      </c>
    </row>
    <row r="264" spans="1:19" x14ac:dyDescent="0.3">
      <c r="A264" t="s">
        <v>13</v>
      </c>
      <c r="B264" t="s">
        <v>25</v>
      </c>
      <c r="C264" t="s">
        <v>14</v>
      </c>
      <c r="D264">
        <v>26</v>
      </c>
      <c r="E264">
        <v>1</v>
      </c>
      <c r="F264">
        <v>0</v>
      </c>
      <c r="G264">
        <v>20251206</v>
      </c>
      <c r="H264">
        <v>20260101</v>
      </c>
      <c r="I264">
        <v>234987.70079999999</v>
      </c>
      <c r="J264">
        <f t="shared" si="31"/>
        <v>27</v>
      </c>
      <c r="K264">
        <f t="shared" si="32"/>
        <v>8703.2481777777775</v>
      </c>
      <c r="L264">
        <f t="shared" si="33"/>
        <v>191148.27580079169</v>
      </c>
      <c r="M264">
        <f t="shared" si="34"/>
        <v>8703.2481777777775</v>
      </c>
      <c r="N264">
        <f t="shared" si="35"/>
        <v>0</v>
      </c>
      <c r="O264">
        <f t="shared" si="36"/>
        <v>199851.52397856946</v>
      </c>
      <c r="P264">
        <f t="shared" si="37"/>
        <v>224754.3223494704</v>
      </c>
      <c r="Q264">
        <f t="shared" si="38"/>
        <v>10233.378450529586</v>
      </c>
      <c r="R264">
        <f t="shared" si="39"/>
        <v>0</v>
      </c>
      <c r="S264">
        <f t="shared" si="40"/>
        <v>234987.70079999999</v>
      </c>
    </row>
    <row r="265" spans="1:19" x14ac:dyDescent="0.3">
      <c r="A265" t="s">
        <v>13</v>
      </c>
      <c r="B265" t="s">
        <v>25</v>
      </c>
      <c r="C265" t="s">
        <v>14</v>
      </c>
      <c r="D265">
        <v>0</v>
      </c>
      <c r="E265">
        <v>28</v>
      </c>
      <c r="F265">
        <v>1</v>
      </c>
      <c r="G265">
        <v>20260104</v>
      </c>
      <c r="H265">
        <v>20260201</v>
      </c>
      <c r="I265">
        <v>557965.81270000001</v>
      </c>
      <c r="J265">
        <f t="shared" si="31"/>
        <v>29</v>
      </c>
      <c r="K265">
        <f t="shared" si="32"/>
        <v>19240.200437931035</v>
      </c>
      <c r="L265">
        <f t="shared" si="33"/>
        <v>0</v>
      </c>
      <c r="M265">
        <f t="shared" si="34"/>
        <v>538725.61226206901</v>
      </c>
      <c r="N265">
        <f t="shared" si="35"/>
        <v>15863.698839764935</v>
      </c>
      <c r="O265">
        <f t="shared" si="36"/>
        <v>554589.31110183394</v>
      </c>
      <c r="P265">
        <f t="shared" si="37"/>
        <v>0</v>
      </c>
      <c r="Q265">
        <f t="shared" si="38"/>
        <v>542005.53103144083</v>
      </c>
      <c r="R265">
        <f t="shared" si="39"/>
        <v>15960.281668559224</v>
      </c>
      <c r="S265">
        <f t="shared" si="40"/>
        <v>557965.81270000001</v>
      </c>
    </row>
    <row r="266" spans="1:19" x14ac:dyDescent="0.3">
      <c r="A266" t="s">
        <v>13</v>
      </c>
      <c r="B266" t="s">
        <v>25</v>
      </c>
      <c r="C266" t="s">
        <v>15</v>
      </c>
      <c r="D266">
        <v>25</v>
      </c>
      <c r="E266">
        <v>3</v>
      </c>
      <c r="F266">
        <v>0</v>
      </c>
      <c r="G266">
        <v>20251207</v>
      </c>
      <c r="H266">
        <v>20260103</v>
      </c>
      <c r="I266">
        <v>57729.021500000003</v>
      </c>
      <c r="J266">
        <f t="shared" si="31"/>
        <v>28</v>
      </c>
      <c r="K266">
        <f t="shared" si="32"/>
        <v>2061.7507678571428</v>
      </c>
      <c r="L266">
        <f t="shared" si="33"/>
        <v>43540.342679308385</v>
      </c>
      <c r="M266">
        <f t="shared" si="34"/>
        <v>6185.2523035714285</v>
      </c>
      <c r="N266">
        <f t="shared" si="35"/>
        <v>0</v>
      </c>
      <c r="O266">
        <f t="shared" si="36"/>
        <v>49725.594982879811</v>
      </c>
      <c r="P266">
        <f t="shared" si="37"/>
        <v>50548.241393925142</v>
      </c>
      <c r="Q266">
        <f t="shared" si="38"/>
        <v>7180.780106074867</v>
      </c>
      <c r="R266">
        <f t="shared" si="39"/>
        <v>0</v>
      </c>
      <c r="S266">
        <f t="shared" si="40"/>
        <v>57729.02150000001</v>
      </c>
    </row>
    <row r="267" spans="1:19" x14ac:dyDescent="0.3">
      <c r="A267" t="s">
        <v>13</v>
      </c>
      <c r="B267" t="s">
        <v>25</v>
      </c>
      <c r="C267" t="s">
        <v>14</v>
      </c>
      <c r="D267">
        <v>0</v>
      </c>
      <c r="E267">
        <v>23</v>
      </c>
      <c r="F267">
        <v>4</v>
      </c>
      <c r="G267">
        <v>20260109</v>
      </c>
      <c r="H267">
        <v>20260204</v>
      </c>
      <c r="I267">
        <v>48349.414100000002</v>
      </c>
      <c r="J267">
        <f t="shared" ref="J267:J330" si="41">IF(D267&lt;0,0,D267)+E267+F267</f>
        <v>27</v>
      </c>
      <c r="K267">
        <f t="shared" ref="K267:K330" si="42">I267/J267</f>
        <v>1790.7190407407409</v>
      </c>
      <c r="L267">
        <f t="shared" ref="L267:L330" si="43">IF(D267&lt;0,0,D267)*$K267*$B$6</f>
        <v>0</v>
      </c>
      <c r="M267">
        <f t="shared" ref="M267:M330" si="44">IF(E267&lt;0,0,E267)*$K267*$C$6</f>
        <v>41186.537937037043</v>
      </c>
      <c r="N267">
        <f t="shared" ref="N267:N330" si="45">IF(F267&lt;0,0,F267)*$K267*$D$6</f>
        <v>5905.8485717103304</v>
      </c>
      <c r="O267">
        <f t="shared" ref="O267:O330" si="46">L267+M267+N267</f>
        <v>47092.386508747375</v>
      </c>
      <c r="P267">
        <f t="shared" ref="P267:P330" si="47">L267/$O267*$I267</f>
        <v>0</v>
      </c>
      <c r="Q267">
        <f t="shared" ref="Q267:Q330" si="48">M267/$O267*$I267</f>
        <v>42285.921901479189</v>
      </c>
      <c r="R267">
        <f t="shared" ref="R267:R330" si="49">N267/$O267*$I267</f>
        <v>6063.4921985208102</v>
      </c>
      <c r="S267">
        <f t="shared" ref="S267:S330" si="50">P267+Q267+R267</f>
        <v>48349.414100000002</v>
      </c>
    </row>
    <row r="268" spans="1:19" x14ac:dyDescent="0.3">
      <c r="A268" t="s">
        <v>13</v>
      </c>
      <c r="B268" t="s">
        <v>25</v>
      </c>
      <c r="C268" t="s">
        <v>14</v>
      </c>
      <c r="D268">
        <v>26</v>
      </c>
      <c r="E268">
        <v>6</v>
      </c>
      <c r="F268">
        <v>0</v>
      </c>
      <c r="G268">
        <v>20251206</v>
      </c>
      <c r="H268">
        <v>20260106</v>
      </c>
      <c r="I268">
        <v>526190.84909999999</v>
      </c>
      <c r="J268">
        <f t="shared" si="41"/>
        <v>32</v>
      </c>
      <c r="K268">
        <f t="shared" si="42"/>
        <v>16443.464034375</v>
      </c>
      <c r="L268">
        <f t="shared" si="43"/>
        <v>361145.60152249469</v>
      </c>
      <c r="M268">
        <f t="shared" si="44"/>
        <v>98660.784206249999</v>
      </c>
      <c r="N268">
        <f t="shared" si="45"/>
        <v>0</v>
      </c>
      <c r="O268">
        <f t="shared" si="46"/>
        <v>459806.38572874467</v>
      </c>
      <c r="P268">
        <f t="shared" si="47"/>
        <v>413285.93210525293</v>
      </c>
      <c r="Q268">
        <f t="shared" si="48"/>
        <v>112904.91699474704</v>
      </c>
      <c r="R268">
        <f t="shared" si="49"/>
        <v>0</v>
      </c>
      <c r="S268">
        <f t="shared" si="50"/>
        <v>526190.84909999999</v>
      </c>
    </row>
    <row r="269" spans="1:19" x14ac:dyDescent="0.3">
      <c r="A269" t="s">
        <v>13</v>
      </c>
      <c r="B269" t="s">
        <v>25</v>
      </c>
      <c r="C269" t="s">
        <v>14</v>
      </c>
      <c r="D269">
        <v>29</v>
      </c>
      <c r="E269">
        <v>7</v>
      </c>
      <c r="F269">
        <v>0</v>
      </c>
      <c r="G269">
        <v>20251203</v>
      </c>
      <c r="H269">
        <v>20260107</v>
      </c>
      <c r="I269">
        <v>249933.48689999999</v>
      </c>
      <c r="J269">
        <f t="shared" si="41"/>
        <v>36</v>
      </c>
      <c r="K269">
        <f t="shared" si="42"/>
        <v>6942.5968583333333</v>
      </c>
      <c r="L269">
        <f t="shared" si="43"/>
        <v>170073.09475526243</v>
      </c>
      <c r="M269">
        <f t="shared" si="44"/>
        <v>48598.178008333336</v>
      </c>
      <c r="N269">
        <f t="shared" si="45"/>
        <v>0</v>
      </c>
      <c r="O269">
        <f t="shared" si="46"/>
        <v>218671.27276359577</v>
      </c>
      <c r="P269">
        <f t="shared" si="47"/>
        <v>194387.49801402065</v>
      </c>
      <c r="Q269">
        <f t="shared" si="48"/>
        <v>55545.988885979335</v>
      </c>
      <c r="R269">
        <f t="shared" si="49"/>
        <v>0</v>
      </c>
      <c r="S269">
        <f t="shared" si="50"/>
        <v>249933.48689999999</v>
      </c>
    </row>
    <row r="270" spans="1:19" x14ac:dyDescent="0.3">
      <c r="A270" t="s">
        <v>13</v>
      </c>
      <c r="B270" t="s">
        <v>25</v>
      </c>
      <c r="C270" t="s">
        <v>14</v>
      </c>
      <c r="D270">
        <v>0</v>
      </c>
      <c r="E270">
        <v>11</v>
      </c>
      <c r="F270">
        <v>0</v>
      </c>
      <c r="G270">
        <v>20260121</v>
      </c>
      <c r="H270">
        <v>20260131</v>
      </c>
      <c r="I270">
        <v>65094.824800000002</v>
      </c>
      <c r="J270">
        <f t="shared" si="41"/>
        <v>11</v>
      </c>
      <c r="K270">
        <f t="shared" si="42"/>
        <v>5917.7113454545461</v>
      </c>
      <c r="L270">
        <f t="shared" si="43"/>
        <v>0</v>
      </c>
      <c r="M270">
        <f t="shared" si="44"/>
        <v>65094.824800000009</v>
      </c>
      <c r="N270">
        <f t="shared" si="45"/>
        <v>0</v>
      </c>
      <c r="O270">
        <f t="shared" si="46"/>
        <v>65094.824800000009</v>
      </c>
      <c r="P270">
        <f t="shared" si="47"/>
        <v>0</v>
      </c>
      <c r="Q270">
        <f t="shared" si="48"/>
        <v>65094.824800000002</v>
      </c>
      <c r="R270">
        <f t="shared" si="49"/>
        <v>0</v>
      </c>
      <c r="S270">
        <f t="shared" si="50"/>
        <v>65094.824800000002</v>
      </c>
    </row>
    <row r="271" spans="1:19" x14ac:dyDescent="0.3">
      <c r="A271" t="s">
        <v>13</v>
      </c>
      <c r="B271" t="s">
        <v>25</v>
      </c>
      <c r="C271" t="s">
        <v>14</v>
      </c>
      <c r="D271">
        <v>0</v>
      </c>
      <c r="E271">
        <v>15</v>
      </c>
      <c r="F271">
        <v>16</v>
      </c>
      <c r="G271">
        <v>20260117</v>
      </c>
      <c r="H271">
        <v>20260216</v>
      </c>
      <c r="I271">
        <v>374083.75429999997</v>
      </c>
      <c r="J271">
        <f t="shared" si="41"/>
        <v>31</v>
      </c>
      <c r="K271">
        <f t="shared" si="42"/>
        <v>12067.217880645161</v>
      </c>
      <c r="L271">
        <f t="shared" si="43"/>
        <v>0</v>
      </c>
      <c r="M271">
        <f t="shared" si="44"/>
        <v>181008.26820967742</v>
      </c>
      <c r="N271">
        <f t="shared" si="45"/>
        <v>159192.27944422935</v>
      </c>
      <c r="O271">
        <f t="shared" si="46"/>
        <v>340200.54765390675</v>
      </c>
      <c r="P271">
        <f t="shared" si="47"/>
        <v>0</v>
      </c>
      <c r="Q271">
        <f t="shared" si="48"/>
        <v>199036.28315173255</v>
      </c>
      <c r="R271">
        <f t="shared" si="49"/>
        <v>175047.47114826745</v>
      </c>
      <c r="S271">
        <f t="shared" si="50"/>
        <v>374083.75430000003</v>
      </c>
    </row>
    <row r="272" spans="1:19" x14ac:dyDescent="0.3">
      <c r="A272" t="s">
        <v>13</v>
      </c>
      <c r="B272" t="s">
        <v>25</v>
      </c>
      <c r="C272" t="s">
        <v>14</v>
      </c>
      <c r="D272">
        <v>28</v>
      </c>
      <c r="E272">
        <v>4</v>
      </c>
      <c r="F272">
        <v>0</v>
      </c>
      <c r="G272">
        <v>20251204</v>
      </c>
      <c r="H272">
        <v>20260104</v>
      </c>
      <c r="I272">
        <v>212830.5312</v>
      </c>
      <c r="J272">
        <f t="shared" si="41"/>
        <v>32</v>
      </c>
      <c r="K272">
        <f t="shared" si="42"/>
        <v>6650.9540999999999</v>
      </c>
      <c r="L272">
        <f t="shared" si="43"/>
        <v>157310.47815951446</v>
      </c>
      <c r="M272">
        <f t="shared" si="44"/>
        <v>26603.8164</v>
      </c>
      <c r="N272">
        <f t="shared" si="45"/>
        <v>0</v>
      </c>
      <c r="O272">
        <f t="shared" si="46"/>
        <v>183914.29455951447</v>
      </c>
      <c r="P272">
        <f t="shared" si="47"/>
        <v>182043.88468119432</v>
      </c>
      <c r="Q272">
        <f t="shared" si="48"/>
        <v>30786.646518805643</v>
      </c>
      <c r="R272">
        <f t="shared" si="49"/>
        <v>0</v>
      </c>
      <c r="S272">
        <f t="shared" si="50"/>
        <v>212830.53119999997</v>
      </c>
    </row>
    <row r="273" spans="1:19" x14ac:dyDescent="0.3">
      <c r="A273" t="s">
        <v>13</v>
      </c>
      <c r="B273" t="s">
        <v>25</v>
      </c>
      <c r="C273" t="s">
        <v>15</v>
      </c>
      <c r="D273">
        <v>30</v>
      </c>
      <c r="E273">
        <v>12</v>
      </c>
      <c r="F273">
        <v>0</v>
      </c>
      <c r="G273">
        <v>20251202</v>
      </c>
      <c r="H273">
        <v>20260112</v>
      </c>
      <c r="I273">
        <v>8907.2435000000005</v>
      </c>
      <c r="J273">
        <f t="shared" si="41"/>
        <v>42</v>
      </c>
      <c r="K273">
        <f t="shared" si="42"/>
        <v>212.07722619047621</v>
      </c>
      <c r="L273">
        <f t="shared" si="43"/>
        <v>5374.4120269634886</v>
      </c>
      <c r="M273">
        <f t="shared" si="44"/>
        <v>2544.9267142857143</v>
      </c>
      <c r="N273">
        <f t="shared" si="45"/>
        <v>0</v>
      </c>
      <c r="O273">
        <f t="shared" si="46"/>
        <v>7919.3387412492029</v>
      </c>
      <c r="P273">
        <f t="shared" si="47"/>
        <v>6044.8477022642328</v>
      </c>
      <c r="Q273">
        <f t="shared" si="48"/>
        <v>2862.3957977357686</v>
      </c>
      <c r="R273">
        <f t="shared" si="49"/>
        <v>0</v>
      </c>
      <c r="S273">
        <f t="shared" si="50"/>
        <v>8907.2435000000005</v>
      </c>
    </row>
    <row r="274" spans="1:19" x14ac:dyDescent="0.3">
      <c r="A274" t="s">
        <v>13</v>
      </c>
      <c r="B274" t="s">
        <v>25</v>
      </c>
      <c r="C274" t="s">
        <v>15</v>
      </c>
      <c r="D274">
        <v>0</v>
      </c>
      <c r="E274">
        <v>24</v>
      </c>
      <c r="F274">
        <v>6</v>
      </c>
      <c r="G274">
        <v>20260108</v>
      </c>
      <c r="H274">
        <v>20260206</v>
      </c>
      <c r="I274">
        <v>719085.60309999995</v>
      </c>
      <c r="J274">
        <f t="shared" si="41"/>
        <v>30</v>
      </c>
      <c r="K274">
        <f t="shared" si="42"/>
        <v>23969.520103333332</v>
      </c>
      <c r="L274">
        <f t="shared" si="43"/>
        <v>0</v>
      </c>
      <c r="M274">
        <f t="shared" si="44"/>
        <v>575268.48248000001</v>
      </c>
      <c r="N274">
        <f t="shared" si="45"/>
        <v>118578.36392494268</v>
      </c>
      <c r="O274">
        <f t="shared" si="46"/>
        <v>693846.84640494268</v>
      </c>
      <c r="P274">
        <f t="shared" si="47"/>
        <v>0</v>
      </c>
      <c r="Q274">
        <f t="shared" si="48"/>
        <v>596193.93791569991</v>
      </c>
      <c r="R274">
        <f t="shared" si="49"/>
        <v>122891.66518430006</v>
      </c>
      <c r="S274">
        <f t="shared" si="50"/>
        <v>719085.60309999995</v>
      </c>
    </row>
    <row r="275" spans="1:19" x14ac:dyDescent="0.3">
      <c r="A275" t="s">
        <v>13</v>
      </c>
      <c r="B275" t="s">
        <v>25</v>
      </c>
      <c r="C275" t="s">
        <v>14</v>
      </c>
      <c r="D275">
        <v>0</v>
      </c>
      <c r="E275">
        <v>26</v>
      </c>
      <c r="F275">
        <v>9</v>
      </c>
      <c r="G275">
        <v>20260106</v>
      </c>
      <c r="H275">
        <v>20260209</v>
      </c>
      <c r="I275">
        <v>48854.007799999999</v>
      </c>
      <c r="J275">
        <f t="shared" si="41"/>
        <v>35</v>
      </c>
      <c r="K275">
        <f t="shared" si="42"/>
        <v>1395.8287942857144</v>
      </c>
      <c r="L275">
        <f t="shared" si="43"/>
        <v>0</v>
      </c>
      <c r="M275">
        <f t="shared" si="44"/>
        <v>36291.548651428573</v>
      </c>
      <c r="N275">
        <f t="shared" si="45"/>
        <v>10357.847843773139</v>
      </c>
      <c r="O275">
        <f t="shared" si="46"/>
        <v>46649.396495201712</v>
      </c>
      <c r="P275">
        <f t="shared" si="47"/>
        <v>0</v>
      </c>
      <c r="Q275">
        <f t="shared" si="48"/>
        <v>38006.656765073858</v>
      </c>
      <c r="R275">
        <f t="shared" si="49"/>
        <v>10847.35103492614</v>
      </c>
      <c r="S275">
        <f t="shared" si="50"/>
        <v>48854.007799999999</v>
      </c>
    </row>
    <row r="276" spans="1:19" x14ac:dyDescent="0.3">
      <c r="A276" t="s">
        <v>13</v>
      </c>
      <c r="B276" t="s">
        <v>25</v>
      </c>
      <c r="C276" t="s">
        <v>14</v>
      </c>
      <c r="D276">
        <v>23</v>
      </c>
      <c r="E276">
        <v>8</v>
      </c>
      <c r="F276">
        <v>0</v>
      </c>
      <c r="G276">
        <v>20251209</v>
      </c>
      <c r="H276">
        <v>20260108</v>
      </c>
      <c r="I276">
        <v>5584.0919000000004</v>
      </c>
      <c r="J276">
        <f t="shared" si="41"/>
        <v>31</v>
      </c>
      <c r="K276">
        <f t="shared" si="42"/>
        <v>180.13199677419357</v>
      </c>
      <c r="L276">
        <f t="shared" si="43"/>
        <v>3499.7286142356393</v>
      </c>
      <c r="M276">
        <f t="shared" si="44"/>
        <v>1441.0559741935485</v>
      </c>
      <c r="N276">
        <f t="shared" si="45"/>
        <v>0</v>
      </c>
      <c r="O276">
        <f t="shared" si="46"/>
        <v>4940.7845884291874</v>
      </c>
      <c r="P276">
        <f t="shared" si="47"/>
        <v>3955.4054335254191</v>
      </c>
      <c r="Q276">
        <f t="shared" si="48"/>
        <v>1628.6864664745817</v>
      </c>
      <c r="R276">
        <f t="shared" si="49"/>
        <v>0</v>
      </c>
      <c r="S276">
        <f t="shared" si="50"/>
        <v>5584.0919000000013</v>
      </c>
    </row>
    <row r="277" spans="1:19" x14ac:dyDescent="0.3">
      <c r="A277" t="s">
        <v>13</v>
      </c>
      <c r="B277" t="s">
        <v>25</v>
      </c>
      <c r="C277" t="s">
        <v>14</v>
      </c>
      <c r="D277">
        <v>0</v>
      </c>
      <c r="E277">
        <v>23</v>
      </c>
      <c r="F277">
        <v>7</v>
      </c>
      <c r="G277">
        <v>20260109</v>
      </c>
      <c r="H277">
        <v>20260207</v>
      </c>
      <c r="I277">
        <v>40445.336199999998</v>
      </c>
      <c r="J277">
        <f t="shared" si="41"/>
        <v>30</v>
      </c>
      <c r="K277">
        <f t="shared" si="42"/>
        <v>1348.1778733333333</v>
      </c>
      <c r="L277">
        <f t="shared" si="43"/>
        <v>0</v>
      </c>
      <c r="M277">
        <f t="shared" si="44"/>
        <v>31008.091086666667</v>
      </c>
      <c r="N277">
        <f t="shared" si="45"/>
        <v>7781.0839257068619</v>
      </c>
      <c r="O277">
        <f t="shared" si="46"/>
        <v>38789.175012373526</v>
      </c>
      <c r="P277">
        <f t="shared" si="47"/>
        <v>0</v>
      </c>
      <c r="Q277">
        <f t="shared" si="48"/>
        <v>32332.027389610517</v>
      </c>
      <c r="R277">
        <f t="shared" si="49"/>
        <v>8113.3088103894861</v>
      </c>
      <c r="S277">
        <f t="shared" si="50"/>
        <v>40445.336200000005</v>
      </c>
    </row>
    <row r="278" spans="1:19" x14ac:dyDescent="0.3">
      <c r="A278" t="s">
        <v>13</v>
      </c>
      <c r="B278" t="s">
        <v>25</v>
      </c>
      <c r="C278" t="s">
        <v>15</v>
      </c>
      <c r="D278">
        <v>26</v>
      </c>
      <c r="E278">
        <v>8</v>
      </c>
      <c r="F278">
        <v>0</v>
      </c>
      <c r="G278">
        <v>20251206</v>
      </c>
      <c r="H278">
        <v>20260108</v>
      </c>
      <c r="I278">
        <v>147974.6415</v>
      </c>
      <c r="J278">
        <f t="shared" si="41"/>
        <v>34</v>
      </c>
      <c r="K278">
        <f t="shared" si="42"/>
        <v>4352.195338235294</v>
      </c>
      <c r="L278">
        <f t="shared" si="43"/>
        <v>95586.684173394984</v>
      </c>
      <c r="M278">
        <f t="shared" si="44"/>
        <v>34817.562705882352</v>
      </c>
      <c r="N278">
        <f t="shared" si="45"/>
        <v>0</v>
      </c>
      <c r="O278">
        <f t="shared" si="46"/>
        <v>130404.24687927734</v>
      </c>
      <c r="P278">
        <f t="shared" si="47"/>
        <v>108465.83344656046</v>
      </c>
      <c r="Q278">
        <f t="shared" si="48"/>
        <v>39508.808053439549</v>
      </c>
      <c r="R278">
        <f t="shared" si="49"/>
        <v>0</v>
      </c>
      <c r="S278">
        <f t="shared" si="50"/>
        <v>147974.6415</v>
      </c>
    </row>
    <row r="279" spans="1:19" x14ac:dyDescent="0.3">
      <c r="A279" t="s">
        <v>13</v>
      </c>
      <c r="B279" t="s">
        <v>25</v>
      </c>
      <c r="C279" t="s">
        <v>15</v>
      </c>
      <c r="D279">
        <v>24</v>
      </c>
      <c r="E279">
        <v>3</v>
      </c>
      <c r="F279">
        <v>0</v>
      </c>
      <c r="G279">
        <v>20251208</v>
      </c>
      <c r="H279">
        <v>20260103</v>
      </c>
      <c r="I279">
        <v>65912.7019</v>
      </c>
      <c r="J279">
        <f t="shared" si="41"/>
        <v>27</v>
      </c>
      <c r="K279">
        <f t="shared" si="42"/>
        <v>2441.2111814814816</v>
      </c>
      <c r="L279">
        <f t="shared" si="43"/>
        <v>49491.687418914415</v>
      </c>
      <c r="M279">
        <f t="shared" si="44"/>
        <v>7323.6335444444449</v>
      </c>
      <c r="N279">
        <f t="shared" si="45"/>
        <v>0</v>
      </c>
      <c r="O279">
        <f t="shared" si="46"/>
        <v>56815.320963358856</v>
      </c>
      <c r="P279">
        <f t="shared" si="47"/>
        <v>57416.393748346309</v>
      </c>
      <c r="Q279">
        <f t="shared" si="48"/>
        <v>8496.3081516536968</v>
      </c>
      <c r="R279">
        <f t="shared" si="49"/>
        <v>0</v>
      </c>
      <c r="S279">
        <f t="shared" si="50"/>
        <v>65912.7019</v>
      </c>
    </row>
    <row r="280" spans="1:19" x14ac:dyDescent="0.3">
      <c r="A280" t="s">
        <v>13</v>
      </c>
      <c r="B280" t="s">
        <v>25</v>
      </c>
      <c r="C280" t="s">
        <v>14</v>
      </c>
      <c r="D280">
        <v>0</v>
      </c>
      <c r="E280">
        <v>26</v>
      </c>
      <c r="F280">
        <v>8</v>
      </c>
      <c r="G280">
        <v>20260106</v>
      </c>
      <c r="H280">
        <v>20260208</v>
      </c>
      <c r="I280">
        <v>1975.5551</v>
      </c>
      <c r="J280">
        <f t="shared" si="41"/>
        <v>34</v>
      </c>
      <c r="K280">
        <f t="shared" si="42"/>
        <v>58.104561764705885</v>
      </c>
      <c r="L280">
        <f t="shared" si="43"/>
        <v>0</v>
      </c>
      <c r="M280">
        <f t="shared" si="44"/>
        <v>1510.7186058823529</v>
      </c>
      <c r="N280">
        <f t="shared" si="45"/>
        <v>383.26139980730227</v>
      </c>
      <c r="O280">
        <f t="shared" si="46"/>
        <v>1893.9800056896552</v>
      </c>
      <c r="P280">
        <f t="shared" si="47"/>
        <v>0</v>
      </c>
      <c r="Q280">
        <f t="shared" si="48"/>
        <v>1575.786353367032</v>
      </c>
      <c r="R280">
        <f t="shared" si="49"/>
        <v>399.76874663296798</v>
      </c>
      <c r="S280">
        <f t="shared" si="50"/>
        <v>1975.5551</v>
      </c>
    </row>
    <row r="281" spans="1:19" x14ac:dyDescent="0.3">
      <c r="A281" t="s">
        <v>13</v>
      </c>
      <c r="B281" t="s">
        <v>25</v>
      </c>
      <c r="C281" t="s">
        <v>14</v>
      </c>
      <c r="D281">
        <v>29</v>
      </c>
      <c r="E281">
        <v>4</v>
      </c>
      <c r="F281">
        <v>0</v>
      </c>
      <c r="G281">
        <v>20251203</v>
      </c>
      <c r="H281">
        <v>20260104</v>
      </c>
      <c r="I281">
        <v>74475.625799999994</v>
      </c>
      <c r="J281">
        <f t="shared" si="41"/>
        <v>33</v>
      </c>
      <c r="K281">
        <f t="shared" si="42"/>
        <v>2256.8371454545454</v>
      </c>
      <c r="L281">
        <f t="shared" si="43"/>
        <v>55285.836916394117</v>
      </c>
      <c r="M281">
        <f t="shared" si="44"/>
        <v>9027.3485818181816</v>
      </c>
      <c r="N281">
        <f t="shared" si="45"/>
        <v>0</v>
      </c>
      <c r="O281">
        <f t="shared" si="46"/>
        <v>64313.185498212297</v>
      </c>
      <c r="P281">
        <f t="shared" si="47"/>
        <v>64021.821813501148</v>
      </c>
      <c r="Q281">
        <f t="shared" si="48"/>
        <v>10453.803986498846</v>
      </c>
      <c r="R281">
        <f t="shared" si="49"/>
        <v>0</v>
      </c>
      <c r="S281">
        <f t="shared" si="50"/>
        <v>74475.625799999994</v>
      </c>
    </row>
    <row r="282" spans="1:19" x14ac:dyDescent="0.3">
      <c r="A282" t="s">
        <v>13</v>
      </c>
      <c r="B282" t="s">
        <v>25</v>
      </c>
      <c r="C282" t="s">
        <v>15</v>
      </c>
      <c r="D282">
        <v>29</v>
      </c>
      <c r="E282">
        <v>14</v>
      </c>
      <c r="F282">
        <v>0</v>
      </c>
      <c r="G282">
        <v>20251203</v>
      </c>
      <c r="H282">
        <v>20260114</v>
      </c>
      <c r="I282">
        <v>3528.7040999999999</v>
      </c>
      <c r="J282">
        <f t="shared" si="41"/>
        <v>43</v>
      </c>
      <c r="K282">
        <f t="shared" si="42"/>
        <v>82.062886046511622</v>
      </c>
      <c r="L282">
        <f t="shared" si="43"/>
        <v>2010.2980598284616</v>
      </c>
      <c r="M282">
        <f t="shared" si="44"/>
        <v>1148.8804046511627</v>
      </c>
      <c r="N282">
        <f t="shared" si="45"/>
        <v>0</v>
      </c>
      <c r="O282">
        <f t="shared" si="46"/>
        <v>3159.1784644796244</v>
      </c>
      <c r="P282">
        <f t="shared" si="47"/>
        <v>2245.4404161390767</v>
      </c>
      <c r="Q282">
        <f t="shared" si="48"/>
        <v>1283.263683860923</v>
      </c>
      <c r="R282">
        <f t="shared" si="49"/>
        <v>0</v>
      </c>
      <c r="S282">
        <f t="shared" si="50"/>
        <v>3528.7040999999999</v>
      </c>
    </row>
    <row r="283" spans="1:19" x14ac:dyDescent="0.3">
      <c r="A283" t="s">
        <v>13</v>
      </c>
      <c r="B283" t="s">
        <v>25</v>
      </c>
      <c r="C283" t="s">
        <v>15</v>
      </c>
      <c r="D283">
        <v>24</v>
      </c>
      <c r="E283">
        <v>5</v>
      </c>
      <c r="F283">
        <v>0</v>
      </c>
      <c r="G283">
        <v>20251208</v>
      </c>
      <c r="H283">
        <v>20260105</v>
      </c>
      <c r="I283">
        <v>229826.60699999999</v>
      </c>
      <c r="J283">
        <f t="shared" si="41"/>
        <v>29</v>
      </c>
      <c r="K283">
        <f t="shared" si="42"/>
        <v>7925.0554137931031</v>
      </c>
      <c r="L283">
        <f t="shared" si="43"/>
        <v>160667.93741252532</v>
      </c>
      <c r="M283">
        <f t="shared" si="44"/>
        <v>39625.277068965515</v>
      </c>
      <c r="N283">
        <f t="shared" si="45"/>
        <v>0</v>
      </c>
      <c r="O283">
        <f t="shared" si="46"/>
        <v>200293.21448149084</v>
      </c>
      <c r="P283">
        <f t="shared" si="47"/>
        <v>184358.55156052415</v>
      </c>
      <c r="Q283">
        <f t="shared" si="48"/>
        <v>45468.055439475836</v>
      </c>
      <c r="R283">
        <f t="shared" si="49"/>
        <v>0</v>
      </c>
      <c r="S283">
        <f t="shared" si="50"/>
        <v>229826.60699999999</v>
      </c>
    </row>
    <row r="284" spans="1:19" x14ac:dyDescent="0.3">
      <c r="A284" t="s">
        <v>13</v>
      </c>
      <c r="B284" t="s">
        <v>25</v>
      </c>
      <c r="C284" t="s">
        <v>15</v>
      </c>
      <c r="D284">
        <v>24</v>
      </c>
      <c r="E284">
        <v>4</v>
      </c>
      <c r="F284">
        <v>0</v>
      </c>
      <c r="G284">
        <v>20251208</v>
      </c>
      <c r="H284">
        <v>20260104</v>
      </c>
      <c r="I284">
        <v>29823.144799999998</v>
      </c>
      <c r="J284">
        <f t="shared" si="41"/>
        <v>28</v>
      </c>
      <c r="K284">
        <f t="shared" si="42"/>
        <v>1065.1123142857143</v>
      </c>
      <c r="L284">
        <f t="shared" si="43"/>
        <v>21593.463984002723</v>
      </c>
      <c r="M284">
        <f t="shared" si="44"/>
        <v>4260.4492571428573</v>
      </c>
      <c r="N284">
        <f t="shared" si="45"/>
        <v>0</v>
      </c>
      <c r="O284">
        <f t="shared" si="46"/>
        <v>25853.913241145579</v>
      </c>
      <c r="P284">
        <f t="shared" si="47"/>
        <v>24908.608500457831</v>
      </c>
      <c r="Q284">
        <f t="shared" si="48"/>
        <v>4914.5362995421683</v>
      </c>
      <c r="R284">
        <f t="shared" si="49"/>
        <v>0</v>
      </c>
      <c r="S284">
        <f t="shared" si="50"/>
        <v>29823.144799999998</v>
      </c>
    </row>
    <row r="285" spans="1:19" x14ac:dyDescent="0.3">
      <c r="A285" t="s">
        <v>13</v>
      </c>
      <c r="B285" t="s">
        <v>25</v>
      </c>
      <c r="C285" t="s">
        <v>14</v>
      </c>
      <c r="D285">
        <v>24</v>
      </c>
      <c r="E285">
        <v>7</v>
      </c>
      <c r="F285">
        <v>0</v>
      </c>
      <c r="G285">
        <v>20251208</v>
      </c>
      <c r="H285">
        <v>20260107</v>
      </c>
      <c r="I285">
        <v>1259.8363999999999</v>
      </c>
      <c r="J285">
        <f t="shared" si="41"/>
        <v>31</v>
      </c>
      <c r="K285">
        <f t="shared" si="42"/>
        <v>40.639883870967736</v>
      </c>
      <c r="L285">
        <f t="shared" si="43"/>
        <v>823.90923183561301</v>
      </c>
      <c r="M285">
        <f t="shared" si="44"/>
        <v>284.47918709677413</v>
      </c>
      <c r="N285">
        <f t="shared" si="45"/>
        <v>0</v>
      </c>
      <c r="O285">
        <f t="shared" si="46"/>
        <v>1108.3884189323871</v>
      </c>
      <c r="P285">
        <f t="shared" si="47"/>
        <v>936.4865446377986</v>
      </c>
      <c r="Q285">
        <f t="shared" si="48"/>
        <v>323.34985536220131</v>
      </c>
      <c r="R285">
        <f t="shared" si="49"/>
        <v>0</v>
      </c>
      <c r="S285">
        <f t="shared" si="50"/>
        <v>1259.8363999999999</v>
      </c>
    </row>
    <row r="286" spans="1:19" x14ac:dyDescent="0.3">
      <c r="A286" t="s">
        <v>13</v>
      </c>
      <c r="B286" t="s">
        <v>25</v>
      </c>
      <c r="C286" t="s">
        <v>14</v>
      </c>
      <c r="D286">
        <v>0</v>
      </c>
      <c r="E286">
        <v>13</v>
      </c>
      <c r="F286">
        <v>15</v>
      </c>
      <c r="G286">
        <v>20260119</v>
      </c>
      <c r="H286">
        <v>20260215</v>
      </c>
      <c r="I286">
        <v>6653.6040000000003</v>
      </c>
      <c r="J286">
        <f t="shared" si="41"/>
        <v>28</v>
      </c>
      <c r="K286">
        <f t="shared" si="42"/>
        <v>237.6287142857143</v>
      </c>
      <c r="L286">
        <f t="shared" si="43"/>
        <v>0</v>
      </c>
      <c r="M286">
        <f t="shared" si="44"/>
        <v>3089.1732857142861</v>
      </c>
      <c r="N286">
        <f t="shared" si="45"/>
        <v>2938.9015758464348</v>
      </c>
      <c r="O286">
        <f t="shared" si="46"/>
        <v>6028.0748615607208</v>
      </c>
      <c r="P286">
        <f t="shared" si="47"/>
        <v>0</v>
      </c>
      <c r="Q286">
        <f t="shared" si="48"/>
        <v>3409.7346503756048</v>
      </c>
      <c r="R286">
        <f t="shared" si="49"/>
        <v>3243.8693496243955</v>
      </c>
      <c r="S286">
        <f t="shared" si="50"/>
        <v>6653.6040000000003</v>
      </c>
    </row>
    <row r="287" spans="1:19" x14ac:dyDescent="0.3">
      <c r="A287" t="s">
        <v>13</v>
      </c>
      <c r="B287" t="s">
        <v>25</v>
      </c>
      <c r="C287" t="s">
        <v>15</v>
      </c>
      <c r="D287">
        <v>0</v>
      </c>
      <c r="E287">
        <v>15</v>
      </c>
      <c r="F287">
        <v>0</v>
      </c>
      <c r="G287">
        <v>20260108</v>
      </c>
      <c r="H287">
        <v>20260122</v>
      </c>
      <c r="I287">
        <v>1301.2183</v>
      </c>
      <c r="J287">
        <f t="shared" si="41"/>
        <v>15</v>
      </c>
      <c r="K287">
        <f t="shared" si="42"/>
        <v>86.747886666666673</v>
      </c>
      <c r="L287">
        <f t="shared" si="43"/>
        <v>0</v>
      </c>
      <c r="M287">
        <f t="shared" si="44"/>
        <v>1301.2183</v>
      </c>
      <c r="N287">
        <f t="shared" si="45"/>
        <v>0</v>
      </c>
      <c r="O287">
        <f t="shared" si="46"/>
        <v>1301.2183</v>
      </c>
      <c r="P287">
        <f t="shared" si="47"/>
        <v>0</v>
      </c>
      <c r="Q287">
        <f t="shared" si="48"/>
        <v>1301.2183</v>
      </c>
      <c r="R287">
        <f t="shared" si="49"/>
        <v>0</v>
      </c>
      <c r="S287">
        <f t="shared" si="50"/>
        <v>1301.2183</v>
      </c>
    </row>
    <row r="288" spans="1:19" x14ac:dyDescent="0.3">
      <c r="A288" t="s">
        <v>13</v>
      </c>
      <c r="B288" t="s">
        <v>25</v>
      </c>
      <c r="C288" t="s">
        <v>14</v>
      </c>
      <c r="D288">
        <v>25</v>
      </c>
      <c r="E288">
        <v>2</v>
      </c>
      <c r="F288">
        <v>0</v>
      </c>
      <c r="G288">
        <v>20251207</v>
      </c>
      <c r="H288">
        <v>20260102</v>
      </c>
      <c r="I288">
        <v>4790.1948000000002</v>
      </c>
      <c r="J288">
        <f t="shared" si="41"/>
        <v>27</v>
      </c>
      <c r="K288">
        <f t="shared" si="42"/>
        <v>177.41462222222222</v>
      </c>
      <c r="L288">
        <f t="shared" si="43"/>
        <v>3746.6669436016109</v>
      </c>
      <c r="M288">
        <f t="shared" si="44"/>
        <v>354.82924444444444</v>
      </c>
      <c r="N288">
        <f t="shared" si="45"/>
        <v>0</v>
      </c>
      <c r="O288">
        <f t="shared" si="46"/>
        <v>4101.4961880460551</v>
      </c>
      <c r="P288">
        <f t="shared" si="47"/>
        <v>4375.7847594446685</v>
      </c>
      <c r="Q288">
        <f t="shared" si="48"/>
        <v>414.41004055533233</v>
      </c>
      <c r="R288">
        <f t="shared" si="49"/>
        <v>0</v>
      </c>
      <c r="S288">
        <f t="shared" si="50"/>
        <v>4790.1948000000011</v>
      </c>
    </row>
    <row r="289" spans="1:19" x14ac:dyDescent="0.3">
      <c r="A289" t="s">
        <v>13</v>
      </c>
      <c r="B289" t="s">
        <v>25</v>
      </c>
      <c r="C289" t="s">
        <v>15</v>
      </c>
      <c r="D289">
        <v>0</v>
      </c>
      <c r="E289">
        <v>26</v>
      </c>
      <c r="F289">
        <v>0</v>
      </c>
      <c r="G289">
        <v>20260104</v>
      </c>
      <c r="H289">
        <v>20260129</v>
      </c>
      <c r="I289">
        <v>24183.736400000002</v>
      </c>
      <c r="J289">
        <f t="shared" si="41"/>
        <v>26</v>
      </c>
      <c r="K289">
        <f t="shared" si="42"/>
        <v>930.14370769230777</v>
      </c>
      <c r="L289">
        <f t="shared" si="43"/>
        <v>0</v>
      </c>
      <c r="M289">
        <f t="shared" si="44"/>
        <v>24183.736400000002</v>
      </c>
      <c r="N289">
        <f t="shared" si="45"/>
        <v>0</v>
      </c>
      <c r="O289">
        <f t="shared" si="46"/>
        <v>24183.736400000002</v>
      </c>
      <c r="P289">
        <f t="shared" si="47"/>
        <v>0</v>
      </c>
      <c r="Q289">
        <f t="shared" si="48"/>
        <v>24183.736400000002</v>
      </c>
      <c r="R289">
        <f t="shared" si="49"/>
        <v>0</v>
      </c>
      <c r="S289">
        <f t="shared" si="50"/>
        <v>24183.736400000002</v>
      </c>
    </row>
    <row r="290" spans="1:19" x14ac:dyDescent="0.3">
      <c r="A290" t="s">
        <v>13</v>
      </c>
      <c r="B290" t="s">
        <v>25</v>
      </c>
      <c r="C290" t="s">
        <v>14</v>
      </c>
      <c r="D290">
        <v>24</v>
      </c>
      <c r="E290">
        <v>3</v>
      </c>
      <c r="F290">
        <v>0</v>
      </c>
      <c r="G290">
        <v>20251208</v>
      </c>
      <c r="H290">
        <v>20260103</v>
      </c>
      <c r="I290">
        <v>4999.1149999999998</v>
      </c>
      <c r="J290">
        <f t="shared" si="41"/>
        <v>27</v>
      </c>
      <c r="K290">
        <f t="shared" si="42"/>
        <v>185.1524074074074</v>
      </c>
      <c r="L290">
        <f t="shared" si="43"/>
        <v>3753.6715962057428</v>
      </c>
      <c r="M290">
        <f t="shared" si="44"/>
        <v>555.45722222222219</v>
      </c>
      <c r="N290">
        <f t="shared" si="45"/>
        <v>0</v>
      </c>
      <c r="O290">
        <f t="shared" si="46"/>
        <v>4309.1288184279647</v>
      </c>
      <c r="P290">
        <f t="shared" si="47"/>
        <v>4354.7168748860568</v>
      </c>
      <c r="Q290">
        <f t="shared" si="48"/>
        <v>644.39812511394382</v>
      </c>
      <c r="R290">
        <f t="shared" si="49"/>
        <v>0</v>
      </c>
      <c r="S290">
        <f t="shared" si="50"/>
        <v>4999.1150000000007</v>
      </c>
    </row>
    <row r="291" spans="1:19" x14ac:dyDescent="0.3">
      <c r="A291" t="s">
        <v>13</v>
      </c>
      <c r="B291" t="s">
        <v>25</v>
      </c>
      <c r="C291" t="s">
        <v>14</v>
      </c>
      <c r="D291">
        <v>0</v>
      </c>
      <c r="E291">
        <v>23</v>
      </c>
      <c r="F291">
        <v>1</v>
      </c>
      <c r="G291">
        <v>20260109</v>
      </c>
      <c r="H291">
        <v>20260201</v>
      </c>
      <c r="I291">
        <v>36597.908000000003</v>
      </c>
      <c r="J291">
        <f t="shared" si="41"/>
        <v>24</v>
      </c>
      <c r="K291">
        <f t="shared" si="42"/>
        <v>1524.9128333333335</v>
      </c>
      <c r="L291">
        <f t="shared" si="43"/>
        <v>0</v>
      </c>
      <c r="M291">
        <f t="shared" si="44"/>
        <v>35072.995166666675</v>
      </c>
      <c r="N291">
        <f t="shared" si="45"/>
        <v>1257.3028032079055</v>
      </c>
      <c r="O291">
        <f t="shared" si="46"/>
        <v>36330.297969874577</v>
      </c>
      <c r="P291">
        <f t="shared" si="47"/>
        <v>0</v>
      </c>
      <c r="Q291">
        <f t="shared" si="48"/>
        <v>35331.34386782303</v>
      </c>
      <c r="R291">
        <f t="shared" si="49"/>
        <v>1266.5641321769729</v>
      </c>
      <c r="S291">
        <f t="shared" si="50"/>
        <v>36597.908000000003</v>
      </c>
    </row>
    <row r="292" spans="1:19" x14ac:dyDescent="0.3">
      <c r="A292" t="s">
        <v>13</v>
      </c>
      <c r="B292" t="s">
        <v>25</v>
      </c>
      <c r="C292" t="s">
        <v>15</v>
      </c>
      <c r="D292">
        <v>0</v>
      </c>
      <c r="E292">
        <v>14</v>
      </c>
      <c r="F292">
        <v>0</v>
      </c>
      <c r="G292">
        <v>20260103</v>
      </c>
      <c r="H292">
        <v>20260116</v>
      </c>
      <c r="I292">
        <v>125.8532</v>
      </c>
      <c r="J292">
        <f t="shared" si="41"/>
        <v>14</v>
      </c>
      <c r="K292">
        <f t="shared" si="42"/>
        <v>8.9895142857142858</v>
      </c>
      <c r="L292">
        <f t="shared" si="43"/>
        <v>0</v>
      </c>
      <c r="M292">
        <f t="shared" si="44"/>
        <v>125.8532</v>
      </c>
      <c r="N292">
        <f t="shared" si="45"/>
        <v>0</v>
      </c>
      <c r="O292">
        <f t="shared" si="46"/>
        <v>125.8532</v>
      </c>
      <c r="P292">
        <f t="shared" si="47"/>
        <v>0</v>
      </c>
      <c r="Q292">
        <f t="shared" si="48"/>
        <v>125.8532</v>
      </c>
      <c r="R292">
        <f t="shared" si="49"/>
        <v>0</v>
      </c>
      <c r="S292">
        <f t="shared" si="50"/>
        <v>125.8532</v>
      </c>
    </row>
    <row r="293" spans="1:19" x14ac:dyDescent="0.3">
      <c r="A293" t="s">
        <v>13</v>
      </c>
      <c r="B293" t="s">
        <v>25</v>
      </c>
      <c r="C293" t="s">
        <v>15</v>
      </c>
      <c r="D293">
        <v>0</v>
      </c>
      <c r="E293">
        <v>13</v>
      </c>
      <c r="F293">
        <v>0</v>
      </c>
      <c r="G293">
        <v>20260103</v>
      </c>
      <c r="H293">
        <v>20260115</v>
      </c>
      <c r="I293">
        <v>13885.802900000001</v>
      </c>
      <c r="J293">
        <f t="shared" si="41"/>
        <v>13</v>
      </c>
      <c r="K293">
        <f t="shared" si="42"/>
        <v>1068.1386846153846</v>
      </c>
      <c r="L293">
        <f t="shared" si="43"/>
        <v>0</v>
      </c>
      <c r="M293">
        <f t="shared" si="44"/>
        <v>13885.802899999999</v>
      </c>
      <c r="N293">
        <f t="shared" si="45"/>
        <v>0</v>
      </c>
      <c r="O293">
        <f t="shared" si="46"/>
        <v>13885.802899999999</v>
      </c>
      <c r="P293">
        <f t="shared" si="47"/>
        <v>0</v>
      </c>
      <c r="Q293">
        <f t="shared" si="48"/>
        <v>13885.802900000001</v>
      </c>
      <c r="R293">
        <f t="shared" si="49"/>
        <v>0</v>
      </c>
      <c r="S293">
        <f t="shared" si="50"/>
        <v>13885.802900000001</v>
      </c>
    </row>
    <row r="294" spans="1:19" x14ac:dyDescent="0.3">
      <c r="A294" t="s">
        <v>13</v>
      </c>
      <c r="B294" t="s">
        <v>25</v>
      </c>
      <c r="C294" t="s">
        <v>14</v>
      </c>
      <c r="D294">
        <v>16</v>
      </c>
      <c r="E294">
        <v>14</v>
      </c>
      <c r="F294">
        <v>0</v>
      </c>
      <c r="G294">
        <v>20251216</v>
      </c>
      <c r="H294">
        <v>20260114</v>
      </c>
      <c r="I294">
        <v>209.8492</v>
      </c>
      <c r="J294">
        <f t="shared" si="41"/>
        <v>30</v>
      </c>
      <c r="K294">
        <f t="shared" si="42"/>
        <v>6.9949733333333333</v>
      </c>
      <c r="L294">
        <f t="shared" si="43"/>
        <v>94.541331598872787</v>
      </c>
      <c r="M294">
        <f t="shared" si="44"/>
        <v>97.929626666666664</v>
      </c>
      <c r="N294">
        <f t="shared" si="45"/>
        <v>0</v>
      </c>
      <c r="O294">
        <f t="shared" si="46"/>
        <v>192.47095826553945</v>
      </c>
      <c r="P294">
        <f t="shared" si="47"/>
        <v>103.07748754275457</v>
      </c>
      <c r="Q294">
        <f t="shared" si="48"/>
        <v>106.77171245724543</v>
      </c>
      <c r="R294">
        <f t="shared" si="49"/>
        <v>0</v>
      </c>
      <c r="S294">
        <f t="shared" si="50"/>
        <v>209.8492</v>
      </c>
    </row>
    <row r="295" spans="1:19" x14ac:dyDescent="0.3">
      <c r="A295" t="s">
        <v>13</v>
      </c>
      <c r="B295" t="s">
        <v>25</v>
      </c>
      <c r="C295" t="s">
        <v>15</v>
      </c>
      <c r="D295">
        <v>31</v>
      </c>
      <c r="E295">
        <v>5</v>
      </c>
      <c r="F295">
        <v>0</v>
      </c>
      <c r="G295">
        <v>20251127</v>
      </c>
      <c r="H295">
        <v>20260105</v>
      </c>
      <c r="I295">
        <v>23260.937900000001</v>
      </c>
      <c r="J295">
        <f t="shared" si="41"/>
        <v>36</v>
      </c>
      <c r="K295">
        <f t="shared" si="42"/>
        <v>646.13716388888895</v>
      </c>
      <c r="L295">
        <f t="shared" si="43"/>
        <v>16920.067219312856</v>
      </c>
      <c r="M295">
        <f t="shared" si="44"/>
        <v>3230.6858194444449</v>
      </c>
      <c r="N295">
        <f t="shared" si="45"/>
        <v>0</v>
      </c>
      <c r="O295">
        <f t="shared" si="46"/>
        <v>20150.753038757299</v>
      </c>
      <c r="P295">
        <f t="shared" si="47"/>
        <v>19531.609170896474</v>
      </c>
      <c r="Q295">
        <f t="shared" si="48"/>
        <v>3729.3287291035294</v>
      </c>
      <c r="R295">
        <f t="shared" si="49"/>
        <v>0</v>
      </c>
      <c r="S295">
        <f t="shared" si="50"/>
        <v>23260.937900000004</v>
      </c>
    </row>
    <row r="296" spans="1:19" x14ac:dyDescent="0.3">
      <c r="A296" t="s">
        <v>13</v>
      </c>
      <c r="B296" t="s">
        <v>25</v>
      </c>
      <c r="C296" t="s">
        <v>15</v>
      </c>
      <c r="D296">
        <v>9</v>
      </c>
      <c r="E296">
        <v>6</v>
      </c>
      <c r="F296">
        <v>0</v>
      </c>
      <c r="G296">
        <v>20251223</v>
      </c>
      <c r="H296">
        <v>20260106</v>
      </c>
      <c r="I296">
        <v>9275.1167000000005</v>
      </c>
      <c r="J296">
        <f t="shared" si="41"/>
        <v>15</v>
      </c>
      <c r="K296">
        <f t="shared" si="42"/>
        <v>618.3411133333334</v>
      </c>
      <c r="L296">
        <f t="shared" si="43"/>
        <v>4700.9572540522468</v>
      </c>
      <c r="M296">
        <f t="shared" si="44"/>
        <v>3710.0466800000004</v>
      </c>
      <c r="N296">
        <f t="shared" si="45"/>
        <v>0</v>
      </c>
      <c r="O296">
        <f t="shared" si="46"/>
        <v>8411.0039340522471</v>
      </c>
      <c r="P296">
        <f t="shared" si="47"/>
        <v>5183.9147234876673</v>
      </c>
      <c r="Q296">
        <f t="shared" si="48"/>
        <v>4091.2019765123332</v>
      </c>
      <c r="R296">
        <f t="shared" si="49"/>
        <v>0</v>
      </c>
      <c r="S296">
        <f t="shared" si="50"/>
        <v>9275.1167000000005</v>
      </c>
    </row>
    <row r="297" spans="1:19" x14ac:dyDescent="0.3">
      <c r="A297" t="s">
        <v>13</v>
      </c>
      <c r="B297" t="s">
        <v>25</v>
      </c>
      <c r="C297" t="s">
        <v>15</v>
      </c>
      <c r="D297">
        <v>31</v>
      </c>
      <c r="E297">
        <v>2</v>
      </c>
      <c r="F297">
        <v>0</v>
      </c>
      <c r="G297">
        <v>20251127</v>
      </c>
      <c r="H297">
        <v>20260102</v>
      </c>
      <c r="I297">
        <v>8960.4956000000002</v>
      </c>
      <c r="J297">
        <f t="shared" si="41"/>
        <v>33</v>
      </c>
      <c r="K297">
        <f t="shared" si="42"/>
        <v>271.53016969696972</v>
      </c>
      <c r="L297">
        <f t="shared" si="43"/>
        <v>7110.4232663116118</v>
      </c>
      <c r="M297">
        <f t="shared" si="44"/>
        <v>543.06033939393944</v>
      </c>
      <c r="N297">
        <f t="shared" si="45"/>
        <v>0</v>
      </c>
      <c r="O297">
        <f t="shared" si="46"/>
        <v>7653.4836057055509</v>
      </c>
      <c r="P297">
        <f t="shared" si="47"/>
        <v>8324.694959093642</v>
      </c>
      <c r="Q297">
        <f t="shared" si="48"/>
        <v>635.80064090635904</v>
      </c>
      <c r="R297">
        <f t="shared" si="49"/>
        <v>0</v>
      </c>
      <c r="S297">
        <f t="shared" si="50"/>
        <v>8960.4956000000002</v>
      </c>
    </row>
    <row r="298" spans="1:19" x14ac:dyDescent="0.3">
      <c r="A298" t="s">
        <v>13</v>
      </c>
      <c r="B298" t="s">
        <v>25</v>
      </c>
      <c r="C298" t="s">
        <v>14</v>
      </c>
      <c r="D298">
        <v>2</v>
      </c>
      <c r="E298">
        <v>31</v>
      </c>
      <c r="F298">
        <v>1</v>
      </c>
      <c r="G298">
        <v>20251230</v>
      </c>
      <c r="H298">
        <v>20260201</v>
      </c>
      <c r="I298">
        <v>2603.2330000000002</v>
      </c>
      <c r="J298">
        <f t="shared" si="41"/>
        <v>34</v>
      </c>
      <c r="K298">
        <f t="shared" si="42"/>
        <v>76.565676470588244</v>
      </c>
      <c r="L298">
        <f t="shared" si="43"/>
        <v>129.35397790945643</v>
      </c>
      <c r="M298">
        <f t="shared" si="44"/>
        <v>2373.5359705882356</v>
      </c>
      <c r="N298">
        <f t="shared" si="45"/>
        <v>63.129011410803152</v>
      </c>
      <c r="O298">
        <f t="shared" si="46"/>
        <v>2566.0189599084952</v>
      </c>
      <c r="P298">
        <f t="shared" si="47"/>
        <v>131.22995162404263</v>
      </c>
      <c r="Q298">
        <f t="shared" si="48"/>
        <v>2407.9584998634091</v>
      </c>
      <c r="R298">
        <f t="shared" si="49"/>
        <v>64.044548512548687</v>
      </c>
      <c r="S298">
        <f t="shared" si="50"/>
        <v>2603.2330000000006</v>
      </c>
    </row>
    <row r="299" spans="1:19" x14ac:dyDescent="0.3">
      <c r="A299" t="s">
        <v>13</v>
      </c>
      <c r="B299" t="s">
        <v>25</v>
      </c>
      <c r="C299" t="s">
        <v>15</v>
      </c>
      <c r="D299">
        <v>31</v>
      </c>
      <c r="E299">
        <v>6</v>
      </c>
      <c r="F299">
        <v>0</v>
      </c>
      <c r="G299">
        <v>20251201</v>
      </c>
      <c r="H299">
        <v>20260106</v>
      </c>
      <c r="I299">
        <v>13826.284600000001</v>
      </c>
      <c r="J299">
        <f t="shared" si="41"/>
        <v>37</v>
      </c>
      <c r="K299">
        <f t="shared" si="42"/>
        <v>373.68336756756759</v>
      </c>
      <c r="L299">
        <f t="shared" si="43"/>
        <v>9785.457409581395</v>
      </c>
      <c r="M299">
        <f t="shared" si="44"/>
        <v>2242.1002054054056</v>
      </c>
      <c r="N299">
        <f t="shared" si="45"/>
        <v>0</v>
      </c>
      <c r="O299">
        <f t="shared" si="46"/>
        <v>12027.557614986801</v>
      </c>
      <c r="P299">
        <f t="shared" si="47"/>
        <v>11248.87723817398</v>
      </c>
      <c r="Q299">
        <f t="shared" si="48"/>
        <v>2577.4073618260209</v>
      </c>
      <c r="R299">
        <f t="shared" si="49"/>
        <v>0</v>
      </c>
      <c r="S299">
        <f t="shared" si="50"/>
        <v>13826.284600000001</v>
      </c>
    </row>
    <row r="300" spans="1:19" x14ac:dyDescent="0.3">
      <c r="A300" t="s">
        <v>13</v>
      </c>
      <c r="B300" t="s">
        <v>25</v>
      </c>
      <c r="C300" t="s">
        <v>14</v>
      </c>
      <c r="D300">
        <v>31</v>
      </c>
      <c r="E300">
        <v>5</v>
      </c>
      <c r="F300">
        <v>0</v>
      </c>
      <c r="G300">
        <v>20251126</v>
      </c>
      <c r="H300">
        <v>20260105</v>
      </c>
      <c r="I300">
        <v>34573.0101</v>
      </c>
      <c r="J300">
        <f t="shared" si="41"/>
        <v>36</v>
      </c>
      <c r="K300">
        <f t="shared" si="42"/>
        <v>960.36139166666669</v>
      </c>
      <c r="L300">
        <f t="shared" si="43"/>
        <v>25148.498198173784</v>
      </c>
      <c r="M300">
        <f t="shared" si="44"/>
        <v>4801.8069583333336</v>
      </c>
      <c r="N300">
        <f t="shared" si="45"/>
        <v>0</v>
      </c>
      <c r="O300">
        <f t="shared" si="46"/>
        <v>29950.305156507118</v>
      </c>
      <c r="P300">
        <f t="shared" si="47"/>
        <v>29030.064223448888</v>
      </c>
      <c r="Q300">
        <f t="shared" si="48"/>
        <v>5542.9458765511108</v>
      </c>
      <c r="R300">
        <f t="shared" si="49"/>
        <v>0</v>
      </c>
      <c r="S300">
        <f t="shared" si="50"/>
        <v>34573.0101</v>
      </c>
    </row>
    <row r="301" spans="1:19" x14ac:dyDescent="0.3">
      <c r="A301" t="s">
        <v>13</v>
      </c>
      <c r="B301" t="s">
        <v>25</v>
      </c>
      <c r="C301" t="s">
        <v>15</v>
      </c>
      <c r="D301">
        <v>22</v>
      </c>
      <c r="E301">
        <v>2</v>
      </c>
      <c r="F301">
        <v>0</v>
      </c>
      <c r="G301">
        <v>20251210</v>
      </c>
      <c r="H301">
        <v>20260102</v>
      </c>
      <c r="I301">
        <v>20245.658599999999</v>
      </c>
      <c r="J301">
        <f t="shared" si="41"/>
        <v>24</v>
      </c>
      <c r="K301">
        <f t="shared" si="42"/>
        <v>843.56910833333325</v>
      </c>
      <c r="L301">
        <f t="shared" si="43"/>
        <v>15676.857740687923</v>
      </c>
      <c r="M301">
        <f t="shared" si="44"/>
        <v>1687.1382166666665</v>
      </c>
      <c r="N301">
        <f t="shared" si="45"/>
        <v>0</v>
      </c>
      <c r="O301">
        <f t="shared" si="46"/>
        <v>17363.995957354589</v>
      </c>
      <c r="P301">
        <f t="shared" si="47"/>
        <v>18278.529349939403</v>
      </c>
      <c r="Q301">
        <f t="shared" si="48"/>
        <v>1967.1292500605962</v>
      </c>
      <c r="R301">
        <f t="shared" si="49"/>
        <v>0</v>
      </c>
      <c r="S301">
        <f t="shared" si="50"/>
        <v>20245.658599999999</v>
      </c>
    </row>
    <row r="302" spans="1:19" x14ac:dyDescent="0.3">
      <c r="A302" t="s">
        <v>13</v>
      </c>
      <c r="B302" t="s">
        <v>25</v>
      </c>
      <c r="C302" t="s">
        <v>15</v>
      </c>
      <c r="D302">
        <v>20</v>
      </c>
      <c r="E302">
        <v>2</v>
      </c>
      <c r="F302">
        <v>0</v>
      </c>
      <c r="G302">
        <v>20251212</v>
      </c>
      <c r="H302">
        <v>20260102</v>
      </c>
      <c r="I302">
        <v>6887.7539999999999</v>
      </c>
      <c r="J302">
        <f t="shared" si="41"/>
        <v>22</v>
      </c>
      <c r="K302">
        <f t="shared" si="42"/>
        <v>313.07972727272727</v>
      </c>
      <c r="L302">
        <f t="shared" si="43"/>
        <v>5289.329369550057</v>
      </c>
      <c r="M302">
        <f t="shared" si="44"/>
        <v>626.15945454545454</v>
      </c>
      <c r="N302">
        <f t="shared" si="45"/>
        <v>0</v>
      </c>
      <c r="O302">
        <f t="shared" si="46"/>
        <v>5915.4888240955115</v>
      </c>
      <c r="P302">
        <f t="shared" si="47"/>
        <v>6158.6794609499311</v>
      </c>
      <c r="Q302">
        <f t="shared" si="48"/>
        <v>729.07453905006946</v>
      </c>
      <c r="R302">
        <f t="shared" si="49"/>
        <v>0</v>
      </c>
      <c r="S302">
        <f t="shared" si="50"/>
        <v>6887.7540000000008</v>
      </c>
    </row>
    <row r="303" spans="1:19" x14ac:dyDescent="0.3">
      <c r="A303" t="s">
        <v>13</v>
      </c>
      <c r="B303" t="s">
        <v>25</v>
      </c>
      <c r="C303" t="s">
        <v>15</v>
      </c>
      <c r="D303">
        <v>13</v>
      </c>
      <c r="E303">
        <v>6</v>
      </c>
      <c r="F303">
        <v>0</v>
      </c>
      <c r="G303">
        <v>20251219</v>
      </c>
      <c r="H303">
        <v>20260106</v>
      </c>
      <c r="I303">
        <v>7639.5904</v>
      </c>
      <c r="J303">
        <f t="shared" si="41"/>
        <v>19</v>
      </c>
      <c r="K303">
        <f t="shared" si="42"/>
        <v>402.08370526315792</v>
      </c>
      <c r="L303">
        <f t="shared" si="43"/>
        <v>4415.4553230418496</v>
      </c>
      <c r="M303">
        <f t="shared" si="44"/>
        <v>2412.5022315789474</v>
      </c>
      <c r="N303">
        <f t="shared" si="45"/>
        <v>0</v>
      </c>
      <c r="O303">
        <f t="shared" si="46"/>
        <v>6827.9575546207971</v>
      </c>
      <c r="P303">
        <f t="shared" si="47"/>
        <v>4940.3163138750351</v>
      </c>
      <c r="Q303">
        <f t="shared" si="48"/>
        <v>2699.2740861249654</v>
      </c>
      <c r="R303">
        <f t="shared" si="49"/>
        <v>0</v>
      </c>
      <c r="S303">
        <f t="shared" si="50"/>
        <v>7639.590400000001</v>
      </c>
    </row>
    <row r="304" spans="1:19" x14ac:dyDescent="0.3">
      <c r="A304" t="s">
        <v>13</v>
      </c>
      <c r="B304" t="s">
        <v>25</v>
      </c>
      <c r="C304" t="s">
        <v>15</v>
      </c>
      <c r="D304">
        <v>18</v>
      </c>
      <c r="E304">
        <v>5</v>
      </c>
      <c r="F304">
        <v>0</v>
      </c>
      <c r="G304">
        <v>20251214</v>
      </c>
      <c r="H304">
        <v>20260105</v>
      </c>
      <c r="I304">
        <v>24225.722000000002</v>
      </c>
      <c r="J304">
        <f t="shared" si="41"/>
        <v>23</v>
      </c>
      <c r="K304">
        <f t="shared" si="42"/>
        <v>1053.2922608695653</v>
      </c>
      <c r="L304">
        <f t="shared" si="43"/>
        <v>16015.373351707394</v>
      </c>
      <c r="M304">
        <f t="shared" si="44"/>
        <v>5266.4613043478266</v>
      </c>
      <c r="N304">
        <f t="shared" si="45"/>
        <v>0</v>
      </c>
      <c r="O304">
        <f t="shared" si="46"/>
        <v>21281.83465605522</v>
      </c>
      <c r="P304">
        <f t="shared" si="47"/>
        <v>18230.758241244035</v>
      </c>
      <c r="Q304">
        <f t="shared" si="48"/>
        <v>5994.9637587559691</v>
      </c>
      <c r="R304">
        <f t="shared" si="49"/>
        <v>0</v>
      </c>
      <c r="S304">
        <f t="shared" si="50"/>
        <v>24225.722000000005</v>
      </c>
    </row>
    <row r="305" spans="1:19" x14ac:dyDescent="0.3">
      <c r="A305" t="s">
        <v>13</v>
      </c>
      <c r="B305" t="s">
        <v>25</v>
      </c>
      <c r="C305" t="s">
        <v>15</v>
      </c>
      <c r="D305">
        <v>31</v>
      </c>
      <c r="E305">
        <v>3</v>
      </c>
      <c r="F305">
        <v>0</v>
      </c>
      <c r="G305">
        <v>20251129</v>
      </c>
      <c r="H305">
        <v>20260103</v>
      </c>
      <c r="I305">
        <v>9766.6056000000008</v>
      </c>
      <c r="J305">
        <f t="shared" si="41"/>
        <v>34</v>
      </c>
      <c r="K305">
        <f t="shared" si="42"/>
        <v>287.25310588235294</v>
      </c>
      <c r="L305">
        <f t="shared" si="43"/>
        <v>7522.1518465723148</v>
      </c>
      <c r="M305">
        <f t="shared" si="44"/>
        <v>861.75931764705888</v>
      </c>
      <c r="N305">
        <f t="shared" si="45"/>
        <v>0</v>
      </c>
      <c r="O305">
        <f t="shared" si="46"/>
        <v>8383.9111642193729</v>
      </c>
      <c r="P305">
        <f t="shared" si="47"/>
        <v>8762.7228998226074</v>
      </c>
      <c r="Q305">
        <f t="shared" si="48"/>
        <v>1003.8827001773942</v>
      </c>
      <c r="R305">
        <f t="shared" si="49"/>
        <v>0</v>
      </c>
      <c r="S305">
        <f t="shared" si="50"/>
        <v>9766.6056000000008</v>
      </c>
    </row>
    <row r="306" spans="1:19" x14ac:dyDescent="0.3">
      <c r="A306" t="s">
        <v>13</v>
      </c>
      <c r="B306" t="s">
        <v>25</v>
      </c>
      <c r="C306" t="s">
        <v>15</v>
      </c>
      <c r="D306">
        <v>31</v>
      </c>
      <c r="E306">
        <v>4</v>
      </c>
      <c r="F306">
        <v>0</v>
      </c>
      <c r="G306">
        <v>20251126</v>
      </c>
      <c r="H306">
        <v>20260104</v>
      </c>
      <c r="I306">
        <v>8715.1769000000004</v>
      </c>
      <c r="J306">
        <f t="shared" si="41"/>
        <v>35</v>
      </c>
      <c r="K306">
        <f t="shared" si="42"/>
        <v>249.00505428571429</v>
      </c>
      <c r="L306">
        <f t="shared" si="43"/>
        <v>6520.569457892132</v>
      </c>
      <c r="M306">
        <f t="shared" si="44"/>
        <v>996.02021714285718</v>
      </c>
      <c r="N306">
        <f t="shared" si="45"/>
        <v>0</v>
      </c>
      <c r="O306">
        <f t="shared" si="46"/>
        <v>7516.5896750349893</v>
      </c>
      <c r="P306">
        <f t="shared" si="47"/>
        <v>7560.3323809214717</v>
      </c>
      <c r="Q306">
        <f t="shared" si="48"/>
        <v>1154.8445190785283</v>
      </c>
      <c r="R306">
        <f t="shared" si="49"/>
        <v>0</v>
      </c>
      <c r="S306">
        <f t="shared" si="50"/>
        <v>8715.1769000000004</v>
      </c>
    </row>
    <row r="307" spans="1:19" x14ac:dyDescent="0.3">
      <c r="A307" t="s">
        <v>13</v>
      </c>
      <c r="B307" t="s">
        <v>25</v>
      </c>
      <c r="C307" t="s">
        <v>15</v>
      </c>
      <c r="D307">
        <v>15</v>
      </c>
      <c r="E307">
        <v>2</v>
      </c>
      <c r="F307">
        <v>0</v>
      </c>
      <c r="G307">
        <v>20251217</v>
      </c>
      <c r="H307">
        <v>20260102</v>
      </c>
      <c r="I307">
        <v>3610.8510999999999</v>
      </c>
      <c r="J307">
        <f t="shared" si="41"/>
        <v>17</v>
      </c>
      <c r="K307">
        <f t="shared" si="42"/>
        <v>212.40300588235294</v>
      </c>
      <c r="L307">
        <f t="shared" si="43"/>
        <v>2691.3339302920817</v>
      </c>
      <c r="M307">
        <f t="shared" si="44"/>
        <v>424.80601176470589</v>
      </c>
      <c r="N307">
        <f t="shared" si="45"/>
        <v>0</v>
      </c>
      <c r="O307">
        <f t="shared" si="46"/>
        <v>3116.1399420567877</v>
      </c>
      <c r="P307">
        <f t="shared" si="47"/>
        <v>3118.6038699687474</v>
      </c>
      <c r="Q307">
        <f t="shared" si="48"/>
        <v>492.24723003125246</v>
      </c>
      <c r="R307">
        <f t="shared" si="49"/>
        <v>0</v>
      </c>
      <c r="S307">
        <f t="shared" si="50"/>
        <v>3610.8510999999999</v>
      </c>
    </row>
    <row r="308" spans="1:19" x14ac:dyDescent="0.3">
      <c r="A308" t="s">
        <v>13</v>
      </c>
      <c r="B308" t="s">
        <v>16</v>
      </c>
      <c r="C308" t="s">
        <v>15</v>
      </c>
      <c r="D308">
        <v>31</v>
      </c>
      <c r="E308">
        <v>3</v>
      </c>
      <c r="F308">
        <v>0</v>
      </c>
      <c r="G308">
        <v>20251127</v>
      </c>
      <c r="H308">
        <v>20260103</v>
      </c>
      <c r="I308">
        <v>61.9435</v>
      </c>
      <c r="J308">
        <f t="shared" si="41"/>
        <v>34</v>
      </c>
      <c r="K308">
        <f t="shared" si="42"/>
        <v>1.8218676470588235</v>
      </c>
      <c r="L308">
        <f t="shared" si="43"/>
        <v>47.708326924571651</v>
      </c>
      <c r="M308">
        <f t="shared" si="44"/>
        <v>5.4656029411764706</v>
      </c>
      <c r="N308">
        <f t="shared" si="45"/>
        <v>0</v>
      </c>
      <c r="O308">
        <f t="shared" si="46"/>
        <v>53.173929865748121</v>
      </c>
      <c r="P308">
        <f t="shared" si="47"/>
        <v>55.576496909546712</v>
      </c>
      <c r="Q308">
        <f t="shared" si="48"/>
        <v>6.3670030904532888</v>
      </c>
      <c r="R308">
        <f t="shared" si="49"/>
        <v>0</v>
      </c>
      <c r="S308">
        <f t="shared" si="50"/>
        <v>61.9435</v>
      </c>
    </row>
    <row r="309" spans="1:19" x14ac:dyDescent="0.3">
      <c r="A309" t="s">
        <v>13</v>
      </c>
      <c r="B309" t="s">
        <v>25</v>
      </c>
      <c r="C309" t="s">
        <v>15</v>
      </c>
      <c r="D309">
        <v>14</v>
      </c>
      <c r="E309">
        <v>2</v>
      </c>
      <c r="F309">
        <v>0</v>
      </c>
      <c r="G309">
        <v>20251218</v>
      </c>
      <c r="H309">
        <v>20260102</v>
      </c>
      <c r="I309">
        <v>5584.7491</v>
      </c>
      <c r="J309">
        <f t="shared" si="41"/>
        <v>16</v>
      </c>
      <c r="K309">
        <f t="shared" si="42"/>
        <v>349.04681875</v>
      </c>
      <c r="L309">
        <f t="shared" si="43"/>
        <v>4127.8830925641087</v>
      </c>
      <c r="M309">
        <f t="shared" si="44"/>
        <v>698.0936375</v>
      </c>
      <c r="N309">
        <f t="shared" si="45"/>
        <v>0</v>
      </c>
      <c r="O309">
        <f t="shared" si="46"/>
        <v>4825.9767300641088</v>
      </c>
      <c r="P309">
        <f t="shared" si="47"/>
        <v>4776.8965072892888</v>
      </c>
      <c r="Q309">
        <f t="shared" si="48"/>
        <v>807.85259271071129</v>
      </c>
      <c r="R309">
        <f t="shared" si="49"/>
        <v>0</v>
      </c>
      <c r="S309">
        <f t="shared" si="50"/>
        <v>5584.7491</v>
      </c>
    </row>
    <row r="310" spans="1:19" x14ac:dyDescent="0.3">
      <c r="A310" t="s">
        <v>13</v>
      </c>
      <c r="B310" t="s">
        <v>25</v>
      </c>
      <c r="C310" t="s">
        <v>15</v>
      </c>
      <c r="D310">
        <v>31</v>
      </c>
      <c r="E310">
        <v>3</v>
      </c>
      <c r="F310">
        <v>0</v>
      </c>
      <c r="G310">
        <v>20251128</v>
      </c>
      <c r="H310">
        <v>20260103</v>
      </c>
      <c r="I310">
        <v>347.64139999999998</v>
      </c>
      <c r="J310">
        <f t="shared" si="41"/>
        <v>34</v>
      </c>
      <c r="K310">
        <f t="shared" si="42"/>
        <v>10.224747058823528</v>
      </c>
      <c r="L310">
        <f t="shared" si="43"/>
        <v>267.75028152616142</v>
      </c>
      <c r="M310">
        <f t="shared" si="44"/>
        <v>30.674241176470584</v>
      </c>
      <c r="N310">
        <f t="shared" si="45"/>
        <v>0</v>
      </c>
      <c r="O310">
        <f t="shared" si="46"/>
        <v>298.42452270263198</v>
      </c>
      <c r="P310">
        <f t="shared" si="47"/>
        <v>311.90829050232054</v>
      </c>
      <c r="Q310">
        <f t="shared" si="48"/>
        <v>35.733109497679465</v>
      </c>
      <c r="R310">
        <f t="shared" si="49"/>
        <v>0</v>
      </c>
      <c r="S310">
        <f t="shared" si="50"/>
        <v>347.64139999999998</v>
      </c>
    </row>
    <row r="311" spans="1:19" x14ac:dyDescent="0.3">
      <c r="A311" t="s">
        <v>13</v>
      </c>
      <c r="B311" t="s">
        <v>25</v>
      </c>
      <c r="C311" t="s">
        <v>15</v>
      </c>
      <c r="D311">
        <v>1</v>
      </c>
      <c r="E311">
        <v>31</v>
      </c>
      <c r="F311">
        <v>3</v>
      </c>
      <c r="G311">
        <v>20251231</v>
      </c>
      <c r="H311">
        <v>20260203</v>
      </c>
      <c r="I311">
        <v>18607.962100000001</v>
      </c>
      <c r="J311">
        <f t="shared" si="41"/>
        <v>35</v>
      </c>
      <c r="K311">
        <f t="shared" si="42"/>
        <v>531.65606000000002</v>
      </c>
      <c r="L311">
        <f t="shared" si="43"/>
        <v>449.10349787797213</v>
      </c>
      <c r="M311">
        <f t="shared" si="44"/>
        <v>16481.33786</v>
      </c>
      <c r="N311">
        <f t="shared" si="45"/>
        <v>1315.0639957287688</v>
      </c>
      <c r="O311">
        <f t="shared" si="46"/>
        <v>18245.505353606739</v>
      </c>
      <c r="P311">
        <f t="shared" si="47"/>
        <v>458.02517965547929</v>
      </c>
      <c r="Q311">
        <f t="shared" si="48"/>
        <v>16808.748473253461</v>
      </c>
      <c r="R311">
        <f t="shared" si="49"/>
        <v>1341.1884470910627</v>
      </c>
      <c r="S311">
        <f t="shared" si="50"/>
        <v>18607.962100000004</v>
      </c>
    </row>
    <row r="312" spans="1:19" x14ac:dyDescent="0.3">
      <c r="A312" t="s">
        <v>13</v>
      </c>
      <c r="B312" t="s">
        <v>25</v>
      </c>
      <c r="C312" t="s">
        <v>15</v>
      </c>
      <c r="D312">
        <v>3</v>
      </c>
      <c r="E312">
        <v>31</v>
      </c>
      <c r="F312">
        <v>3</v>
      </c>
      <c r="G312">
        <v>20251229</v>
      </c>
      <c r="H312">
        <v>20260203</v>
      </c>
      <c r="I312">
        <v>14953.225</v>
      </c>
      <c r="J312">
        <f t="shared" si="41"/>
        <v>37</v>
      </c>
      <c r="K312">
        <f t="shared" si="42"/>
        <v>404.14121621621621</v>
      </c>
      <c r="L312">
        <f t="shared" si="43"/>
        <v>1024.1653250751651</v>
      </c>
      <c r="M312">
        <f t="shared" si="44"/>
        <v>12528.377702702703</v>
      </c>
      <c r="N312">
        <f t="shared" si="45"/>
        <v>999.65297609131267</v>
      </c>
      <c r="O312">
        <f t="shared" si="46"/>
        <v>14552.196003869181</v>
      </c>
      <c r="P312">
        <f t="shared" si="47"/>
        <v>1052.3892434499371</v>
      </c>
      <c r="Q312">
        <f t="shared" si="48"/>
        <v>12873.634372687546</v>
      </c>
      <c r="R312">
        <f t="shared" si="49"/>
        <v>1027.2013838625173</v>
      </c>
      <c r="S312">
        <f t="shared" si="50"/>
        <v>14953.225</v>
      </c>
    </row>
    <row r="313" spans="1:19" x14ac:dyDescent="0.3">
      <c r="A313" t="s">
        <v>13</v>
      </c>
      <c r="B313" t="s">
        <v>25</v>
      </c>
      <c r="C313" t="s">
        <v>15</v>
      </c>
      <c r="D313">
        <v>0</v>
      </c>
      <c r="E313">
        <v>9</v>
      </c>
      <c r="F313">
        <v>4</v>
      </c>
      <c r="G313">
        <v>20260123</v>
      </c>
      <c r="H313">
        <v>20260204</v>
      </c>
      <c r="I313">
        <v>11619.133099999999</v>
      </c>
      <c r="J313">
        <f t="shared" si="41"/>
        <v>13</v>
      </c>
      <c r="K313">
        <f t="shared" si="42"/>
        <v>893.77946923076911</v>
      </c>
      <c r="L313">
        <f t="shared" si="43"/>
        <v>0</v>
      </c>
      <c r="M313">
        <f t="shared" si="44"/>
        <v>8044.0152230769218</v>
      </c>
      <c r="N313">
        <f t="shared" si="45"/>
        <v>2947.7132267477668</v>
      </c>
      <c r="O313">
        <f t="shared" si="46"/>
        <v>10991.728449824688</v>
      </c>
      <c r="P313">
        <f t="shared" si="47"/>
        <v>0</v>
      </c>
      <c r="Q313">
        <f t="shared" si="48"/>
        <v>8503.1652630435601</v>
      </c>
      <c r="R313">
        <f t="shared" si="49"/>
        <v>3115.9678369564381</v>
      </c>
      <c r="S313">
        <f t="shared" si="50"/>
        <v>11619.133099999999</v>
      </c>
    </row>
    <row r="314" spans="1:19" x14ac:dyDescent="0.3">
      <c r="A314" t="s">
        <v>13</v>
      </c>
      <c r="B314" t="s">
        <v>25</v>
      </c>
      <c r="C314" t="s">
        <v>15</v>
      </c>
      <c r="D314">
        <v>0</v>
      </c>
      <c r="E314">
        <v>17</v>
      </c>
      <c r="F314">
        <v>1</v>
      </c>
      <c r="G314">
        <v>20260115</v>
      </c>
      <c r="H314">
        <v>20260201</v>
      </c>
      <c r="I314">
        <v>6178.1374999999998</v>
      </c>
      <c r="J314">
        <f t="shared" si="41"/>
        <v>18</v>
      </c>
      <c r="K314">
        <f t="shared" si="42"/>
        <v>343.22986111111112</v>
      </c>
      <c r="L314">
        <f t="shared" si="43"/>
        <v>0</v>
      </c>
      <c r="M314">
        <f t="shared" si="44"/>
        <v>5834.9076388888889</v>
      </c>
      <c r="N314">
        <f t="shared" si="45"/>
        <v>282.9957602077103</v>
      </c>
      <c r="O314">
        <f t="shared" si="46"/>
        <v>6117.9033990965991</v>
      </c>
      <c r="P314">
        <f t="shared" si="47"/>
        <v>0</v>
      </c>
      <c r="Q314">
        <f t="shared" si="48"/>
        <v>5892.3554919450116</v>
      </c>
      <c r="R314">
        <f t="shared" si="49"/>
        <v>285.78200805498801</v>
      </c>
      <c r="S314">
        <f t="shared" si="50"/>
        <v>6178.1374999999998</v>
      </c>
    </row>
    <row r="315" spans="1:19" x14ac:dyDescent="0.3">
      <c r="A315" t="s">
        <v>13</v>
      </c>
      <c r="B315" t="s">
        <v>25</v>
      </c>
      <c r="C315" t="s">
        <v>15</v>
      </c>
      <c r="D315">
        <v>0</v>
      </c>
      <c r="E315">
        <v>19</v>
      </c>
      <c r="F315">
        <v>2</v>
      </c>
      <c r="G315">
        <v>20260113</v>
      </c>
      <c r="H315">
        <v>20260202</v>
      </c>
      <c r="I315">
        <v>1933.3856000000001</v>
      </c>
      <c r="J315">
        <f t="shared" si="41"/>
        <v>21</v>
      </c>
      <c r="K315">
        <f t="shared" si="42"/>
        <v>92.065980952380954</v>
      </c>
      <c r="L315">
        <f t="shared" si="43"/>
        <v>0</v>
      </c>
      <c r="M315">
        <f t="shared" si="44"/>
        <v>1749.2536380952381</v>
      </c>
      <c r="N315">
        <f t="shared" si="45"/>
        <v>151.81827236443903</v>
      </c>
      <c r="O315">
        <f t="shared" si="46"/>
        <v>1901.0719104596772</v>
      </c>
      <c r="P315">
        <f t="shared" si="47"/>
        <v>0</v>
      </c>
      <c r="Q315">
        <f t="shared" si="48"/>
        <v>1778.9867790025814</v>
      </c>
      <c r="R315">
        <f t="shared" si="49"/>
        <v>154.39882099741862</v>
      </c>
      <c r="S315">
        <f t="shared" si="50"/>
        <v>1933.3856000000001</v>
      </c>
    </row>
    <row r="316" spans="1:19" x14ac:dyDescent="0.3">
      <c r="A316" t="s">
        <v>13</v>
      </c>
      <c r="B316" t="s">
        <v>25</v>
      </c>
      <c r="C316" t="s">
        <v>15</v>
      </c>
      <c r="D316">
        <v>0</v>
      </c>
      <c r="E316">
        <v>16</v>
      </c>
      <c r="F316">
        <v>4</v>
      </c>
      <c r="G316">
        <v>20260116</v>
      </c>
      <c r="H316">
        <v>20260204</v>
      </c>
      <c r="I316">
        <v>4963.1692999999996</v>
      </c>
      <c r="J316">
        <f t="shared" si="41"/>
        <v>20</v>
      </c>
      <c r="K316">
        <f t="shared" si="42"/>
        <v>248.15846499999998</v>
      </c>
      <c r="L316">
        <f t="shared" si="43"/>
        <v>0</v>
      </c>
      <c r="M316">
        <f t="shared" si="44"/>
        <v>3970.5354399999997</v>
      </c>
      <c r="N316">
        <f t="shared" si="45"/>
        <v>818.43454094944457</v>
      </c>
      <c r="O316">
        <f t="shared" si="46"/>
        <v>4788.9699809494441</v>
      </c>
      <c r="P316">
        <f t="shared" si="47"/>
        <v>0</v>
      </c>
      <c r="Q316">
        <f t="shared" si="48"/>
        <v>4114.9641110222747</v>
      </c>
      <c r="R316">
        <f t="shared" si="49"/>
        <v>848.20518897772513</v>
      </c>
      <c r="S316">
        <f t="shared" si="50"/>
        <v>4963.1692999999996</v>
      </c>
    </row>
    <row r="317" spans="1:19" x14ac:dyDescent="0.3">
      <c r="A317" t="s">
        <v>13</v>
      </c>
      <c r="B317" t="s">
        <v>25</v>
      </c>
      <c r="C317" t="s">
        <v>15</v>
      </c>
      <c r="D317">
        <v>0</v>
      </c>
      <c r="E317">
        <v>13</v>
      </c>
      <c r="F317">
        <v>4</v>
      </c>
      <c r="G317">
        <v>20260119</v>
      </c>
      <c r="H317">
        <v>20260204</v>
      </c>
      <c r="I317">
        <v>2187.9814999999999</v>
      </c>
      <c r="J317">
        <f t="shared" si="41"/>
        <v>17</v>
      </c>
      <c r="K317">
        <f t="shared" si="42"/>
        <v>128.70479411764705</v>
      </c>
      <c r="L317">
        <f t="shared" si="43"/>
        <v>0</v>
      </c>
      <c r="M317">
        <f t="shared" si="44"/>
        <v>1673.1623235294117</v>
      </c>
      <c r="N317">
        <f t="shared" si="45"/>
        <v>424.47252037793368</v>
      </c>
      <c r="O317">
        <f t="shared" si="46"/>
        <v>2097.6348439073454</v>
      </c>
      <c r="P317">
        <f t="shared" si="47"/>
        <v>0</v>
      </c>
      <c r="Q317">
        <f t="shared" si="48"/>
        <v>1745.2266399046671</v>
      </c>
      <c r="R317">
        <f t="shared" si="49"/>
        <v>442.75486009533273</v>
      </c>
      <c r="S317">
        <f t="shared" si="50"/>
        <v>2187.9814999999999</v>
      </c>
    </row>
    <row r="318" spans="1:19" x14ac:dyDescent="0.3">
      <c r="A318" t="s">
        <v>13</v>
      </c>
      <c r="B318" t="s">
        <v>25</v>
      </c>
      <c r="C318" t="s">
        <v>15</v>
      </c>
      <c r="D318">
        <v>0</v>
      </c>
      <c r="E318">
        <v>12</v>
      </c>
      <c r="F318">
        <v>5</v>
      </c>
      <c r="G318">
        <v>20260120</v>
      </c>
      <c r="H318">
        <v>20260205</v>
      </c>
      <c r="I318">
        <v>26469.269100000001</v>
      </c>
      <c r="J318">
        <f t="shared" si="41"/>
        <v>17</v>
      </c>
      <c r="K318">
        <f t="shared" si="42"/>
        <v>1557.0158294117648</v>
      </c>
      <c r="L318">
        <f t="shared" si="43"/>
        <v>0</v>
      </c>
      <c r="M318">
        <f t="shared" si="44"/>
        <v>18684.189952941178</v>
      </c>
      <c r="N318">
        <f t="shared" si="45"/>
        <v>6418.8598986318902</v>
      </c>
      <c r="O318">
        <f t="shared" si="46"/>
        <v>25103.049851573069</v>
      </c>
      <c r="P318">
        <f t="shared" si="47"/>
        <v>0</v>
      </c>
      <c r="Q318">
        <f t="shared" si="48"/>
        <v>19701.066392493551</v>
      </c>
      <c r="R318">
        <f t="shared" si="49"/>
        <v>6768.2027075064498</v>
      </c>
      <c r="S318">
        <f t="shared" si="50"/>
        <v>26469.269100000001</v>
      </c>
    </row>
    <row r="319" spans="1:19" x14ac:dyDescent="0.3">
      <c r="A319" t="s">
        <v>13</v>
      </c>
      <c r="B319" t="s">
        <v>25</v>
      </c>
      <c r="C319" t="s">
        <v>15</v>
      </c>
      <c r="D319">
        <v>0</v>
      </c>
      <c r="E319">
        <v>20</v>
      </c>
      <c r="F319">
        <v>1</v>
      </c>
      <c r="G319">
        <v>20260112</v>
      </c>
      <c r="H319">
        <v>20260201</v>
      </c>
      <c r="I319">
        <v>1848.8036</v>
      </c>
      <c r="J319">
        <f t="shared" si="41"/>
        <v>21</v>
      </c>
      <c r="K319">
        <f t="shared" si="42"/>
        <v>88.038266666666658</v>
      </c>
      <c r="L319">
        <f t="shared" si="43"/>
        <v>0</v>
      </c>
      <c r="M319">
        <f t="shared" si="44"/>
        <v>1760.7653333333333</v>
      </c>
      <c r="N319">
        <f t="shared" si="45"/>
        <v>72.588253603718613</v>
      </c>
      <c r="O319">
        <f t="shared" si="46"/>
        <v>1833.3535869370519</v>
      </c>
      <c r="P319">
        <f t="shared" si="47"/>
        <v>0</v>
      </c>
      <c r="Q319">
        <f t="shared" si="48"/>
        <v>1775.6036316270274</v>
      </c>
      <c r="R319">
        <f t="shared" si="49"/>
        <v>73.199968372972535</v>
      </c>
      <c r="S319">
        <f t="shared" si="50"/>
        <v>1848.8036</v>
      </c>
    </row>
    <row r="320" spans="1:19" x14ac:dyDescent="0.3">
      <c r="A320" t="s">
        <v>13</v>
      </c>
      <c r="B320" t="s">
        <v>25</v>
      </c>
      <c r="C320" t="s">
        <v>15</v>
      </c>
      <c r="D320">
        <v>0</v>
      </c>
      <c r="E320">
        <v>5</v>
      </c>
      <c r="F320">
        <v>19</v>
      </c>
      <c r="G320">
        <v>20260127</v>
      </c>
      <c r="H320">
        <v>20260219</v>
      </c>
      <c r="I320">
        <v>16261.7718</v>
      </c>
      <c r="J320">
        <f t="shared" si="41"/>
        <v>24</v>
      </c>
      <c r="K320">
        <f t="shared" si="42"/>
        <v>677.57382500000006</v>
      </c>
      <c r="L320">
        <f t="shared" si="43"/>
        <v>0</v>
      </c>
      <c r="M320">
        <f t="shared" si="44"/>
        <v>3387.8691250000002</v>
      </c>
      <c r="N320">
        <f t="shared" si="45"/>
        <v>10614.635517310937</v>
      </c>
      <c r="O320">
        <f t="shared" si="46"/>
        <v>14002.504642310938</v>
      </c>
      <c r="P320">
        <f t="shared" si="47"/>
        <v>0</v>
      </c>
      <c r="Q320">
        <f t="shared" si="48"/>
        <v>3934.4928644082429</v>
      </c>
      <c r="R320">
        <f t="shared" si="49"/>
        <v>12327.278935591758</v>
      </c>
      <c r="S320">
        <f t="shared" si="50"/>
        <v>16261.7718</v>
      </c>
    </row>
    <row r="321" spans="1:19" x14ac:dyDescent="0.3">
      <c r="A321" t="s">
        <v>13</v>
      </c>
      <c r="B321" t="s">
        <v>25</v>
      </c>
      <c r="C321" t="s">
        <v>15</v>
      </c>
      <c r="D321">
        <v>0</v>
      </c>
      <c r="E321">
        <v>12</v>
      </c>
      <c r="F321">
        <v>6</v>
      </c>
      <c r="G321">
        <v>20260120</v>
      </c>
      <c r="H321">
        <v>20260206</v>
      </c>
      <c r="I321">
        <v>16747.260600000001</v>
      </c>
      <c r="J321">
        <f t="shared" si="41"/>
        <v>18</v>
      </c>
      <c r="K321">
        <f t="shared" si="42"/>
        <v>930.40336666666678</v>
      </c>
      <c r="L321">
        <f t="shared" si="43"/>
        <v>0</v>
      </c>
      <c r="M321">
        <f t="shared" si="44"/>
        <v>11164.840400000001</v>
      </c>
      <c r="N321">
        <f t="shared" si="45"/>
        <v>4602.7500147676883</v>
      </c>
      <c r="O321">
        <f t="shared" si="46"/>
        <v>15767.590414767688</v>
      </c>
      <c r="P321">
        <f t="shared" si="47"/>
        <v>0</v>
      </c>
      <c r="Q321">
        <f t="shared" si="48"/>
        <v>11858.53302994763</v>
      </c>
      <c r="R321">
        <f t="shared" si="49"/>
        <v>4888.7275700523733</v>
      </c>
      <c r="S321">
        <f t="shared" si="50"/>
        <v>16747.260600000001</v>
      </c>
    </row>
    <row r="322" spans="1:19" x14ac:dyDescent="0.3">
      <c r="A322" t="s">
        <v>13</v>
      </c>
      <c r="B322" t="s">
        <v>25</v>
      </c>
      <c r="C322" t="s">
        <v>14</v>
      </c>
      <c r="D322">
        <v>0</v>
      </c>
      <c r="E322">
        <v>19</v>
      </c>
      <c r="F322">
        <v>1</v>
      </c>
      <c r="G322">
        <v>20260113</v>
      </c>
      <c r="H322">
        <v>20260201</v>
      </c>
      <c r="I322">
        <v>1512.6575</v>
      </c>
      <c r="J322">
        <f t="shared" si="41"/>
        <v>20</v>
      </c>
      <c r="K322">
        <f t="shared" si="42"/>
        <v>75.632874999999999</v>
      </c>
      <c r="L322">
        <f t="shared" si="43"/>
        <v>0</v>
      </c>
      <c r="M322">
        <f t="shared" si="44"/>
        <v>1437.024625</v>
      </c>
      <c r="N322">
        <f t="shared" si="45"/>
        <v>62.359909152516444</v>
      </c>
      <c r="O322">
        <f t="shared" si="46"/>
        <v>1499.3845341525164</v>
      </c>
      <c r="P322">
        <f t="shared" si="47"/>
        <v>0</v>
      </c>
      <c r="Q322">
        <f t="shared" si="48"/>
        <v>1449.7455637152968</v>
      </c>
      <c r="R322">
        <f t="shared" si="49"/>
        <v>62.911936284703295</v>
      </c>
      <c r="S322">
        <f t="shared" si="50"/>
        <v>1512.6575</v>
      </c>
    </row>
    <row r="323" spans="1:19" x14ac:dyDescent="0.3">
      <c r="A323" t="s">
        <v>13</v>
      </c>
      <c r="B323" t="s">
        <v>25</v>
      </c>
      <c r="C323" t="s">
        <v>14</v>
      </c>
      <c r="D323">
        <v>0</v>
      </c>
      <c r="E323">
        <v>19</v>
      </c>
      <c r="F323">
        <v>3</v>
      </c>
      <c r="G323">
        <v>20260113</v>
      </c>
      <c r="H323">
        <v>20260203</v>
      </c>
      <c r="I323">
        <v>26947.642800000001</v>
      </c>
      <c r="J323">
        <f t="shared" si="41"/>
        <v>22</v>
      </c>
      <c r="K323">
        <f t="shared" si="42"/>
        <v>1224.8928545454546</v>
      </c>
      <c r="L323">
        <f t="shared" si="43"/>
        <v>0</v>
      </c>
      <c r="M323">
        <f t="shared" si="44"/>
        <v>23272.964236363638</v>
      </c>
      <c r="N323">
        <f t="shared" si="45"/>
        <v>3029.8018076539238</v>
      </c>
      <c r="O323">
        <f t="shared" si="46"/>
        <v>26302.76604401756</v>
      </c>
      <c r="P323">
        <f t="shared" si="47"/>
        <v>0</v>
      </c>
      <c r="Q323">
        <f t="shared" si="48"/>
        <v>23843.557977482931</v>
      </c>
      <c r="R323">
        <f t="shared" si="49"/>
        <v>3104.0848225170694</v>
      </c>
      <c r="S323">
        <f t="shared" si="50"/>
        <v>26947.642800000001</v>
      </c>
    </row>
    <row r="324" spans="1:19" x14ac:dyDescent="0.3">
      <c r="A324" t="s">
        <v>13</v>
      </c>
      <c r="B324" t="s">
        <v>25</v>
      </c>
      <c r="C324" t="s">
        <v>15</v>
      </c>
      <c r="D324">
        <v>0</v>
      </c>
      <c r="E324">
        <v>19</v>
      </c>
      <c r="F324">
        <v>1</v>
      </c>
      <c r="G324">
        <v>20260113</v>
      </c>
      <c r="H324">
        <v>20260201</v>
      </c>
      <c r="I324">
        <v>12857.5888</v>
      </c>
      <c r="J324">
        <f t="shared" si="41"/>
        <v>20</v>
      </c>
      <c r="K324">
        <f t="shared" si="42"/>
        <v>642.87943999999993</v>
      </c>
      <c r="L324">
        <f t="shared" si="43"/>
        <v>0</v>
      </c>
      <c r="M324">
        <f t="shared" si="44"/>
        <v>12214.709359999999</v>
      </c>
      <c r="N324">
        <f t="shared" si="45"/>
        <v>530.0592298576596</v>
      </c>
      <c r="O324">
        <f t="shared" si="46"/>
        <v>12744.768589857658</v>
      </c>
      <c r="P324">
        <f t="shared" si="47"/>
        <v>0</v>
      </c>
      <c r="Q324">
        <f t="shared" si="48"/>
        <v>12322.837339500504</v>
      </c>
      <c r="R324">
        <f t="shared" si="49"/>
        <v>534.75146049949478</v>
      </c>
      <c r="S324">
        <f t="shared" si="50"/>
        <v>12857.588799999998</v>
      </c>
    </row>
    <row r="325" spans="1:19" x14ac:dyDescent="0.3">
      <c r="A325" t="s">
        <v>13</v>
      </c>
      <c r="B325" t="s">
        <v>25</v>
      </c>
      <c r="C325" t="s">
        <v>15</v>
      </c>
      <c r="D325">
        <v>0</v>
      </c>
      <c r="E325">
        <v>8</v>
      </c>
      <c r="F325">
        <v>2</v>
      </c>
      <c r="G325">
        <v>20260124</v>
      </c>
      <c r="H325">
        <v>20260202</v>
      </c>
      <c r="I325">
        <v>883.71169999999995</v>
      </c>
      <c r="J325">
        <f t="shared" si="41"/>
        <v>10</v>
      </c>
      <c r="K325">
        <f t="shared" si="42"/>
        <v>88.371169999999992</v>
      </c>
      <c r="L325">
        <f t="shared" si="43"/>
        <v>0</v>
      </c>
      <c r="M325">
        <f t="shared" si="44"/>
        <v>706.96935999999994</v>
      </c>
      <c r="N325">
        <f t="shared" si="45"/>
        <v>145.72547011869074</v>
      </c>
      <c r="O325">
        <f t="shared" si="46"/>
        <v>852.69483011869067</v>
      </c>
      <c r="P325">
        <f t="shared" si="47"/>
        <v>0</v>
      </c>
      <c r="Q325">
        <f t="shared" si="48"/>
        <v>732.68544959578207</v>
      </c>
      <c r="R325">
        <f t="shared" si="49"/>
        <v>151.02625040421785</v>
      </c>
      <c r="S325">
        <f t="shared" si="50"/>
        <v>883.71169999999995</v>
      </c>
    </row>
    <row r="326" spans="1:19" x14ac:dyDescent="0.3">
      <c r="A326" t="s">
        <v>13</v>
      </c>
      <c r="B326" t="s">
        <v>25</v>
      </c>
      <c r="C326" t="s">
        <v>15</v>
      </c>
      <c r="D326">
        <v>0</v>
      </c>
      <c r="E326">
        <v>2</v>
      </c>
      <c r="F326">
        <v>0</v>
      </c>
      <c r="G326">
        <v>20260107</v>
      </c>
      <c r="H326">
        <v>20260108</v>
      </c>
      <c r="I326">
        <v>209.39959999999999</v>
      </c>
      <c r="J326">
        <f t="shared" si="41"/>
        <v>2</v>
      </c>
      <c r="K326">
        <f t="shared" si="42"/>
        <v>104.6998</v>
      </c>
      <c r="L326">
        <f t="shared" si="43"/>
        <v>0</v>
      </c>
      <c r="M326">
        <f t="shared" si="44"/>
        <v>209.39959999999999</v>
      </c>
      <c r="N326">
        <f t="shared" si="45"/>
        <v>0</v>
      </c>
      <c r="O326">
        <f t="shared" si="46"/>
        <v>209.39959999999999</v>
      </c>
      <c r="P326">
        <f t="shared" si="47"/>
        <v>0</v>
      </c>
      <c r="Q326">
        <f t="shared" si="48"/>
        <v>209.39959999999999</v>
      </c>
      <c r="R326">
        <f t="shared" si="49"/>
        <v>0</v>
      </c>
      <c r="S326">
        <f t="shared" si="50"/>
        <v>209.39959999999999</v>
      </c>
    </row>
    <row r="327" spans="1:19" x14ac:dyDescent="0.3">
      <c r="A327" t="s">
        <v>13</v>
      </c>
      <c r="B327" t="s">
        <v>25</v>
      </c>
      <c r="C327" t="s">
        <v>15</v>
      </c>
      <c r="D327">
        <v>0</v>
      </c>
      <c r="E327">
        <v>27</v>
      </c>
      <c r="F327">
        <v>3</v>
      </c>
      <c r="G327">
        <v>20260105</v>
      </c>
      <c r="H327">
        <v>20260203</v>
      </c>
      <c r="I327">
        <v>2922851.0652999999</v>
      </c>
      <c r="J327">
        <f t="shared" si="41"/>
        <v>30</v>
      </c>
      <c r="K327">
        <f t="shared" si="42"/>
        <v>97428.36884333333</v>
      </c>
      <c r="L327">
        <f t="shared" si="43"/>
        <v>0</v>
      </c>
      <c r="M327">
        <f t="shared" si="44"/>
        <v>2630565.9587699999</v>
      </c>
      <c r="N327">
        <f t="shared" si="45"/>
        <v>240991.40340552159</v>
      </c>
      <c r="O327">
        <f t="shared" si="46"/>
        <v>2871557.3621755214</v>
      </c>
      <c r="P327">
        <f t="shared" si="47"/>
        <v>0</v>
      </c>
      <c r="Q327">
        <f t="shared" si="48"/>
        <v>2677554.9101717165</v>
      </c>
      <c r="R327">
        <f t="shared" si="49"/>
        <v>245296.15512828334</v>
      </c>
      <c r="S327">
        <f t="shared" si="50"/>
        <v>2922851.0652999999</v>
      </c>
    </row>
    <row r="328" spans="1:19" x14ac:dyDescent="0.3">
      <c r="A328" t="s">
        <v>13</v>
      </c>
      <c r="B328" t="s">
        <v>25</v>
      </c>
      <c r="C328" t="s">
        <v>14</v>
      </c>
      <c r="D328">
        <v>15</v>
      </c>
      <c r="E328">
        <v>15</v>
      </c>
      <c r="F328">
        <v>0</v>
      </c>
      <c r="G328">
        <v>20251217</v>
      </c>
      <c r="H328">
        <v>20260115</v>
      </c>
      <c r="I328">
        <v>3141031.6016000002</v>
      </c>
      <c r="J328">
        <f t="shared" si="41"/>
        <v>30</v>
      </c>
      <c r="K328">
        <f t="shared" si="42"/>
        <v>104701.05338666667</v>
      </c>
      <c r="L328">
        <f t="shared" si="43"/>
        <v>1326654.9423172276</v>
      </c>
      <c r="M328">
        <f t="shared" si="44"/>
        <v>1570515.8008000001</v>
      </c>
      <c r="N328">
        <f t="shared" si="45"/>
        <v>0</v>
      </c>
      <c r="O328">
        <f t="shared" si="46"/>
        <v>2897170.7431172277</v>
      </c>
      <c r="P328">
        <f t="shared" si="47"/>
        <v>1438322.2349379587</v>
      </c>
      <c r="Q328">
        <f t="shared" si="48"/>
        <v>1702709.3666620415</v>
      </c>
      <c r="R328">
        <f t="shared" si="49"/>
        <v>0</v>
      </c>
      <c r="S328">
        <f t="shared" si="50"/>
        <v>3141031.6016000002</v>
      </c>
    </row>
    <row r="329" spans="1:19" x14ac:dyDescent="0.3">
      <c r="A329" t="s">
        <v>13</v>
      </c>
      <c r="B329" t="s">
        <v>25</v>
      </c>
      <c r="C329" t="s">
        <v>15</v>
      </c>
      <c r="D329">
        <v>0</v>
      </c>
      <c r="E329">
        <v>16</v>
      </c>
      <c r="F329">
        <v>19</v>
      </c>
      <c r="G329">
        <v>20260116</v>
      </c>
      <c r="H329">
        <v>20260219</v>
      </c>
      <c r="I329">
        <v>7500017.6935000001</v>
      </c>
      <c r="J329">
        <f t="shared" si="41"/>
        <v>35</v>
      </c>
      <c r="K329">
        <f t="shared" si="42"/>
        <v>214286.21981428572</v>
      </c>
      <c r="L329">
        <f t="shared" si="43"/>
        <v>0</v>
      </c>
      <c r="M329">
        <f t="shared" si="44"/>
        <v>3428579.5170285716</v>
      </c>
      <c r="N329">
        <f t="shared" si="45"/>
        <v>3356933.2754420019</v>
      </c>
      <c r="O329">
        <f t="shared" si="46"/>
        <v>6785512.7924705734</v>
      </c>
      <c r="P329">
        <f t="shared" si="47"/>
        <v>0</v>
      </c>
      <c r="Q329">
        <f t="shared" si="48"/>
        <v>3789604.0915020476</v>
      </c>
      <c r="R329">
        <f t="shared" si="49"/>
        <v>3710413.6019979524</v>
      </c>
      <c r="S329">
        <f t="shared" si="50"/>
        <v>7500017.6935000001</v>
      </c>
    </row>
    <row r="330" spans="1:19" x14ac:dyDescent="0.3">
      <c r="A330" t="s">
        <v>13</v>
      </c>
      <c r="B330" t="s">
        <v>25</v>
      </c>
      <c r="C330" t="s">
        <v>15</v>
      </c>
      <c r="D330">
        <v>0</v>
      </c>
      <c r="E330">
        <v>29</v>
      </c>
      <c r="F330">
        <v>2</v>
      </c>
      <c r="G330">
        <v>20260103</v>
      </c>
      <c r="H330">
        <v>20260202</v>
      </c>
      <c r="I330">
        <v>12584279.218</v>
      </c>
      <c r="J330">
        <f t="shared" si="41"/>
        <v>31</v>
      </c>
      <c r="K330">
        <f t="shared" si="42"/>
        <v>405944.49090322584</v>
      </c>
      <c r="L330">
        <f t="shared" si="43"/>
        <v>0</v>
      </c>
      <c r="M330">
        <f t="shared" si="44"/>
        <v>11772390.236193549</v>
      </c>
      <c r="N330">
        <f t="shared" si="45"/>
        <v>669408.94614120387</v>
      </c>
      <c r="O330">
        <f t="shared" si="46"/>
        <v>12441799.182334753</v>
      </c>
      <c r="P330">
        <f t="shared" si="47"/>
        <v>0</v>
      </c>
      <c r="Q330">
        <f t="shared" si="48"/>
        <v>11907204.386151828</v>
      </c>
      <c r="R330">
        <f t="shared" si="49"/>
        <v>677074.83184817259</v>
      </c>
      <c r="S330">
        <f t="shared" si="50"/>
        <v>12584279.218</v>
      </c>
    </row>
    <row r="331" spans="1:19" x14ac:dyDescent="0.3">
      <c r="A331" t="s">
        <v>13</v>
      </c>
      <c r="B331" t="s">
        <v>25</v>
      </c>
      <c r="C331" t="s">
        <v>15</v>
      </c>
      <c r="D331">
        <v>29</v>
      </c>
      <c r="E331">
        <v>2</v>
      </c>
      <c r="F331">
        <v>0</v>
      </c>
      <c r="G331">
        <v>20251203</v>
      </c>
      <c r="H331">
        <v>20260102</v>
      </c>
      <c r="I331">
        <v>9806926.0521000009</v>
      </c>
      <c r="J331">
        <f t="shared" ref="J331:J394" si="51">IF(D331&lt;0,0,D331)+E331+F331</f>
        <v>31</v>
      </c>
      <c r="K331">
        <f t="shared" ref="K331:K394" si="52">I331/J331</f>
        <v>316352.45329354843</v>
      </c>
      <c r="L331">
        <f t="shared" ref="L331:L394" si="53">IF(D331&lt;0,0,D331)*$K331*$B$6</f>
        <v>7749699.6963711875</v>
      </c>
      <c r="M331">
        <f t="shared" ref="M331:M394" si="54">IF(E331&lt;0,0,E331)*$K331*$C$6</f>
        <v>632704.90658709686</v>
      </c>
      <c r="N331">
        <f t="shared" ref="N331:N394" si="55">IF(F331&lt;0,0,F331)*$K331*$D$6</f>
        <v>0</v>
      </c>
      <c r="O331">
        <f t="shared" ref="O331:O394" si="56">L331+M331+N331</f>
        <v>8382404.6029582843</v>
      </c>
      <c r="P331">
        <f t="shared" ref="P331:P394" si="57">L331/$O331*$I331</f>
        <v>9066698.0953737553</v>
      </c>
      <c r="Q331">
        <f t="shared" ref="Q331:Q394" si="58">M331/$O331*$I331</f>
        <v>740227.95672624686</v>
      </c>
      <c r="R331">
        <f t="shared" ref="R331:R394" si="59">N331/$O331*$I331</f>
        <v>0</v>
      </c>
      <c r="S331">
        <f t="shared" ref="S331:S394" si="60">P331+Q331+R331</f>
        <v>9806926.0521000028</v>
      </c>
    </row>
    <row r="332" spans="1:19" x14ac:dyDescent="0.3">
      <c r="A332" t="s">
        <v>13</v>
      </c>
      <c r="B332" t="s">
        <v>25</v>
      </c>
      <c r="C332" t="s">
        <v>15</v>
      </c>
      <c r="D332">
        <v>0</v>
      </c>
      <c r="E332">
        <v>26</v>
      </c>
      <c r="F332">
        <v>2</v>
      </c>
      <c r="G332">
        <v>20260106</v>
      </c>
      <c r="H332">
        <v>20260202</v>
      </c>
      <c r="I332">
        <v>2345069.5036999998</v>
      </c>
      <c r="J332">
        <f t="shared" si="51"/>
        <v>28</v>
      </c>
      <c r="K332">
        <f t="shared" si="52"/>
        <v>83752.482274999988</v>
      </c>
      <c r="L332">
        <f t="shared" si="53"/>
        <v>0</v>
      </c>
      <c r="M332">
        <f t="shared" si="54"/>
        <v>2177564.5391499996</v>
      </c>
      <c r="N332">
        <f t="shared" si="55"/>
        <v>138109.18032579729</v>
      </c>
      <c r="O332">
        <f t="shared" si="56"/>
        <v>2315673.7194757969</v>
      </c>
      <c r="P332">
        <f t="shared" si="57"/>
        <v>0</v>
      </c>
      <c r="Q332">
        <f t="shared" si="58"/>
        <v>2205207.128340682</v>
      </c>
      <c r="R332">
        <f t="shared" si="59"/>
        <v>139862.3753593177</v>
      </c>
      <c r="S332">
        <f t="shared" si="60"/>
        <v>2345069.5036999998</v>
      </c>
    </row>
    <row r="333" spans="1:19" x14ac:dyDescent="0.3">
      <c r="A333" t="s">
        <v>13</v>
      </c>
      <c r="B333" t="s">
        <v>25</v>
      </c>
      <c r="C333" t="s">
        <v>15</v>
      </c>
      <c r="D333">
        <v>0</v>
      </c>
      <c r="E333">
        <v>26</v>
      </c>
      <c r="F333">
        <v>5</v>
      </c>
      <c r="G333">
        <v>20260106</v>
      </c>
      <c r="H333">
        <v>20260205</v>
      </c>
      <c r="I333">
        <v>2317318.3429999999</v>
      </c>
      <c r="J333">
        <f t="shared" si="51"/>
        <v>31</v>
      </c>
      <c r="K333">
        <f t="shared" si="52"/>
        <v>74752.204612903224</v>
      </c>
      <c r="L333">
        <f t="shared" si="53"/>
        <v>0</v>
      </c>
      <c r="M333">
        <f t="shared" si="54"/>
        <v>1943557.3199354839</v>
      </c>
      <c r="N333">
        <f t="shared" si="55"/>
        <v>308168.94694344001</v>
      </c>
      <c r="O333">
        <f t="shared" si="56"/>
        <v>2251726.2668789239</v>
      </c>
      <c r="P333">
        <f t="shared" si="57"/>
        <v>0</v>
      </c>
      <c r="Q333">
        <f t="shared" si="58"/>
        <v>2000172.5318065002</v>
      </c>
      <c r="R333">
        <f t="shared" si="59"/>
        <v>317145.81119349977</v>
      </c>
      <c r="S333">
        <f t="shared" si="60"/>
        <v>2317318.3429999999</v>
      </c>
    </row>
    <row r="334" spans="1:19" x14ac:dyDescent="0.3">
      <c r="A334" t="s">
        <v>13</v>
      </c>
      <c r="B334" t="s">
        <v>25</v>
      </c>
      <c r="C334" t="s">
        <v>15</v>
      </c>
      <c r="D334">
        <v>26</v>
      </c>
      <c r="E334">
        <v>1</v>
      </c>
      <c r="F334">
        <v>0</v>
      </c>
      <c r="G334">
        <v>20251206</v>
      </c>
      <c r="H334">
        <v>20260101</v>
      </c>
      <c r="I334">
        <v>1190858.1801</v>
      </c>
      <c r="J334">
        <f t="shared" si="51"/>
        <v>27</v>
      </c>
      <c r="K334">
        <f t="shared" si="52"/>
        <v>44105.858522222225</v>
      </c>
      <c r="L334">
        <f t="shared" si="53"/>
        <v>968691.07223242242</v>
      </c>
      <c r="M334">
        <f t="shared" si="54"/>
        <v>44105.858522222225</v>
      </c>
      <c r="N334">
        <f t="shared" si="55"/>
        <v>0</v>
      </c>
      <c r="O334">
        <f t="shared" si="56"/>
        <v>1012796.9307546447</v>
      </c>
      <c r="P334">
        <f t="shared" si="57"/>
        <v>1138998.0087106714</v>
      </c>
      <c r="Q334">
        <f t="shared" si="58"/>
        <v>51860.171389328389</v>
      </c>
      <c r="R334">
        <f t="shared" si="59"/>
        <v>0</v>
      </c>
      <c r="S334">
        <f t="shared" si="60"/>
        <v>1190858.1800999998</v>
      </c>
    </row>
    <row r="335" spans="1:19" x14ac:dyDescent="0.3">
      <c r="A335" t="s">
        <v>13</v>
      </c>
      <c r="B335" t="s">
        <v>25</v>
      </c>
      <c r="C335" t="s">
        <v>14</v>
      </c>
      <c r="D335">
        <v>29</v>
      </c>
      <c r="E335">
        <v>3</v>
      </c>
      <c r="F335">
        <v>0</v>
      </c>
      <c r="G335">
        <v>20251203</v>
      </c>
      <c r="H335">
        <v>20260103</v>
      </c>
      <c r="I335">
        <v>553901.50379999995</v>
      </c>
      <c r="J335">
        <f t="shared" si="51"/>
        <v>32</v>
      </c>
      <c r="K335">
        <f t="shared" si="52"/>
        <v>17309.421993749998</v>
      </c>
      <c r="L335">
        <f t="shared" si="53"/>
        <v>424029.65734187578</v>
      </c>
      <c r="M335">
        <f t="shared" si="54"/>
        <v>51928.265981249991</v>
      </c>
      <c r="N335">
        <f t="shared" si="55"/>
        <v>0</v>
      </c>
      <c r="O335">
        <f t="shared" si="56"/>
        <v>475957.92332312575</v>
      </c>
      <c r="P335">
        <f t="shared" si="57"/>
        <v>493469.38741475897</v>
      </c>
      <c r="Q335">
        <f t="shared" si="58"/>
        <v>60432.11638524101</v>
      </c>
      <c r="R335">
        <f t="shared" si="59"/>
        <v>0</v>
      </c>
      <c r="S335">
        <f t="shared" si="60"/>
        <v>553901.50379999995</v>
      </c>
    </row>
    <row r="336" spans="1:19" x14ac:dyDescent="0.3">
      <c r="A336" t="s">
        <v>13</v>
      </c>
      <c r="B336" t="s">
        <v>25</v>
      </c>
      <c r="C336" t="s">
        <v>15</v>
      </c>
      <c r="D336">
        <v>26</v>
      </c>
      <c r="E336">
        <v>2</v>
      </c>
      <c r="F336">
        <v>0</v>
      </c>
      <c r="G336">
        <v>20251206</v>
      </c>
      <c r="H336">
        <v>20260102</v>
      </c>
      <c r="I336">
        <v>649533.30559999996</v>
      </c>
      <c r="J336">
        <f t="shared" si="51"/>
        <v>28</v>
      </c>
      <c r="K336">
        <f t="shared" si="52"/>
        <v>23197.618057142856</v>
      </c>
      <c r="L336">
        <f t="shared" si="53"/>
        <v>509486.18305865192</v>
      </c>
      <c r="M336">
        <f t="shared" si="54"/>
        <v>46395.236114285712</v>
      </c>
      <c r="N336">
        <f t="shared" si="55"/>
        <v>0</v>
      </c>
      <c r="O336">
        <f t="shared" si="56"/>
        <v>555881.41917293763</v>
      </c>
      <c r="P336">
        <f t="shared" si="57"/>
        <v>595321.65175080148</v>
      </c>
      <c r="Q336">
        <f t="shared" si="58"/>
        <v>54211.653849198476</v>
      </c>
      <c r="R336">
        <f t="shared" si="59"/>
        <v>0</v>
      </c>
      <c r="S336">
        <f t="shared" si="60"/>
        <v>649533.30559999996</v>
      </c>
    </row>
    <row r="337" spans="1:19" x14ac:dyDescent="0.3">
      <c r="A337" t="s">
        <v>13</v>
      </c>
      <c r="B337" t="s">
        <v>25</v>
      </c>
      <c r="C337" t="s">
        <v>14</v>
      </c>
      <c r="D337">
        <v>0</v>
      </c>
      <c r="E337">
        <v>25</v>
      </c>
      <c r="F337">
        <v>2</v>
      </c>
      <c r="G337">
        <v>20260107</v>
      </c>
      <c r="H337">
        <v>20260202</v>
      </c>
      <c r="I337">
        <v>293363.36969999998</v>
      </c>
      <c r="J337">
        <f t="shared" si="51"/>
        <v>27</v>
      </c>
      <c r="K337">
        <f t="shared" si="52"/>
        <v>10865.309988888888</v>
      </c>
      <c r="L337">
        <f t="shared" si="53"/>
        <v>0</v>
      </c>
      <c r="M337">
        <f t="shared" si="54"/>
        <v>271632.74972222222</v>
      </c>
      <c r="N337">
        <f t="shared" si="55"/>
        <v>17917.069629338843</v>
      </c>
      <c r="O337">
        <f t="shared" si="56"/>
        <v>289549.81935156108</v>
      </c>
      <c r="P337">
        <f t="shared" si="57"/>
        <v>0</v>
      </c>
      <c r="Q337">
        <f t="shared" si="58"/>
        <v>275210.32117320923</v>
      </c>
      <c r="R337">
        <f t="shared" si="59"/>
        <v>18153.048526790713</v>
      </c>
      <c r="S337">
        <f t="shared" si="60"/>
        <v>293363.36969999992</v>
      </c>
    </row>
    <row r="338" spans="1:19" x14ac:dyDescent="0.3">
      <c r="A338" t="s">
        <v>13</v>
      </c>
      <c r="B338" t="s">
        <v>25</v>
      </c>
      <c r="C338" t="s">
        <v>15</v>
      </c>
      <c r="D338">
        <v>28</v>
      </c>
      <c r="E338">
        <v>3</v>
      </c>
      <c r="F338">
        <v>0</v>
      </c>
      <c r="G338">
        <v>20251204</v>
      </c>
      <c r="H338">
        <v>20260103</v>
      </c>
      <c r="I338">
        <v>5873709.9325999999</v>
      </c>
      <c r="J338">
        <f t="shared" si="51"/>
        <v>31</v>
      </c>
      <c r="K338">
        <f t="shared" si="52"/>
        <v>189474.51395483871</v>
      </c>
      <c r="L338">
        <f t="shared" si="53"/>
        <v>4481511.3653058102</v>
      </c>
      <c r="M338">
        <f t="shared" si="54"/>
        <v>568423.5418645161</v>
      </c>
      <c r="N338">
        <f t="shared" si="55"/>
        <v>0</v>
      </c>
      <c r="O338">
        <f t="shared" si="56"/>
        <v>5049934.9071703264</v>
      </c>
      <c r="P338">
        <f t="shared" si="57"/>
        <v>5212561.8059117468</v>
      </c>
      <c r="Q338">
        <f t="shared" si="58"/>
        <v>661148.12668825337</v>
      </c>
      <c r="R338">
        <f t="shared" si="59"/>
        <v>0</v>
      </c>
      <c r="S338">
        <f t="shared" si="60"/>
        <v>5873709.9325999999</v>
      </c>
    </row>
    <row r="339" spans="1:19" x14ac:dyDescent="0.3">
      <c r="A339" t="s">
        <v>13</v>
      </c>
      <c r="B339" t="s">
        <v>25</v>
      </c>
      <c r="C339" t="s">
        <v>14</v>
      </c>
      <c r="D339">
        <v>27</v>
      </c>
      <c r="E339">
        <v>3</v>
      </c>
      <c r="F339">
        <v>0</v>
      </c>
      <c r="G339">
        <v>20251205</v>
      </c>
      <c r="H339">
        <v>20260103</v>
      </c>
      <c r="I339">
        <v>437992.14030000003</v>
      </c>
      <c r="J339">
        <f t="shared" si="51"/>
        <v>30</v>
      </c>
      <c r="K339">
        <f t="shared" si="52"/>
        <v>14599.738010000001</v>
      </c>
      <c r="L339">
        <f t="shared" si="53"/>
        <v>332984.86624343297</v>
      </c>
      <c r="M339">
        <f t="shared" si="54"/>
        <v>43799.214030000003</v>
      </c>
      <c r="N339">
        <f t="shared" si="55"/>
        <v>0</v>
      </c>
      <c r="O339">
        <f t="shared" si="56"/>
        <v>376784.08027343301</v>
      </c>
      <c r="P339">
        <f t="shared" si="57"/>
        <v>387077.80367904768</v>
      </c>
      <c r="Q339">
        <f t="shared" si="58"/>
        <v>50914.336620952323</v>
      </c>
      <c r="R339">
        <f t="shared" si="59"/>
        <v>0</v>
      </c>
      <c r="S339">
        <f t="shared" si="60"/>
        <v>437992.14029999997</v>
      </c>
    </row>
    <row r="340" spans="1:19" x14ac:dyDescent="0.3">
      <c r="A340" t="s">
        <v>13</v>
      </c>
      <c r="B340" t="s">
        <v>25</v>
      </c>
      <c r="C340" t="s">
        <v>15</v>
      </c>
      <c r="D340">
        <v>0</v>
      </c>
      <c r="E340">
        <v>29</v>
      </c>
      <c r="F340">
        <v>4</v>
      </c>
      <c r="G340">
        <v>20260103</v>
      </c>
      <c r="H340">
        <v>20260204</v>
      </c>
      <c r="I340">
        <v>2727332.2563999998</v>
      </c>
      <c r="J340">
        <f t="shared" si="51"/>
        <v>33</v>
      </c>
      <c r="K340">
        <f t="shared" si="52"/>
        <v>82646.432012121208</v>
      </c>
      <c r="L340">
        <f t="shared" si="53"/>
        <v>0</v>
      </c>
      <c r="M340">
        <f t="shared" si="54"/>
        <v>2396746.5283515151</v>
      </c>
      <c r="N340">
        <f t="shared" si="55"/>
        <v>272570.57156986324</v>
      </c>
      <c r="O340">
        <f t="shared" si="56"/>
        <v>2669317.0999213783</v>
      </c>
      <c r="P340">
        <f t="shared" si="57"/>
        <v>0</v>
      </c>
      <c r="Q340">
        <f t="shared" si="58"/>
        <v>2448837.6137028961</v>
      </c>
      <c r="R340">
        <f t="shared" si="59"/>
        <v>278494.6426971035</v>
      </c>
      <c r="S340">
        <f t="shared" si="60"/>
        <v>2727332.2563999994</v>
      </c>
    </row>
    <row r="341" spans="1:19" x14ac:dyDescent="0.3">
      <c r="A341" t="s">
        <v>13</v>
      </c>
      <c r="B341" t="s">
        <v>25</v>
      </c>
      <c r="C341" t="s">
        <v>14</v>
      </c>
      <c r="D341">
        <v>0</v>
      </c>
      <c r="E341">
        <v>10</v>
      </c>
      <c r="F341">
        <v>0</v>
      </c>
      <c r="G341">
        <v>20260101</v>
      </c>
      <c r="H341">
        <v>20260110</v>
      </c>
      <c r="I341">
        <v>67548.887499999997</v>
      </c>
      <c r="J341">
        <f t="shared" si="51"/>
        <v>10</v>
      </c>
      <c r="K341">
        <f t="shared" si="52"/>
        <v>6754.8887500000001</v>
      </c>
      <c r="L341">
        <f t="shared" si="53"/>
        <v>0</v>
      </c>
      <c r="M341">
        <f t="shared" si="54"/>
        <v>67548.887499999997</v>
      </c>
      <c r="N341">
        <f t="shared" si="55"/>
        <v>0</v>
      </c>
      <c r="O341">
        <f t="shared" si="56"/>
        <v>67548.887499999997</v>
      </c>
      <c r="P341">
        <f t="shared" si="57"/>
        <v>0</v>
      </c>
      <c r="Q341">
        <f t="shared" si="58"/>
        <v>67548.887499999997</v>
      </c>
      <c r="R341">
        <f t="shared" si="59"/>
        <v>0</v>
      </c>
      <c r="S341">
        <f t="shared" si="60"/>
        <v>67548.887499999997</v>
      </c>
    </row>
    <row r="342" spans="1:19" x14ac:dyDescent="0.3">
      <c r="A342" t="s">
        <v>13</v>
      </c>
      <c r="B342" t="s">
        <v>25</v>
      </c>
      <c r="C342" t="s">
        <v>14</v>
      </c>
      <c r="D342">
        <v>0</v>
      </c>
      <c r="E342">
        <v>28</v>
      </c>
      <c r="F342">
        <v>5</v>
      </c>
      <c r="G342">
        <v>20260104</v>
      </c>
      <c r="H342">
        <v>20260205</v>
      </c>
      <c r="I342">
        <v>71942.035300000003</v>
      </c>
      <c r="J342">
        <f t="shared" si="51"/>
        <v>33</v>
      </c>
      <c r="K342">
        <f t="shared" si="52"/>
        <v>2180.0616757575758</v>
      </c>
      <c r="L342">
        <f t="shared" si="53"/>
        <v>0</v>
      </c>
      <c r="M342">
        <f t="shared" si="54"/>
        <v>61041.726921212125</v>
      </c>
      <c r="N342">
        <f t="shared" si="55"/>
        <v>8987.3912665044918</v>
      </c>
      <c r="O342">
        <f t="shared" si="56"/>
        <v>70029.118187716609</v>
      </c>
      <c r="P342">
        <f t="shared" si="57"/>
        <v>0</v>
      </c>
      <c r="Q342">
        <f t="shared" si="58"/>
        <v>62709.14423293544</v>
      </c>
      <c r="R342">
        <f t="shared" si="59"/>
        <v>9232.8910670645728</v>
      </c>
      <c r="S342">
        <f t="shared" si="60"/>
        <v>71942.035300000018</v>
      </c>
    </row>
    <row r="343" spans="1:19" x14ac:dyDescent="0.3">
      <c r="A343" t="s">
        <v>13</v>
      </c>
      <c r="B343" t="s">
        <v>25</v>
      </c>
      <c r="C343" t="s">
        <v>15</v>
      </c>
      <c r="D343">
        <v>30</v>
      </c>
      <c r="E343">
        <v>6</v>
      </c>
      <c r="F343">
        <v>0</v>
      </c>
      <c r="G343">
        <v>20251202</v>
      </c>
      <c r="H343">
        <v>20260106</v>
      </c>
      <c r="I343">
        <v>3033437.2037999998</v>
      </c>
      <c r="J343">
        <f t="shared" si="51"/>
        <v>36</v>
      </c>
      <c r="K343">
        <f t="shared" si="52"/>
        <v>84262.144549999997</v>
      </c>
      <c r="L343">
        <f t="shared" si="53"/>
        <v>2135351.7830364406</v>
      </c>
      <c r="M343">
        <f t="shared" si="54"/>
        <v>505572.86729999998</v>
      </c>
      <c r="N343">
        <f t="shared" si="55"/>
        <v>0</v>
      </c>
      <c r="O343">
        <f t="shared" si="56"/>
        <v>2640924.6503364407</v>
      </c>
      <c r="P343">
        <f t="shared" si="57"/>
        <v>2452722.587536986</v>
      </c>
      <c r="Q343">
        <f t="shared" si="58"/>
        <v>580714.61626301392</v>
      </c>
      <c r="R343">
        <f t="shared" si="59"/>
        <v>0</v>
      </c>
      <c r="S343">
        <f t="shared" si="60"/>
        <v>3033437.2037999998</v>
      </c>
    </row>
    <row r="344" spans="1:19" x14ac:dyDescent="0.3">
      <c r="A344" t="s">
        <v>13</v>
      </c>
      <c r="B344" t="s">
        <v>25</v>
      </c>
      <c r="C344" t="s">
        <v>14</v>
      </c>
      <c r="D344">
        <v>0</v>
      </c>
      <c r="E344">
        <v>16</v>
      </c>
      <c r="F344">
        <v>17</v>
      </c>
      <c r="G344">
        <v>20260116</v>
      </c>
      <c r="H344">
        <v>20260217</v>
      </c>
      <c r="I344">
        <v>329032.5759</v>
      </c>
      <c r="J344">
        <f t="shared" si="51"/>
        <v>33</v>
      </c>
      <c r="K344">
        <f t="shared" si="52"/>
        <v>9970.6841181818181</v>
      </c>
      <c r="L344">
        <f t="shared" si="53"/>
        <v>0</v>
      </c>
      <c r="M344">
        <f t="shared" si="54"/>
        <v>159530.94589090909</v>
      </c>
      <c r="N344">
        <f t="shared" si="55"/>
        <v>139755.44693455542</v>
      </c>
      <c r="O344">
        <f t="shared" si="56"/>
        <v>299286.39282546449</v>
      </c>
      <c r="P344">
        <f t="shared" si="57"/>
        <v>0</v>
      </c>
      <c r="Q344">
        <f t="shared" si="58"/>
        <v>175386.78443313178</v>
      </c>
      <c r="R344">
        <f t="shared" si="59"/>
        <v>153645.79146686825</v>
      </c>
      <c r="S344">
        <f t="shared" si="60"/>
        <v>329032.57590000005</v>
      </c>
    </row>
    <row r="345" spans="1:19" x14ac:dyDescent="0.3">
      <c r="A345" t="s">
        <v>13</v>
      </c>
      <c r="B345" t="s">
        <v>25</v>
      </c>
      <c r="C345" t="s">
        <v>14</v>
      </c>
      <c r="D345">
        <v>15</v>
      </c>
      <c r="E345">
        <v>16</v>
      </c>
      <c r="F345">
        <v>0</v>
      </c>
      <c r="G345">
        <v>20251217</v>
      </c>
      <c r="H345">
        <v>20260116</v>
      </c>
      <c r="I345">
        <v>6558567.7544</v>
      </c>
      <c r="J345">
        <f t="shared" si="51"/>
        <v>31</v>
      </c>
      <c r="K345">
        <f t="shared" si="52"/>
        <v>211566.70175483872</v>
      </c>
      <c r="L345">
        <f t="shared" si="53"/>
        <v>2680737.2173827128</v>
      </c>
      <c r="M345">
        <f t="shared" si="54"/>
        <v>3385067.2280774196</v>
      </c>
      <c r="N345">
        <f t="shared" si="55"/>
        <v>0</v>
      </c>
      <c r="O345">
        <f t="shared" si="56"/>
        <v>6065804.4454601323</v>
      </c>
      <c r="P345">
        <f t="shared" si="57"/>
        <v>2898510.3014827813</v>
      </c>
      <c r="Q345">
        <f t="shared" si="58"/>
        <v>3660057.4529172191</v>
      </c>
      <c r="R345">
        <f t="shared" si="59"/>
        <v>0</v>
      </c>
      <c r="S345">
        <f t="shared" si="60"/>
        <v>6558567.7544</v>
      </c>
    </row>
    <row r="346" spans="1:19" x14ac:dyDescent="0.3">
      <c r="A346" t="s">
        <v>13</v>
      </c>
      <c r="B346" t="s">
        <v>25</v>
      </c>
      <c r="C346" t="s">
        <v>15</v>
      </c>
      <c r="D346">
        <v>0</v>
      </c>
      <c r="E346">
        <v>25</v>
      </c>
      <c r="F346">
        <v>2</v>
      </c>
      <c r="G346">
        <v>20260107</v>
      </c>
      <c r="H346">
        <v>20260202</v>
      </c>
      <c r="I346">
        <v>1041776.3367</v>
      </c>
      <c r="J346">
        <f t="shared" si="51"/>
        <v>27</v>
      </c>
      <c r="K346">
        <f t="shared" si="52"/>
        <v>38584.308766666669</v>
      </c>
      <c r="L346">
        <f t="shared" si="53"/>
        <v>0</v>
      </c>
      <c r="M346">
        <f t="shared" si="54"/>
        <v>964607.71916666673</v>
      </c>
      <c r="N346">
        <f t="shared" si="55"/>
        <v>63626.141129818934</v>
      </c>
      <c r="O346">
        <f t="shared" si="56"/>
        <v>1028233.8602964857</v>
      </c>
      <c r="P346">
        <f t="shared" si="57"/>
        <v>0</v>
      </c>
      <c r="Q346">
        <f t="shared" si="58"/>
        <v>977312.19990774593</v>
      </c>
      <c r="R346">
        <f t="shared" si="59"/>
        <v>64464.136792253928</v>
      </c>
      <c r="S346">
        <f t="shared" si="60"/>
        <v>1041776.3366999999</v>
      </c>
    </row>
    <row r="347" spans="1:19" x14ac:dyDescent="0.3">
      <c r="A347" t="s">
        <v>13</v>
      </c>
      <c r="B347" t="s">
        <v>25</v>
      </c>
      <c r="C347" t="s">
        <v>15</v>
      </c>
      <c r="D347">
        <v>26</v>
      </c>
      <c r="E347">
        <v>3</v>
      </c>
      <c r="F347">
        <v>0</v>
      </c>
      <c r="G347">
        <v>20251206</v>
      </c>
      <c r="H347">
        <v>20260103</v>
      </c>
      <c r="I347">
        <v>509405.29090000002</v>
      </c>
      <c r="J347">
        <f t="shared" si="51"/>
        <v>29</v>
      </c>
      <c r="K347">
        <f t="shared" si="52"/>
        <v>17565.699686206899</v>
      </c>
      <c r="L347">
        <f t="shared" si="53"/>
        <v>385793.11306164251</v>
      </c>
      <c r="M347">
        <f t="shared" si="54"/>
        <v>52697.099058620697</v>
      </c>
      <c r="N347">
        <f t="shared" si="55"/>
        <v>0</v>
      </c>
      <c r="O347">
        <f t="shared" si="56"/>
        <v>438490.2121202632</v>
      </c>
      <c r="P347">
        <f t="shared" si="57"/>
        <v>448185.72354468511</v>
      </c>
      <c r="Q347">
        <f t="shared" si="58"/>
        <v>61219.567355314954</v>
      </c>
      <c r="R347">
        <f t="shared" si="59"/>
        <v>0</v>
      </c>
      <c r="S347">
        <f t="shared" si="60"/>
        <v>509405.29090000008</v>
      </c>
    </row>
    <row r="348" spans="1:19" x14ac:dyDescent="0.3">
      <c r="A348" t="s">
        <v>13</v>
      </c>
      <c r="B348" t="s">
        <v>25</v>
      </c>
      <c r="C348" t="s">
        <v>14</v>
      </c>
      <c r="D348">
        <v>29</v>
      </c>
      <c r="E348">
        <v>13</v>
      </c>
      <c r="F348">
        <v>0</v>
      </c>
      <c r="G348">
        <v>20251203</v>
      </c>
      <c r="H348">
        <v>20260113</v>
      </c>
      <c r="I348">
        <v>29716.587</v>
      </c>
      <c r="J348">
        <f t="shared" si="51"/>
        <v>42</v>
      </c>
      <c r="K348">
        <f t="shared" si="52"/>
        <v>707.53778571428575</v>
      </c>
      <c r="L348">
        <f t="shared" si="53"/>
        <v>17332.583661152104</v>
      </c>
      <c r="M348">
        <f t="shared" si="54"/>
        <v>9197.9912142857138</v>
      </c>
      <c r="N348">
        <f t="shared" si="55"/>
        <v>0</v>
      </c>
      <c r="O348">
        <f t="shared" si="56"/>
        <v>26530.574875437818</v>
      </c>
      <c r="P348">
        <f t="shared" si="57"/>
        <v>19414.024487583036</v>
      </c>
      <c r="Q348">
        <f t="shared" si="58"/>
        <v>10302.562512416966</v>
      </c>
      <c r="R348">
        <f t="shared" si="59"/>
        <v>0</v>
      </c>
      <c r="S348">
        <f t="shared" si="60"/>
        <v>29716.587</v>
      </c>
    </row>
    <row r="349" spans="1:19" x14ac:dyDescent="0.3">
      <c r="A349" t="s">
        <v>13</v>
      </c>
      <c r="B349" t="s">
        <v>25</v>
      </c>
      <c r="C349" t="s">
        <v>14</v>
      </c>
      <c r="D349">
        <v>0</v>
      </c>
      <c r="E349">
        <v>26</v>
      </c>
      <c r="F349">
        <v>2</v>
      </c>
      <c r="G349">
        <v>20260106</v>
      </c>
      <c r="H349">
        <v>20260202</v>
      </c>
      <c r="I349">
        <v>526601.92059999995</v>
      </c>
      <c r="J349">
        <f t="shared" si="51"/>
        <v>28</v>
      </c>
      <c r="K349">
        <f t="shared" si="52"/>
        <v>18807.211449999999</v>
      </c>
      <c r="L349">
        <f t="shared" si="53"/>
        <v>0</v>
      </c>
      <c r="M349">
        <f t="shared" si="54"/>
        <v>488987.49769999995</v>
      </c>
      <c r="N349">
        <f t="shared" si="55"/>
        <v>31013.39192604187</v>
      </c>
      <c r="O349">
        <f t="shared" si="56"/>
        <v>520000.88962604181</v>
      </c>
      <c r="P349">
        <f t="shared" si="57"/>
        <v>0</v>
      </c>
      <c r="Q349">
        <f t="shared" si="58"/>
        <v>495194.83634612663</v>
      </c>
      <c r="R349">
        <f t="shared" si="59"/>
        <v>31407.084253873327</v>
      </c>
      <c r="S349">
        <f t="shared" si="60"/>
        <v>526601.92059999995</v>
      </c>
    </row>
    <row r="350" spans="1:19" x14ac:dyDescent="0.3">
      <c r="A350" t="s">
        <v>13</v>
      </c>
      <c r="B350" t="s">
        <v>25</v>
      </c>
      <c r="C350" t="s">
        <v>14</v>
      </c>
      <c r="D350">
        <v>0</v>
      </c>
      <c r="E350">
        <v>14</v>
      </c>
      <c r="F350">
        <v>15</v>
      </c>
      <c r="G350">
        <v>20260118</v>
      </c>
      <c r="H350">
        <v>20260215</v>
      </c>
      <c r="I350">
        <v>1725.9901</v>
      </c>
      <c r="J350">
        <f t="shared" si="51"/>
        <v>29</v>
      </c>
      <c r="K350">
        <f t="shared" si="52"/>
        <v>59.5169</v>
      </c>
      <c r="L350">
        <f t="shared" si="53"/>
        <v>0</v>
      </c>
      <c r="M350">
        <f t="shared" si="54"/>
        <v>833.23659999999995</v>
      </c>
      <c r="N350">
        <f t="shared" si="55"/>
        <v>736.08238686670427</v>
      </c>
      <c r="O350">
        <f t="shared" si="56"/>
        <v>1569.3189868667041</v>
      </c>
      <c r="P350">
        <f t="shared" si="57"/>
        <v>0</v>
      </c>
      <c r="Q350">
        <f t="shared" si="58"/>
        <v>916.42179479971787</v>
      </c>
      <c r="R350">
        <f t="shared" si="59"/>
        <v>809.56830520028223</v>
      </c>
      <c r="S350">
        <f t="shared" si="60"/>
        <v>1725.9901</v>
      </c>
    </row>
    <row r="351" spans="1:19" x14ac:dyDescent="0.3">
      <c r="A351" t="s">
        <v>13</v>
      </c>
      <c r="B351" t="s">
        <v>25</v>
      </c>
      <c r="C351" t="s">
        <v>14</v>
      </c>
      <c r="D351">
        <v>25</v>
      </c>
      <c r="E351">
        <v>5</v>
      </c>
      <c r="F351">
        <v>0</v>
      </c>
      <c r="G351">
        <v>20251207</v>
      </c>
      <c r="H351">
        <v>20260105</v>
      </c>
      <c r="I351">
        <v>11509.7552</v>
      </c>
      <c r="J351">
        <f t="shared" si="51"/>
        <v>30</v>
      </c>
      <c r="K351">
        <f t="shared" si="52"/>
        <v>383.65850666666665</v>
      </c>
      <c r="L351">
        <f t="shared" si="53"/>
        <v>8102.1543013465916</v>
      </c>
      <c r="M351">
        <f t="shared" si="54"/>
        <v>1918.2925333333333</v>
      </c>
      <c r="N351">
        <f t="shared" si="55"/>
        <v>0</v>
      </c>
      <c r="O351">
        <f t="shared" si="56"/>
        <v>10020.446834679926</v>
      </c>
      <c r="P351">
        <f t="shared" si="57"/>
        <v>9306.3527145698408</v>
      </c>
      <c r="Q351">
        <f t="shared" si="58"/>
        <v>2203.4024854301579</v>
      </c>
      <c r="R351">
        <f t="shared" si="59"/>
        <v>0</v>
      </c>
      <c r="S351">
        <f t="shared" si="60"/>
        <v>11509.7552</v>
      </c>
    </row>
    <row r="352" spans="1:19" x14ac:dyDescent="0.3">
      <c r="A352" t="s">
        <v>13</v>
      </c>
      <c r="B352" t="s">
        <v>25</v>
      </c>
      <c r="C352" t="s">
        <v>14</v>
      </c>
      <c r="D352">
        <v>0</v>
      </c>
      <c r="E352">
        <v>27</v>
      </c>
      <c r="F352">
        <v>2</v>
      </c>
      <c r="G352">
        <v>20260105</v>
      </c>
      <c r="H352">
        <v>20260202</v>
      </c>
      <c r="I352">
        <v>100245.9031</v>
      </c>
      <c r="J352">
        <f t="shared" si="51"/>
        <v>29</v>
      </c>
      <c r="K352">
        <f t="shared" si="52"/>
        <v>3456.7552793103446</v>
      </c>
      <c r="L352">
        <f t="shared" si="53"/>
        <v>0</v>
      </c>
      <c r="M352">
        <f t="shared" si="54"/>
        <v>93332.392541379304</v>
      </c>
      <c r="N352">
        <f t="shared" si="55"/>
        <v>5700.2446404496641</v>
      </c>
      <c r="O352">
        <f t="shared" si="56"/>
        <v>99032.637181828963</v>
      </c>
      <c r="P352">
        <f t="shared" si="57"/>
        <v>0</v>
      </c>
      <c r="Q352">
        <f t="shared" si="58"/>
        <v>94475.823779344893</v>
      </c>
      <c r="R352">
        <f t="shared" si="59"/>
        <v>5770.079320655107</v>
      </c>
      <c r="S352">
        <f t="shared" si="60"/>
        <v>100245.9031</v>
      </c>
    </row>
    <row r="353" spans="1:19" x14ac:dyDescent="0.3">
      <c r="A353" t="s">
        <v>13</v>
      </c>
      <c r="B353" t="s">
        <v>25</v>
      </c>
      <c r="C353" t="s">
        <v>14</v>
      </c>
      <c r="D353">
        <v>0</v>
      </c>
      <c r="E353">
        <v>30</v>
      </c>
      <c r="F353">
        <v>6</v>
      </c>
      <c r="G353">
        <v>20260102</v>
      </c>
      <c r="H353">
        <v>20260206</v>
      </c>
      <c r="I353">
        <v>152246.17610000001</v>
      </c>
      <c r="J353">
        <f t="shared" si="51"/>
        <v>36</v>
      </c>
      <c r="K353">
        <f t="shared" si="52"/>
        <v>4229.0604472222221</v>
      </c>
      <c r="L353">
        <f t="shared" si="53"/>
        <v>0</v>
      </c>
      <c r="M353">
        <f t="shared" si="54"/>
        <v>126871.81341666667</v>
      </c>
      <c r="N353">
        <f t="shared" si="55"/>
        <v>20921.364575069638</v>
      </c>
      <c r="O353">
        <f t="shared" si="56"/>
        <v>147793.1779917363</v>
      </c>
      <c r="P353">
        <f t="shared" si="57"/>
        <v>0</v>
      </c>
      <c r="Q353">
        <f t="shared" si="58"/>
        <v>130694.45227465234</v>
      </c>
      <c r="R353">
        <f t="shared" si="59"/>
        <v>21551.723825347683</v>
      </c>
      <c r="S353">
        <f t="shared" si="60"/>
        <v>152246.17610000004</v>
      </c>
    </row>
    <row r="354" spans="1:19" x14ac:dyDescent="0.3">
      <c r="A354" t="s">
        <v>13</v>
      </c>
      <c r="B354" t="s">
        <v>25</v>
      </c>
      <c r="C354" t="s">
        <v>15</v>
      </c>
      <c r="D354">
        <v>23</v>
      </c>
      <c r="E354">
        <v>6</v>
      </c>
      <c r="F354">
        <v>0</v>
      </c>
      <c r="G354">
        <v>20251209</v>
      </c>
      <c r="H354">
        <v>20260106</v>
      </c>
      <c r="I354">
        <v>319528.99050000001</v>
      </c>
      <c r="J354">
        <f t="shared" si="51"/>
        <v>29</v>
      </c>
      <c r="K354">
        <f t="shared" si="52"/>
        <v>11018.241051724139</v>
      </c>
      <c r="L354">
        <f t="shared" si="53"/>
        <v>214069.98300031692</v>
      </c>
      <c r="M354">
        <f t="shared" si="54"/>
        <v>66109.446310344836</v>
      </c>
      <c r="N354">
        <f t="shared" si="55"/>
        <v>0</v>
      </c>
      <c r="O354">
        <f t="shared" si="56"/>
        <v>280179.42931066174</v>
      </c>
      <c r="P354">
        <f t="shared" si="57"/>
        <v>244134.85933901332</v>
      </c>
      <c r="Q354">
        <f t="shared" si="58"/>
        <v>75394.131160986712</v>
      </c>
      <c r="R354">
        <f t="shared" si="59"/>
        <v>0</v>
      </c>
      <c r="S354">
        <f t="shared" si="60"/>
        <v>319528.99050000001</v>
      </c>
    </row>
    <row r="355" spans="1:19" x14ac:dyDescent="0.3">
      <c r="A355" t="s">
        <v>13</v>
      </c>
      <c r="B355" t="s">
        <v>25</v>
      </c>
      <c r="C355" t="s">
        <v>15</v>
      </c>
      <c r="D355">
        <v>0</v>
      </c>
      <c r="E355">
        <v>26</v>
      </c>
      <c r="F355">
        <v>9</v>
      </c>
      <c r="G355">
        <v>20260106</v>
      </c>
      <c r="H355">
        <v>20260209</v>
      </c>
      <c r="I355">
        <v>39012.207000000002</v>
      </c>
      <c r="J355">
        <f t="shared" si="51"/>
        <v>35</v>
      </c>
      <c r="K355">
        <f t="shared" si="52"/>
        <v>1114.6344857142858</v>
      </c>
      <c r="L355">
        <f t="shared" si="53"/>
        <v>0</v>
      </c>
      <c r="M355">
        <f t="shared" si="54"/>
        <v>28980.496628571433</v>
      </c>
      <c r="N355">
        <f t="shared" si="55"/>
        <v>8271.2252761334639</v>
      </c>
      <c r="O355">
        <f t="shared" si="56"/>
        <v>37251.7219047049</v>
      </c>
      <c r="P355">
        <f t="shared" si="57"/>
        <v>0</v>
      </c>
      <c r="Q355">
        <f t="shared" si="58"/>
        <v>30350.090563030772</v>
      </c>
      <c r="R355">
        <f t="shared" si="59"/>
        <v>8662.1164369692251</v>
      </c>
      <c r="S355">
        <f t="shared" si="60"/>
        <v>39012.206999999995</v>
      </c>
    </row>
    <row r="356" spans="1:19" x14ac:dyDescent="0.3">
      <c r="A356" t="s">
        <v>13</v>
      </c>
      <c r="B356" t="s">
        <v>25</v>
      </c>
      <c r="C356" t="s">
        <v>15</v>
      </c>
      <c r="D356">
        <v>0</v>
      </c>
      <c r="E356">
        <v>24</v>
      </c>
      <c r="F356">
        <v>1</v>
      </c>
      <c r="G356">
        <v>20260108</v>
      </c>
      <c r="H356">
        <v>20260201</v>
      </c>
      <c r="I356">
        <v>132461.7757</v>
      </c>
      <c r="J356">
        <f t="shared" si="51"/>
        <v>25</v>
      </c>
      <c r="K356">
        <f t="shared" si="52"/>
        <v>5298.4710279999999</v>
      </c>
      <c r="L356">
        <f t="shared" si="53"/>
        <v>0</v>
      </c>
      <c r="M356">
        <f t="shared" si="54"/>
        <v>127163.304672</v>
      </c>
      <c r="N356">
        <f t="shared" si="55"/>
        <v>4368.6316559210582</v>
      </c>
      <c r="O356">
        <f t="shared" si="56"/>
        <v>131531.93632792105</v>
      </c>
      <c r="P356">
        <f t="shared" si="57"/>
        <v>0</v>
      </c>
      <c r="Q356">
        <f t="shared" si="58"/>
        <v>128062.26085457233</v>
      </c>
      <c r="R356">
        <f t="shared" si="59"/>
        <v>4399.5148454276632</v>
      </c>
      <c r="S356">
        <f t="shared" si="60"/>
        <v>132461.7757</v>
      </c>
    </row>
    <row r="357" spans="1:19" x14ac:dyDescent="0.3">
      <c r="A357" t="s">
        <v>13</v>
      </c>
      <c r="B357" t="s">
        <v>25</v>
      </c>
      <c r="C357" t="s">
        <v>14</v>
      </c>
      <c r="D357">
        <v>0</v>
      </c>
      <c r="E357">
        <v>23</v>
      </c>
      <c r="F357">
        <v>5</v>
      </c>
      <c r="G357">
        <v>20260109</v>
      </c>
      <c r="H357">
        <v>20260205</v>
      </c>
      <c r="I357">
        <v>21610.594000000001</v>
      </c>
      <c r="J357">
        <f t="shared" si="51"/>
        <v>28</v>
      </c>
      <c r="K357">
        <f t="shared" si="52"/>
        <v>771.80692857142856</v>
      </c>
      <c r="L357">
        <f t="shared" si="53"/>
        <v>0</v>
      </c>
      <c r="M357">
        <f t="shared" si="54"/>
        <v>17751.559357142858</v>
      </c>
      <c r="N357">
        <f t="shared" si="55"/>
        <v>3181.8048665343631</v>
      </c>
      <c r="O357">
        <f t="shared" si="56"/>
        <v>20933.364223677221</v>
      </c>
      <c r="P357">
        <f t="shared" si="57"/>
        <v>0</v>
      </c>
      <c r="Q357">
        <f t="shared" si="58"/>
        <v>18325.852358705444</v>
      </c>
      <c r="R357">
        <f t="shared" si="59"/>
        <v>3284.7416412945586</v>
      </c>
      <c r="S357">
        <f t="shared" si="60"/>
        <v>21610.594000000005</v>
      </c>
    </row>
    <row r="358" spans="1:19" x14ac:dyDescent="0.3">
      <c r="A358" t="s">
        <v>13</v>
      </c>
      <c r="B358" t="s">
        <v>25</v>
      </c>
      <c r="C358" t="s">
        <v>15</v>
      </c>
      <c r="D358">
        <v>0</v>
      </c>
      <c r="E358">
        <v>24</v>
      </c>
      <c r="F358">
        <v>7</v>
      </c>
      <c r="G358">
        <v>20260108</v>
      </c>
      <c r="H358">
        <v>20260207</v>
      </c>
      <c r="I358">
        <v>475522.99449999997</v>
      </c>
      <c r="J358">
        <f t="shared" si="51"/>
        <v>31</v>
      </c>
      <c r="K358">
        <f t="shared" si="52"/>
        <v>15339.45143548387</v>
      </c>
      <c r="L358">
        <f t="shared" si="53"/>
        <v>0</v>
      </c>
      <c r="M358">
        <f t="shared" si="54"/>
        <v>368146.8344516129</v>
      </c>
      <c r="N358">
        <f t="shared" si="55"/>
        <v>88532.501055440298</v>
      </c>
      <c r="O358">
        <f t="shared" si="56"/>
        <v>456679.33550705318</v>
      </c>
      <c r="P358">
        <f t="shared" si="57"/>
        <v>0</v>
      </c>
      <c r="Q358">
        <f t="shared" si="58"/>
        <v>383337.43509492115</v>
      </c>
      <c r="R358">
        <f t="shared" si="59"/>
        <v>92185.559405078835</v>
      </c>
      <c r="S358">
        <f t="shared" si="60"/>
        <v>475522.99449999997</v>
      </c>
    </row>
    <row r="359" spans="1:19" x14ac:dyDescent="0.3">
      <c r="A359" t="s">
        <v>13</v>
      </c>
      <c r="B359" t="s">
        <v>25</v>
      </c>
      <c r="C359" t="s">
        <v>15</v>
      </c>
      <c r="D359">
        <v>23</v>
      </c>
      <c r="E359">
        <v>7</v>
      </c>
      <c r="F359">
        <v>0</v>
      </c>
      <c r="G359">
        <v>20251209</v>
      </c>
      <c r="H359">
        <v>20260107</v>
      </c>
      <c r="I359">
        <v>439935.45799999998</v>
      </c>
      <c r="J359">
        <f t="shared" si="51"/>
        <v>30</v>
      </c>
      <c r="K359">
        <f t="shared" si="52"/>
        <v>14664.515266666665</v>
      </c>
      <c r="L359">
        <f t="shared" si="53"/>
        <v>284912.31214731792</v>
      </c>
      <c r="M359">
        <f t="shared" si="54"/>
        <v>102651.60686666665</v>
      </c>
      <c r="N359">
        <f t="shared" si="55"/>
        <v>0</v>
      </c>
      <c r="O359">
        <f t="shared" si="56"/>
        <v>387563.91901398456</v>
      </c>
      <c r="P359">
        <f t="shared" si="57"/>
        <v>323412.53244950925</v>
      </c>
      <c r="Q359">
        <f t="shared" si="58"/>
        <v>116522.92555049072</v>
      </c>
      <c r="R359">
        <f t="shared" si="59"/>
        <v>0</v>
      </c>
      <c r="S359">
        <f t="shared" si="60"/>
        <v>439935.45799999998</v>
      </c>
    </row>
    <row r="360" spans="1:19" x14ac:dyDescent="0.3">
      <c r="A360" t="s">
        <v>13</v>
      </c>
      <c r="B360" t="s">
        <v>25</v>
      </c>
      <c r="C360" t="s">
        <v>15</v>
      </c>
      <c r="D360">
        <v>24</v>
      </c>
      <c r="E360">
        <v>8</v>
      </c>
      <c r="F360">
        <v>0</v>
      </c>
      <c r="G360">
        <v>20251208</v>
      </c>
      <c r="H360">
        <v>20260108</v>
      </c>
      <c r="I360">
        <v>7894.0457999999999</v>
      </c>
      <c r="J360">
        <f t="shared" si="51"/>
        <v>32</v>
      </c>
      <c r="K360">
        <f t="shared" si="52"/>
        <v>246.68893125</v>
      </c>
      <c r="L360">
        <f t="shared" si="53"/>
        <v>5001.2270825835894</v>
      </c>
      <c r="M360">
        <f t="shared" si="54"/>
        <v>1973.51145</v>
      </c>
      <c r="N360">
        <f t="shared" si="55"/>
        <v>0</v>
      </c>
      <c r="O360">
        <f t="shared" si="56"/>
        <v>6974.7385325835894</v>
      </c>
      <c r="P360">
        <f t="shared" si="57"/>
        <v>5660.4151484214917</v>
      </c>
      <c r="Q360">
        <f t="shared" si="58"/>
        <v>2233.6306515785082</v>
      </c>
      <c r="R360">
        <f t="shared" si="59"/>
        <v>0</v>
      </c>
      <c r="S360">
        <f t="shared" si="60"/>
        <v>7894.0457999999999</v>
      </c>
    </row>
    <row r="361" spans="1:19" x14ac:dyDescent="0.3">
      <c r="A361" t="s">
        <v>13</v>
      </c>
      <c r="B361" t="s">
        <v>25</v>
      </c>
      <c r="C361" t="s">
        <v>15</v>
      </c>
      <c r="D361">
        <v>0</v>
      </c>
      <c r="E361">
        <v>29</v>
      </c>
      <c r="F361">
        <v>6</v>
      </c>
      <c r="G361">
        <v>20260103</v>
      </c>
      <c r="H361">
        <v>20260206</v>
      </c>
      <c r="I361">
        <v>149294.4031</v>
      </c>
      <c r="J361">
        <f t="shared" si="51"/>
        <v>35</v>
      </c>
      <c r="K361">
        <f t="shared" si="52"/>
        <v>4265.5543742857144</v>
      </c>
      <c r="L361">
        <f t="shared" si="53"/>
        <v>0</v>
      </c>
      <c r="M361">
        <f t="shared" si="54"/>
        <v>123701.07685428571</v>
      </c>
      <c r="N361">
        <f t="shared" si="55"/>
        <v>21101.901780058703</v>
      </c>
      <c r="O361">
        <f t="shared" si="56"/>
        <v>144802.97863434441</v>
      </c>
      <c r="P361">
        <f t="shared" si="57"/>
        <v>0</v>
      </c>
      <c r="Q361">
        <f t="shared" si="58"/>
        <v>127537.9733618794</v>
      </c>
      <c r="R361">
        <f t="shared" si="59"/>
        <v>21756.429738120591</v>
      </c>
      <c r="S361">
        <f t="shared" si="60"/>
        <v>149294.4031</v>
      </c>
    </row>
    <row r="362" spans="1:19" x14ac:dyDescent="0.3">
      <c r="A362" t="s">
        <v>13</v>
      </c>
      <c r="B362" t="s">
        <v>25</v>
      </c>
      <c r="C362" t="s">
        <v>15</v>
      </c>
      <c r="D362">
        <v>14</v>
      </c>
      <c r="E362">
        <v>17</v>
      </c>
      <c r="F362">
        <v>0</v>
      </c>
      <c r="G362">
        <v>20251218</v>
      </c>
      <c r="H362">
        <v>20260117</v>
      </c>
      <c r="I362">
        <v>45915.007299999997</v>
      </c>
      <c r="J362">
        <f t="shared" si="51"/>
        <v>31</v>
      </c>
      <c r="K362">
        <f t="shared" si="52"/>
        <v>1481.1292677419353</v>
      </c>
      <c r="L362">
        <f t="shared" si="53"/>
        <v>17516.069861656044</v>
      </c>
      <c r="M362">
        <f t="shared" si="54"/>
        <v>25179.197551612902</v>
      </c>
      <c r="N362">
        <f t="shared" si="55"/>
        <v>0</v>
      </c>
      <c r="O362">
        <f t="shared" si="56"/>
        <v>42695.267413268943</v>
      </c>
      <c r="P362">
        <f t="shared" si="57"/>
        <v>18836.993519223168</v>
      </c>
      <c r="Q362">
        <f t="shared" si="58"/>
        <v>27078.013780776833</v>
      </c>
      <c r="R362">
        <f t="shared" si="59"/>
        <v>0</v>
      </c>
      <c r="S362">
        <f t="shared" si="60"/>
        <v>45915.007299999997</v>
      </c>
    </row>
    <row r="363" spans="1:19" x14ac:dyDescent="0.3">
      <c r="A363" t="s">
        <v>13</v>
      </c>
      <c r="B363" t="s">
        <v>25</v>
      </c>
      <c r="C363" t="s">
        <v>14</v>
      </c>
      <c r="D363">
        <v>30</v>
      </c>
      <c r="E363">
        <v>15</v>
      </c>
      <c r="F363">
        <v>0</v>
      </c>
      <c r="G363">
        <v>20251202</v>
      </c>
      <c r="H363">
        <v>20260115</v>
      </c>
      <c r="I363">
        <v>95781.789000000004</v>
      </c>
      <c r="J363">
        <f t="shared" si="51"/>
        <v>45</v>
      </c>
      <c r="K363">
        <f t="shared" si="52"/>
        <v>2128.4841999999999</v>
      </c>
      <c r="L363">
        <f t="shared" si="53"/>
        <v>53939.554421593377</v>
      </c>
      <c r="M363">
        <f t="shared" si="54"/>
        <v>31927.262999999999</v>
      </c>
      <c r="N363">
        <f t="shared" si="55"/>
        <v>0</v>
      </c>
      <c r="O363">
        <f t="shared" si="56"/>
        <v>85866.817421593383</v>
      </c>
      <c r="P363">
        <f t="shared" si="57"/>
        <v>60167.910905521057</v>
      </c>
      <c r="Q363">
        <f t="shared" si="58"/>
        <v>35613.87809447894</v>
      </c>
      <c r="R363">
        <f t="shared" si="59"/>
        <v>0</v>
      </c>
      <c r="S363">
        <f t="shared" si="60"/>
        <v>95781.78899999999</v>
      </c>
    </row>
    <row r="364" spans="1:19" x14ac:dyDescent="0.3">
      <c r="A364" t="s">
        <v>13</v>
      </c>
      <c r="B364" t="s">
        <v>25</v>
      </c>
      <c r="C364" t="s">
        <v>15</v>
      </c>
      <c r="D364">
        <v>23</v>
      </c>
      <c r="E364">
        <v>1</v>
      </c>
      <c r="F364">
        <v>0</v>
      </c>
      <c r="G364">
        <v>20251209</v>
      </c>
      <c r="H364">
        <v>20260101</v>
      </c>
      <c r="I364">
        <v>214672.9314</v>
      </c>
      <c r="J364">
        <f t="shared" si="51"/>
        <v>24</v>
      </c>
      <c r="K364">
        <f t="shared" si="52"/>
        <v>8944.7054750000007</v>
      </c>
      <c r="L364">
        <f t="shared" si="53"/>
        <v>173783.90434437484</v>
      </c>
      <c r="M364">
        <f t="shared" si="54"/>
        <v>8944.7054750000007</v>
      </c>
      <c r="N364">
        <f t="shared" si="55"/>
        <v>0</v>
      </c>
      <c r="O364">
        <f t="shared" si="56"/>
        <v>182728.60981937483</v>
      </c>
      <c r="P364">
        <f t="shared" si="57"/>
        <v>204164.52690479829</v>
      </c>
      <c r="Q364">
        <f t="shared" si="58"/>
        <v>10508.404495201719</v>
      </c>
      <c r="R364">
        <f t="shared" si="59"/>
        <v>0</v>
      </c>
      <c r="S364">
        <f t="shared" si="60"/>
        <v>214672.9314</v>
      </c>
    </row>
    <row r="365" spans="1:19" x14ac:dyDescent="0.3">
      <c r="A365" t="s">
        <v>13</v>
      </c>
      <c r="B365" t="s">
        <v>25</v>
      </c>
      <c r="C365" t="s">
        <v>14</v>
      </c>
      <c r="D365">
        <v>25</v>
      </c>
      <c r="E365">
        <v>3</v>
      </c>
      <c r="F365">
        <v>0</v>
      </c>
      <c r="G365">
        <v>20251207</v>
      </c>
      <c r="H365">
        <v>20260103</v>
      </c>
      <c r="I365">
        <v>24747.011399999999</v>
      </c>
      <c r="J365">
        <f t="shared" si="51"/>
        <v>28</v>
      </c>
      <c r="K365">
        <f t="shared" si="52"/>
        <v>883.82183571428573</v>
      </c>
      <c r="L365">
        <f t="shared" si="53"/>
        <v>18664.673826919989</v>
      </c>
      <c r="M365">
        <f t="shared" si="54"/>
        <v>2651.4655071428569</v>
      </c>
      <c r="N365">
        <f t="shared" si="55"/>
        <v>0</v>
      </c>
      <c r="O365">
        <f t="shared" si="56"/>
        <v>21316.139334062846</v>
      </c>
      <c r="P365">
        <f t="shared" si="57"/>
        <v>21668.787613616787</v>
      </c>
      <c r="Q365">
        <f t="shared" si="58"/>
        <v>3078.2237863832124</v>
      </c>
      <c r="R365">
        <f t="shared" si="59"/>
        <v>0</v>
      </c>
      <c r="S365">
        <f t="shared" si="60"/>
        <v>24747.011399999999</v>
      </c>
    </row>
    <row r="366" spans="1:19" x14ac:dyDescent="0.3">
      <c r="A366" t="s">
        <v>13</v>
      </c>
      <c r="B366" t="s">
        <v>25</v>
      </c>
      <c r="C366" t="s">
        <v>15</v>
      </c>
      <c r="D366">
        <v>0</v>
      </c>
      <c r="E366">
        <v>5</v>
      </c>
      <c r="F366">
        <v>0</v>
      </c>
      <c r="G366">
        <v>20260104</v>
      </c>
      <c r="H366">
        <v>20260108</v>
      </c>
      <c r="I366">
        <v>3016.4212000000002</v>
      </c>
      <c r="J366">
        <f t="shared" si="51"/>
        <v>5</v>
      </c>
      <c r="K366">
        <f t="shared" si="52"/>
        <v>603.28424000000007</v>
      </c>
      <c r="L366">
        <f t="shared" si="53"/>
        <v>0</v>
      </c>
      <c r="M366">
        <f t="shared" si="54"/>
        <v>3016.4212000000002</v>
      </c>
      <c r="N366">
        <f t="shared" si="55"/>
        <v>0</v>
      </c>
      <c r="O366">
        <f t="shared" si="56"/>
        <v>3016.4212000000002</v>
      </c>
      <c r="P366">
        <f t="shared" si="57"/>
        <v>0</v>
      </c>
      <c r="Q366">
        <f t="shared" si="58"/>
        <v>3016.4212000000002</v>
      </c>
      <c r="R366">
        <f t="shared" si="59"/>
        <v>0</v>
      </c>
      <c r="S366">
        <f t="shared" si="60"/>
        <v>3016.4212000000002</v>
      </c>
    </row>
    <row r="367" spans="1:19" x14ac:dyDescent="0.3">
      <c r="A367" t="s">
        <v>13</v>
      </c>
      <c r="B367" t="s">
        <v>25</v>
      </c>
      <c r="C367" t="s">
        <v>14</v>
      </c>
      <c r="D367">
        <v>0</v>
      </c>
      <c r="E367">
        <v>26</v>
      </c>
      <c r="F367">
        <v>7</v>
      </c>
      <c r="G367">
        <v>20260106</v>
      </c>
      <c r="H367">
        <v>20260207</v>
      </c>
      <c r="I367">
        <v>13575.729600000001</v>
      </c>
      <c r="J367">
        <f t="shared" si="51"/>
        <v>33</v>
      </c>
      <c r="K367">
        <f t="shared" si="52"/>
        <v>411.38574545454549</v>
      </c>
      <c r="L367">
        <f t="shared" si="53"/>
        <v>0</v>
      </c>
      <c r="M367">
        <f t="shared" si="54"/>
        <v>10696.029381818182</v>
      </c>
      <c r="N367">
        <f t="shared" si="55"/>
        <v>2374.3358161685637</v>
      </c>
      <c r="O367">
        <f t="shared" si="56"/>
        <v>13070.365197986746</v>
      </c>
      <c r="P367">
        <f t="shared" si="57"/>
        <v>0</v>
      </c>
      <c r="Q367">
        <f t="shared" si="58"/>
        <v>11109.590319908217</v>
      </c>
      <c r="R367">
        <f t="shared" si="59"/>
        <v>2466.1392800917829</v>
      </c>
      <c r="S367">
        <f t="shared" si="60"/>
        <v>13575.729599999999</v>
      </c>
    </row>
    <row r="368" spans="1:19" x14ac:dyDescent="0.3">
      <c r="A368" t="s">
        <v>13</v>
      </c>
      <c r="B368" t="s">
        <v>25</v>
      </c>
      <c r="C368" t="s">
        <v>15</v>
      </c>
      <c r="D368">
        <v>30</v>
      </c>
      <c r="E368">
        <v>13</v>
      </c>
      <c r="F368">
        <v>0</v>
      </c>
      <c r="G368">
        <v>20251202</v>
      </c>
      <c r="H368">
        <v>20260113</v>
      </c>
      <c r="I368">
        <v>38316.150500000003</v>
      </c>
      <c r="J368">
        <f t="shared" si="51"/>
        <v>43</v>
      </c>
      <c r="K368">
        <f t="shared" si="52"/>
        <v>891.07326744186059</v>
      </c>
      <c r="L368">
        <f t="shared" si="53"/>
        <v>22581.372698377214</v>
      </c>
      <c r="M368">
        <f t="shared" si="54"/>
        <v>11583.952476744187</v>
      </c>
      <c r="N368">
        <f t="shared" si="55"/>
        <v>0</v>
      </c>
      <c r="O368">
        <f t="shared" si="56"/>
        <v>34165.325175121397</v>
      </c>
      <c r="P368">
        <f t="shared" si="57"/>
        <v>25324.836522781261</v>
      </c>
      <c r="Q368">
        <f t="shared" si="58"/>
        <v>12991.313977218744</v>
      </c>
      <c r="R368">
        <f t="shared" si="59"/>
        <v>0</v>
      </c>
      <c r="S368">
        <f t="shared" si="60"/>
        <v>38316.150500000003</v>
      </c>
    </row>
    <row r="369" spans="1:19" x14ac:dyDescent="0.3">
      <c r="A369" t="s">
        <v>13</v>
      </c>
      <c r="B369" t="s">
        <v>25</v>
      </c>
      <c r="C369" t="s">
        <v>15</v>
      </c>
      <c r="D369">
        <v>0</v>
      </c>
      <c r="E369">
        <v>21</v>
      </c>
      <c r="F369">
        <v>0</v>
      </c>
      <c r="G369">
        <v>20260107</v>
      </c>
      <c r="H369">
        <v>20260127</v>
      </c>
      <c r="I369">
        <v>587.92370000000005</v>
      </c>
      <c r="J369">
        <f t="shared" si="51"/>
        <v>21</v>
      </c>
      <c r="K369">
        <f t="shared" si="52"/>
        <v>27.99636666666667</v>
      </c>
      <c r="L369">
        <f t="shared" si="53"/>
        <v>0</v>
      </c>
      <c r="M369">
        <f t="shared" si="54"/>
        <v>587.92370000000005</v>
      </c>
      <c r="N369">
        <f t="shared" si="55"/>
        <v>0</v>
      </c>
      <c r="O369">
        <f t="shared" si="56"/>
        <v>587.92370000000005</v>
      </c>
      <c r="P369">
        <f t="shared" si="57"/>
        <v>0</v>
      </c>
      <c r="Q369">
        <f t="shared" si="58"/>
        <v>587.92370000000005</v>
      </c>
      <c r="R369">
        <f t="shared" si="59"/>
        <v>0</v>
      </c>
      <c r="S369">
        <f t="shared" si="60"/>
        <v>587.92370000000005</v>
      </c>
    </row>
    <row r="370" spans="1:19" x14ac:dyDescent="0.3">
      <c r="A370" t="s">
        <v>13</v>
      </c>
      <c r="B370" t="s">
        <v>25</v>
      </c>
      <c r="C370" t="s">
        <v>14</v>
      </c>
      <c r="D370">
        <v>0</v>
      </c>
      <c r="E370">
        <v>15</v>
      </c>
      <c r="F370">
        <v>18</v>
      </c>
      <c r="G370">
        <v>20260117</v>
      </c>
      <c r="H370">
        <v>20260218</v>
      </c>
      <c r="I370">
        <v>1347.1142</v>
      </c>
      <c r="J370">
        <f t="shared" si="51"/>
        <v>33</v>
      </c>
      <c r="K370">
        <f t="shared" si="52"/>
        <v>40.821642424242427</v>
      </c>
      <c r="L370">
        <f t="shared" si="53"/>
        <v>0</v>
      </c>
      <c r="M370">
        <f t="shared" si="54"/>
        <v>612.32463636363639</v>
      </c>
      <c r="N370">
        <f t="shared" si="55"/>
        <v>605.83986043874222</v>
      </c>
      <c r="O370">
        <f t="shared" si="56"/>
        <v>1218.1644968023786</v>
      </c>
      <c r="P370">
        <f t="shared" si="57"/>
        <v>0</v>
      </c>
      <c r="Q370">
        <f t="shared" si="58"/>
        <v>677.14271333677584</v>
      </c>
      <c r="R370">
        <f t="shared" si="59"/>
        <v>669.97148666322414</v>
      </c>
      <c r="S370">
        <f t="shared" si="60"/>
        <v>1347.1142</v>
      </c>
    </row>
    <row r="371" spans="1:19" x14ac:dyDescent="0.3">
      <c r="A371" t="s">
        <v>13</v>
      </c>
      <c r="B371" t="s">
        <v>25</v>
      </c>
      <c r="C371" t="s">
        <v>14</v>
      </c>
      <c r="D371">
        <v>15</v>
      </c>
      <c r="E371">
        <v>19</v>
      </c>
      <c r="F371">
        <v>0</v>
      </c>
      <c r="G371">
        <v>20251217</v>
      </c>
      <c r="H371">
        <v>20260119</v>
      </c>
      <c r="I371">
        <v>19976.704099999999</v>
      </c>
      <c r="J371">
        <f t="shared" si="51"/>
        <v>34</v>
      </c>
      <c r="K371">
        <f t="shared" si="52"/>
        <v>587.55012058823525</v>
      </c>
      <c r="L371">
        <f t="shared" si="53"/>
        <v>7444.7796476203266</v>
      </c>
      <c r="M371">
        <f t="shared" si="54"/>
        <v>11163.452291176469</v>
      </c>
      <c r="N371">
        <f t="shared" si="55"/>
        <v>0</v>
      </c>
      <c r="O371">
        <f t="shared" si="56"/>
        <v>18608.231938796795</v>
      </c>
      <c r="P371">
        <f t="shared" si="57"/>
        <v>7992.2778584965272</v>
      </c>
      <c r="Q371">
        <f t="shared" si="58"/>
        <v>11984.426241503472</v>
      </c>
      <c r="R371">
        <f t="shared" si="59"/>
        <v>0</v>
      </c>
      <c r="S371">
        <f t="shared" si="60"/>
        <v>19976.704099999999</v>
      </c>
    </row>
    <row r="372" spans="1:19" x14ac:dyDescent="0.3">
      <c r="A372" t="s">
        <v>13</v>
      </c>
      <c r="B372" t="s">
        <v>25</v>
      </c>
      <c r="C372" t="s">
        <v>15</v>
      </c>
      <c r="D372">
        <v>0</v>
      </c>
      <c r="E372">
        <v>30</v>
      </c>
      <c r="F372">
        <v>8</v>
      </c>
      <c r="G372">
        <v>20260102</v>
      </c>
      <c r="H372">
        <v>20260208</v>
      </c>
      <c r="I372">
        <v>27439.8622</v>
      </c>
      <c r="J372">
        <f t="shared" si="51"/>
        <v>38</v>
      </c>
      <c r="K372">
        <f t="shared" si="52"/>
        <v>722.10163684210522</v>
      </c>
      <c r="L372">
        <f t="shared" si="53"/>
        <v>0</v>
      </c>
      <c r="M372">
        <f t="shared" si="54"/>
        <v>21663.049105263155</v>
      </c>
      <c r="N372">
        <f t="shared" si="55"/>
        <v>4763.0285081567617</v>
      </c>
      <c r="O372">
        <f t="shared" si="56"/>
        <v>26426.077613419919</v>
      </c>
      <c r="P372">
        <f t="shared" si="57"/>
        <v>0</v>
      </c>
      <c r="Q372">
        <f t="shared" si="58"/>
        <v>22494.109454154677</v>
      </c>
      <c r="R372">
        <f t="shared" si="59"/>
        <v>4945.7527458453205</v>
      </c>
      <c r="S372">
        <f t="shared" si="60"/>
        <v>27439.862199999996</v>
      </c>
    </row>
    <row r="373" spans="1:19" x14ac:dyDescent="0.3">
      <c r="A373" t="s">
        <v>13</v>
      </c>
      <c r="B373" t="s">
        <v>25</v>
      </c>
      <c r="C373" t="s">
        <v>15</v>
      </c>
      <c r="D373">
        <v>0</v>
      </c>
      <c r="E373">
        <v>15</v>
      </c>
      <c r="F373">
        <v>0</v>
      </c>
      <c r="G373">
        <v>20260106</v>
      </c>
      <c r="H373">
        <v>20260120</v>
      </c>
      <c r="I373">
        <v>12001.9617</v>
      </c>
      <c r="J373">
        <f t="shared" si="51"/>
        <v>15</v>
      </c>
      <c r="K373">
        <f t="shared" si="52"/>
        <v>800.13077999999996</v>
      </c>
      <c r="L373">
        <f t="shared" si="53"/>
        <v>0</v>
      </c>
      <c r="M373">
        <f t="shared" si="54"/>
        <v>12001.9617</v>
      </c>
      <c r="N373">
        <f t="shared" si="55"/>
        <v>0</v>
      </c>
      <c r="O373">
        <f t="shared" si="56"/>
        <v>12001.9617</v>
      </c>
      <c r="P373">
        <f t="shared" si="57"/>
        <v>0</v>
      </c>
      <c r="Q373">
        <f t="shared" si="58"/>
        <v>12001.9617</v>
      </c>
      <c r="R373">
        <f t="shared" si="59"/>
        <v>0</v>
      </c>
      <c r="S373">
        <f t="shared" si="60"/>
        <v>12001.9617</v>
      </c>
    </row>
    <row r="374" spans="1:19" x14ac:dyDescent="0.3">
      <c r="A374" t="s">
        <v>13</v>
      </c>
      <c r="B374" t="s">
        <v>25</v>
      </c>
      <c r="C374" t="s">
        <v>14</v>
      </c>
      <c r="D374">
        <v>0</v>
      </c>
      <c r="E374">
        <v>16</v>
      </c>
      <c r="F374">
        <v>0</v>
      </c>
      <c r="G374">
        <v>20260101</v>
      </c>
      <c r="H374">
        <v>20260116</v>
      </c>
      <c r="I374">
        <v>5502340.6858999999</v>
      </c>
      <c r="J374">
        <f t="shared" si="51"/>
        <v>16</v>
      </c>
      <c r="K374">
        <f t="shared" si="52"/>
        <v>343896.29286875</v>
      </c>
      <c r="L374">
        <f t="shared" si="53"/>
        <v>0</v>
      </c>
      <c r="M374">
        <f t="shared" si="54"/>
        <v>5502340.6858999999</v>
      </c>
      <c r="N374">
        <f t="shared" si="55"/>
        <v>0</v>
      </c>
      <c r="O374">
        <f t="shared" si="56"/>
        <v>5502340.6858999999</v>
      </c>
      <c r="P374">
        <f t="shared" si="57"/>
        <v>0</v>
      </c>
      <c r="Q374">
        <f t="shared" si="58"/>
        <v>5502340.6858999999</v>
      </c>
      <c r="R374">
        <f t="shared" si="59"/>
        <v>0</v>
      </c>
      <c r="S374">
        <f t="shared" si="60"/>
        <v>5502340.6858999999</v>
      </c>
    </row>
    <row r="375" spans="1:19" x14ac:dyDescent="0.3">
      <c r="A375" t="s">
        <v>13</v>
      </c>
      <c r="B375" t="s">
        <v>25</v>
      </c>
      <c r="C375" t="s">
        <v>15</v>
      </c>
      <c r="D375">
        <v>0</v>
      </c>
      <c r="E375">
        <v>11</v>
      </c>
      <c r="F375">
        <v>0</v>
      </c>
      <c r="G375">
        <v>20260105</v>
      </c>
      <c r="H375">
        <v>20260115</v>
      </c>
      <c r="I375">
        <v>629.34010000000001</v>
      </c>
      <c r="J375">
        <f t="shared" si="51"/>
        <v>11</v>
      </c>
      <c r="K375">
        <f t="shared" si="52"/>
        <v>57.212736363636367</v>
      </c>
      <c r="L375">
        <f t="shared" si="53"/>
        <v>0</v>
      </c>
      <c r="M375">
        <f t="shared" si="54"/>
        <v>629.34010000000001</v>
      </c>
      <c r="N375">
        <f t="shared" si="55"/>
        <v>0</v>
      </c>
      <c r="O375">
        <f t="shared" si="56"/>
        <v>629.34010000000001</v>
      </c>
      <c r="P375">
        <f t="shared" si="57"/>
        <v>0</v>
      </c>
      <c r="Q375">
        <f t="shared" si="58"/>
        <v>629.34010000000001</v>
      </c>
      <c r="R375">
        <f t="shared" si="59"/>
        <v>0</v>
      </c>
      <c r="S375">
        <f t="shared" si="60"/>
        <v>629.34010000000001</v>
      </c>
    </row>
    <row r="376" spans="1:19" x14ac:dyDescent="0.3">
      <c r="A376" t="s">
        <v>13</v>
      </c>
      <c r="B376" t="s">
        <v>25</v>
      </c>
      <c r="C376" t="s">
        <v>15</v>
      </c>
      <c r="D376">
        <v>0</v>
      </c>
      <c r="E376">
        <v>16</v>
      </c>
      <c r="F376">
        <v>0</v>
      </c>
      <c r="G376">
        <v>20260101</v>
      </c>
      <c r="H376">
        <v>20260116</v>
      </c>
      <c r="I376">
        <v>838.98180000000002</v>
      </c>
      <c r="J376">
        <f t="shared" si="51"/>
        <v>16</v>
      </c>
      <c r="K376">
        <f t="shared" si="52"/>
        <v>52.436362500000001</v>
      </c>
      <c r="L376">
        <f t="shared" si="53"/>
        <v>0</v>
      </c>
      <c r="M376">
        <f t="shared" si="54"/>
        <v>838.98180000000002</v>
      </c>
      <c r="N376">
        <f t="shared" si="55"/>
        <v>0</v>
      </c>
      <c r="O376">
        <f t="shared" si="56"/>
        <v>838.98180000000002</v>
      </c>
      <c r="P376">
        <f t="shared" si="57"/>
        <v>0</v>
      </c>
      <c r="Q376">
        <f t="shared" si="58"/>
        <v>838.98180000000002</v>
      </c>
      <c r="R376">
        <f t="shared" si="59"/>
        <v>0</v>
      </c>
      <c r="S376">
        <f t="shared" si="60"/>
        <v>838.98180000000002</v>
      </c>
    </row>
    <row r="377" spans="1:19" x14ac:dyDescent="0.3">
      <c r="A377" t="s">
        <v>13</v>
      </c>
      <c r="B377" t="s">
        <v>25</v>
      </c>
      <c r="C377" t="s">
        <v>14</v>
      </c>
      <c r="D377">
        <v>0</v>
      </c>
      <c r="E377">
        <v>15</v>
      </c>
      <c r="F377">
        <v>0</v>
      </c>
      <c r="G377">
        <v>20260101</v>
      </c>
      <c r="H377">
        <v>20260115</v>
      </c>
      <c r="I377">
        <v>24889.504199999999</v>
      </c>
      <c r="J377">
        <f t="shared" si="51"/>
        <v>15</v>
      </c>
      <c r="K377">
        <f t="shared" si="52"/>
        <v>1659.3002799999999</v>
      </c>
      <c r="L377">
        <f t="shared" si="53"/>
        <v>0</v>
      </c>
      <c r="M377">
        <f t="shared" si="54"/>
        <v>24889.504199999999</v>
      </c>
      <c r="N377">
        <f t="shared" si="55"/>
        <v>0</v>
      </c>
      <c r="O377">
        <f t="shared" si="56"/>
        <v>24889.504199999999</v>
      </c>
      <c r="P377">
        <f t="shared" si="57"/>
        <v>0</v>
      </c>
      <c r="Q377">
        <f t="shared" si="58"/>
        <v>24889.504199999999</v>
      </c>
      <c r="R377">
        <f t="shared" si="59"/>
        <v>0</v>
      </c>
      <c r="S377">
        <f t="shared" si="60"/>
        <v>24889.504199999999</v>
      </c>
    </row>
    <row r="378" spans="1:19" x14ac:dyDescent="0.3">
      <c r="A378" t="s">
        <v>13</v>
      </c>
      <c r="B378" t="s">
        <v>25</v>
      </c>
      <c r="C378" t="s">
        <v>15</v>
      </c>
      <c r="D378">
        <v>0</v>
      </c>
      <c r="E378">
        <v>15</v>
      </c>
      <c r="F378">
        <v>3</v>
      </c>
      <c r="G378">
        <v>20260117</v>
      </c>
      <c r="H378">
        <v>20260203</v>
      </c>
      <c r="I378">
        <v>3196.3921999999998</v>
      </c>
      <c r="J378">
        <f t="shared" si="51"/>
        <v>18</v>
      </c>
      <c r="K378">
        <f t="shared" si="52"/>
        <v>177.57734444444444</v>
      </c>
      <c r="L378">
        <f t="shared" si="53"/>
        <v>0</v>
      </c>
      <c r="M378">
        <f t="shared" si="54"/>
        <v>2663.6601666666666</v>
      </c>
      <c r="N378">
        <f t="shared" si="55"/>
        <v>439.2418138448661</v>
      </c>
      <c r="O378">
        <f t="shared" si="56"/>
        <v>3102.9019805115327</v>
      </c>
      <c r="P378">
        <f t="shared" si="57"/>
        <v>0</v>
      </c>
      <c r="Q378">
        <f t="shared" si="58"/>
        <v>2743.9160610482545</v>
      </c>
      <c r="R378">
        <f t="shared" si="59"/>
        <v>452.47613895174527</v>
      </c>
      <c r="S378">
        <f t="shared" si="60"/>
        <v>3196.3921999999998</v>
      </c>
    </row>
    <row r="379" spans="1:19" x14ac:dyDescent="0.3">
      <c r="A379" t="s">
        <v>13</v>
      </c>
      <c r="B379" t="s">
        <v>25</v>
      </c>
      <c r="C379" t="s">
        <v>15</v>
      </c>
      <c r="D379">
        <v>0</v>
      </c>
      <c r="E379">
        <v>12</v>
      </c>
      <c r="F379">
        <v>0</v>
      </c>
      <c r="G379">
        <v>20260105</v>
      </c>
      <c r="H379">
        <v>20260116</v>
      </c>
      <c r="I379">
        <v>293.69209999999998</v>
      </c>
      <c r="J379">
        <f t="shared" si="51"/>
        <v>12</v>
      </c>
      <c r="K379">
        <f t="shared" si="52"/>
        <v>24.474341666666664</v>
      </c>
      <c r="L379">
        <f t="shared" si="53"/>
        <v>0</v>
      </c>
      <c r="M379">
        <f t="shared" si="54"/>
        <v>293.69209999999998</v>
      </c>
      <c r="N379">
        <f t="shared" si="55"/>
        <v>0</v>
      </c>
      <c r="O379">
        <f t="shared" si="56"/>
        <v>293.69209999999998</v>
      </c>
      <c r="P379">
        <f t="shared" si="57"/>
        <v>0</v>
      </c>
      <c r="Q379">
        <f t="shared" si="58"/>
        <v>293.69209999999998</v>
      </c>
      <c r="R379">
        <f t="shared" si="59"/>
        <v>0</v>
      </c>
      <c r="S379">
        <f t="shared" si="60"/>
        <v>293.69209999999998</v>
      </c>
    </row>
    <row r="380" spans="1:19" x14ac:dyDescent="0.3">
      <c r="A380" t="s">
        <v>13</v>
      </c>
      <c r="B380" t="s">
        <v>25</v>
      </c>
      <c r="C380" t="s">
        <v>14</v>
      </c>
      <c r="D380">
        <v>0</v>
      </c>
      <c r="E380">
        <v>24</v>
      </c>
      <c r="F380">
        <v>11</v>
      </c>
      <c r="G380">
        <v>20260108</v>
      </c>
      <c r="H380">
        <v>20260211</v>
      </c>
      <c r="I380">
        <v>5063.9260000000004</v>
      </c>
      <c r="J380">
        <f t="shared" si="51"/>
        <v>35</v>
      </c>
      <c r="K380">
        <f t="shared" si="52"/>
        <v>144.68360000000001</v>
      </c>
      <c r="L380">
        <f t="shared" si="53"/>
        <v>0</v>
      </c>
      <c r="M380">
        <f t="shared" si="54"/>
        <v>3472.4064000000003</v>
      </c>
      <c r="N380">
        <f t="shared" si="55"/>
        <v>1312.2206139915918</v>
      </c>
      <c r="O380">
        <f t="shared" si="56"/>
        <v>4784.6270139915923</v>
      </c>
      <c r="P380">
        <f t="shared" si="57"/>
        <v>0</v>
      </c>
      <c r="Q380">
        <f t="shared" si="58"/>
        <v>3675.1054993640723</v>
      </c>
      <c r="R380">
        <f t="shared" si="59"/>
        <v>1388.8205006359276</v>
      </c>
      <c r="S380">
        <f t="shared" si="60"/>
        <v>5063.9259999999995</v>
      </c>
    </row>
    <row r="381" spans="1:19" x14ac:dyDescent="0.3">
      <c r="A381" t="s">
        <v>13</v>
      </c>
      <c r="B381" t="s">
        <v>25</v>
      </c>
      <c r="C381" t="s">
        <v>15</v>
      </c>
      <c r="D381">
        <v>0</v>
      </c>
      <c r="E381">
        <v>22</v>
      </c>
      <c r="F381">
        <v>0</v>
      </c>
      <c r="G381">
        <v>20260109</v>
      </c>
      <c r="H381">
        <v>20260130</v>
      </c>
      <c r="I381">
        <v>714.14250000000004</v>
      </c>
      <c r="J381">
        <f t="shared" si="51"/>
        <v>22</v>
      </c>
      <c r="K381">
        <f t="shared" si="52"/>
        <v>32.461022727272727</v>
      </c>
      <c r="L381">
        <f t="shared" si="53"/>
        <v>0</v>
      </c>
      <c r="M381">
        <f t="shared" si="54"/>
        <v>714.14250000000004</v>
      </c>
      <c r="N381">
        <f t="shared" si="55"/>
        <v>0</v>
      </c>
      <c r="O381">
        <f t="shared" si="56"/>
        <v>714.14250000000004</v>
      </c>
      <c r="P381">
        <f t="shared" si="57"/>
        <v>0</v>
      </c>
      <c r="Q381">
        <f t="shared" si="58"/>
        <v>714.14250000000004</v>
      </c>
      <c r="R381">
        <f t="shared" si="59"/>
        <v>0</v>
      </c>
      <c r="S381">
        <f t="shared" si="60"/>
        <v>714.14250000000004</v>
      </c>
    </row>
    <row r="382" spans="1:19" x14ac:dyDescent="0.3">
      <c r="A382" t="s">
        <v>13</v>
      </c>
      <c r="B382" t="s">
        <v>25</v>
      </c>
      <c r="C382" t="s">
        <v>15</v>
      </c>
      <c r="D382">
        <v>2</v>
      </c>
      <c r="E382">
        <v>31</v>
      </c>
      <c r="F382">
        <v>2</v>
      </c>
      <c r="G382">
        <v>20251230</v>
      </c>
      <c r="H382">
        <v>20260202</v>
      </c>
      <c r="I382">
        <v>12934.624900000001</v>
      </c>
      <c r="J382">
        <f t="shared" si="51"/>
        <v>35</v>
      </c>
      <c r="K382">
        <f t="shared" si="52"/>
        <v>369.56071142857144</v>
      </c>
      <c r="L382">
        <f t="shared" si="53"/>
        <v>624.35480630407289</v>
      </c>
      <c r="M382">
        <f t="shared" si="54"/>
        <v>11456.382054285714</v>
      </c>
      <c r="N382">
        <f t="shared" si="55"/>
        <v>609.41151294394297</v>
      </c>
      <c r="O382">
        <f t="shared" si="56"/>
        <v>12690.14837353373</v>
      </c>
      <c r="P382">
        <f t="shared" si="57"/>
        <v>636.38304189555606</v>
      </c>
      <c r="Q382">
        <f t="shared" si="58"/>
        <v>11677.089993078898</v>
      </c>
      <c r="R382">
        <f t="shared" si="59"/>
        <v>621.15186502554775</v>
      </c>
      <c r="S382">
        <f t="shared" si="60"/>
        <v>12934.624900000003</v>
      </c>
    </row>
    <row r="383" spans="1:19" x14ac:dyDescent="0.3">
      <c r="A383" t="s">
        <v>13</v>
      </c>
      <c r="B383" t="s">
        <v>25</v>
      </c>
      <c r="C383" t="s">
        <v>15</v>
      </c>
      <c r="D383">
        <v>1</v>
      </c>
      <c r="E383">
        <v>31</v>
      </c>
      <c r="F383">
        <v>2</v>
      </c>
      <c r="G383">
        <v>20251231</v>
      </c>
      <c r="H383">
        <v>20260202</v>
      </c>
      <c r="I383">
        <v>80299.242599999998</v>
      </c>
      <c r="J383">
        <f t="shared" si="51"/>
        <v>34</v>
      </c>
      <c r="K383">
        <f t="shared" si="52"/>
        <v>2361.7424294117645</v>
      </c>
      <c r="L383">
        <f t="shared" si="53"/>
        <v>1995.024351148453</v>
      </c>
      <c r="M383">
        <f t="shared" si="54"/>
        <v>73214.015311764699</v>
      </c>
      <c r="N383">
        <f t="shared" si="55"/>
        <v>3894.5509697935217</v>
      </c>
      <c r="O383">
        <f t="shared" si="56"/>
        <v>79103.590632706677</v>
      </c>
      <c r="P383">
        <f t="shared" si="57"/>
        <v>2025.1791743514148</v>
      </c>
      <c r="Q383">
        <f t="shared" si="58"/>
        <v>74320.646259118439</v>
      </c>
      <c r="R383">
        <f t="shared" si="59"/>
        <v>3953.4171665301387</v>
      </c>
      <c r="S383">
        <f t="shared" si="60"/>
        <v>80299.242599999998</v>
      </c>
    </row>
    <row r="384" spans="1:19" x14ac:dyDescent="0.3">
      <c r="A384" t="s">
        <v>13</v>
      </c>
      <c r="B384" t="s">
        <v>25</v>
      </c>
      <c r="C384" t="s">
        <v>14</v>
      </c>
      <c r="D384">
        <v>0</v>
      </c>
      <c r="E384">
        <v>15</v>
      </c>
      <c r="F384">
        <v>0</v>
      </c>
      <c r="G384">
        <v>20260102</v>
      </c>
      <c r="H384">
        <v>20260116</v>
      </c>
      <c r="I384">
        <v>7047.9452000000001</v>
      </c>
      <c r="J384">
        <f t="shared" si="51"/>
        <v>15</v>
      </c>
      <c r="K384">
        <f t="shared" si="52"/>
        <v>469.86301333333336</v>
      </c>
      <c r="L384">
        <f t="shared" si="53"/>
        <v>0</v>
      </c>
      <c r="M384">
        <f t="shared" si="54"/>
        <v>7047.9452000000001</v>
      </c>
      <c r="N384">
        <f t="shared" si="55"/>
        <v>0</v>
      </c>
      <c r="O384">
        <f t="shared" si="56"/>
        <v>7047.9452000000001</v>
      </c>
      <c r="P384">
        <f t="shared" si="57"/>
        <v>0</v>
      </c>
      <c r="Q384">
        <f t="shared" si="58"/>
        <v>7047.9452000000001</v>
      </c>
      <c r="R384">
        <f t="shared" si="59"/>
        <v>0</v>
      </c>
      <c r="S384">
        <f t="shared" si="60"/>
        <v>7047.9452000000001</v>
      </c>
    </row>
    <row r="385" spans="1:19" x14ac:dyDescent="0.3">
      <c r="A385" t="s">
        <v>13</v>
      </c>
      <c r="B385" t="s">
        <v>16</v>
      </c>
      <c r="C385" t="s">
        <v>15</v>
      </c>
      <c r="D385">
        <v>31</v>
      </c>
      <c r="E385">
        <v>2</v>
      </c>
      <c r="F385">
        <v>0</v>
      </c>
      <c r="G385">
        <v>20251128</v>
      </c>
      <c r="H385">
        <v>20260102</v>
      </c>
      <c r="I385">
        <v>2452.2759000000001</v>
      </c>
      <c r="J385">
        <f t="shared" si="51"/>
        <v>33</v>
      </c>
      <c r="K385">
        <f t="shared" si="52"/>
        <v>74.311390909090917</v>
      </c>
      <c r="L385">
        <f t="shared" si="53"/>
        <v>1945.9548213801083</v>
      </c>
      <c r="M385">
        <f t="shared" si="54"/>
        <v>148.62278181818183</v>
      </c>
      <c r="N385">
        <f t="shared" si="55"/>
        <v>0</v>
      </c>
      <c r="O385">
        <f t="shared" si="56"/>
        <v>2094.57760319829</v>
      </c>
      <c r="P385">
        <f t="shared" si="57"/>
        <v>2278.2722892065058</v>
      </c>
      <c r="Q385">
        <f t="shared" si="58"/>
        <v>174.00361079349435</v>
      </c>
      <c r="R385">
        <f t="shared" si="59"/>
        <v>0</v>
      </c>
      <c r="S385">
        <f t="shared" si="60"/>
        <v>2452.2759000000001</v>
      </c>
    </row>
    <row r="386" spans="1:19" x14ac:dyDescent="0.3">
      <c r="A386" t="s">
        <v>13</v>
      </c>
      <c r="B386" t="s">
        <v>25</v>
      </c>
      <c r="C386" t="s">
        <v>15</v>
      </c>
      <c r="D386">
        <v>31</v>
      </c>
      <c r="E386">
        <v>7</v>
      </c>
      <c r="F386">
        <v>0</v>
      </c>
      <c r="G386">
        <v>20251126</v>
      </c>
      <c r="H386">
        <v>20260107</v>
      </c>
      <c r="I386">
        <v>5866.6463999999996</v>
      </c>
      <c r="J386">
        <f t="shared" si="51"/>
        <v>38</v>
      </c>
      <c r="K386">
        <f t="shared" si="52"/>
        <v>154.38543157894736</v>
      </c>
      <c r="L386">
        <f t="shared" si="53"/>
        <v>4042.8132384095711</v>
      </c>
      <c r="M386">
        <f t="shared" si="54"/>
        <v>1080.6980210526315</v>
      </c>
      <c r="N386">
        <f t="shared" si="55"/>
        <v>0</v>
      </c>
      <c r="O386">
        <f t="shared" si="56"/>
        <v>5123.5112594622024</v>
      </c>
      <c r="P386">
        <f t="shared" si="57"/>
        <v>4629.1994942307247</v>
      </c>
      <c r="Q386">
        <f t="shared" si="58"/>
        <v>1237.4469057692752</v>
      </c>
      <c r="R386">
        <f t="shared" si="59"/>
        <v>0</v>
      </c>
      <c r="S386">
        <f t="shared" si="60"/>
        <v>5866.6463999999996</v>
      </c>
    </row>
    <row r="387" spans="1:19" x14ac:dyDescent="0.3">
      <c r="A387" t="s">
        <v>13</v>
      </c>
      <c r="B387" t="s">
        <v>25</v>
      </c>
      <c r="C387" t="s">
        <v>14</v>
      </c>
      <c r="D387">
        <v>2</v>
      </c>
      <c r="E387">
        <v>15</v>
      </c>
      <c r="F387">
        <v>0</v>
      </c>
      <c r="G387">
        <v>20251230</v>
      </c>
      <c r="H387">
        <v>20260115</v>
      </c>
      <c r="I387">
        <v>1048.6531</v>
      </c>
      <c r="J387">
        <f t="shared" si="51"/>
        <v>17</v>
      </c>
      <c r="K387">
        <f t="shared" si="52"/>
        <v>61.685476470588235</v>
      </c>
      <c r="L387">
        <f t="shared" si="53"/>
        <v>104.21460540188528</v>
      </c>
      <c r="M387">
        <f t="shared" si="54"/>
        <v>925.28214705882351</v>
      </c>
      <c r="N387">
        <f t="shared" si="55"/>
        <v>0</v>
      </c>
      <c r="O387">
        <f t="shared" si="56"/>
        <v>1029.4967524607089</v>
      </c>
      <c r="P387">
        <f t="shared" si="57"/>
        <v>106.15377732736913</v>
      </c>
      <c r="Q387">
        <f t="shared" si="58"/>
        <v>942.4993226726308</v>
      </c>
      <c r="R387">
        <f t="shared" si="59"/>
        <v>0</v>
      </c>
      <c r="S387">
        <f t="shared" si="60"/>
        <v>1048.6531</v>
      </c>
    </row>
    <row r="388" spans="1:19" x14ac:dyDescent="0.3">
      <c r="A388" t="s">
        <v>13</v>
      </c>
      <c r="B388" t="s">
        <v>25</v>
      </c>
      <c r="C388" t="s">
        <v>15</v>
      </c>
      <c r="D388">
        <v>1</v>
      </c>
      <c r="E388">
        <v>31</v>
      </c>
      <c r="F388">
        <v>6</v>
      </c>
      <c r="G388">
        <v>20251231</v>
      </c>
      <c r="H388">
        <v>20260206</v>
      </c>
      <c r="I388">
        <v>42.012300000000003</v>
      </c>
      <c r="J388">
        <f t="shared" si="51"/>
        <v>38</v>
      </c>
      <c r="K388">
        <f t="shared" si="52"/>
        <v>1.1055868421052633</v>
      </c>
      <c r="L388">
        <f t="shared" si="53"/>
        <v>0.9339175368326188</v>
      </c>
      <c r="M388">
        <f t="shared" si="54"/>
        <v>34.273192105263163</v>
      </c>
      <c r="N388">
        <f t="shared" si="55"/>
        <v>5.469391057835769</v>
      </c>
      <c r="O388">
        <f t="shared" si="56"/>
        <v>40.676500699931552</v>
      </c>
      <c r="P388">
        <f t="shared" si="57"/>
        <v>0.96458699882064969</v>
      </c>
      <c r="Q388">
        <f t="shared" si="58"/>
        <v>35.398709424539327</v>
      </c>
      <c r="R388">
        <f t="shared" si="59"/>
        <v>5.6490035766400224</v>
      </c>
      <c r="S388">
        <f t="shared" si="60"/>
        <v>42.012299999999996</v>
      </c>
    </row>
    <row r="389" spans="1:19" x14ac:dyDescent="0.3">
      <c r="A389" t="s">
        <v>13</v>
      </c>
      <c r="B389" t="s">
        <v>25</v>
      </c>
      <c r="C389" t="s">
        <v>15</v>
      </c>
      <c r="D389">
        <v>20</v>
      </c>
      <c r="E389">
        <v>6</v>
      </c>
      <c r="F389">
        <v>0</v>
      </c>
      <c r="G389">
        <v>20251212</v>
      </c>
      <c r="H389">
        <v>20260106</v>
      </c>
      <c r="I389">
        <v>5877.7147999999997</v>
      </c>
      <c r="J389">
        <f t="shared" si="51"/>
        <v>26</v>
      </c>
      <c r="K389">
        <f t="shared" si="52"/>
        <v>226.06595384615383</v>
      </c>
      <c r="L389">
        <f t="shared" si="53"/>
        <v>3819.2740857097683</v>
      </c>
      <c r="M389">
        <f t="shared" si="54"/>
        <v>1356.3957230769229</v>
      </c>
      <c r="N389">
        <f t="shared" si="55"/>
        <v>0</v>
      </c>
      <c r="O389">
        <f t="shared" si="56"/>
        <v>5175.6698087866916</v>
      </c>
      <c r="P389">
        <f t="shared" si="57"/>
        <v>4337.3330695713939</v>
      </c>
      <c r="Q389">
        <f t="shared" si="58"/>
        <v>1540.3817304286049</v>
      </c>
      <c r="R389">
        <f t="shared" si="59"/>
        <v>0</v>
      </c>
      <c r="S389">
        <f t="shared" si="60"/>
        <v>5877.7147999999988</v>
      </c>
    </row>
    <row r="390" spans="1:19" x14ac:dyDescent="0.3">
      <c r="A390" t="s">
        <v>13</v>
      </c>
      <c r="B390" t="s">
        <v>25</v>
      </c>
      <c r="C390" t="s">
        <v>15</v>
      </c>
      <c r="D390">
        <v>17</v>
      </c>
      <c r="E390">
        <v>5</v>
      </c>
      <c r="F390">
        <v>0</v>
      </c>
      <c r="G390">
        <v>20251215</v>
      </c>
      <c r="H390">
        <v>20260105</v>
      </c>
      <c r="I390">
        <v>4240.1517999999996</v>
      </c>
      <c r="J390">
        <f t="shared" si="51"/>
        <v>22</v>
      </c>
      <c r="K390">
        <f t="shared" si="52"/>
        <v>192.73417272727272</v>
      </c>
      <c r="L390">
        <f t="shared" si="53"/>
        <v>2767.7274086773364</v>
      </c>
      <c r="M390">
        <f t="shared" si="54"/>
        <v>963.67086363636361</v>
      </c>
      <c r="N390">
        <f t="shared" si="55"/>
        <v>0</v>
      </c>
      <c r="O390">
        <f t="shared" si="56"/>
        <v>3731.3982723137001</v>
      </c>
      <c r="P390">
        <f t="shared" si="57"/>
        <v>3145.0902576893104</v>
      </c>
      <c r="Q390">
        <f t="shared" si="58"/>
        <v>1095.061542310689</v>
      </c>
      <c r="R390">
        <f t="shared" si="59"/>
        <v>0</v>
      </c>
      <c r="S390">
        <f t="shared" si="60"/>
        <v>4240.1517999999996</v>
      </c>
    </row>
    <row r="391" spans="1:19" x14ac:dyDescent="0.3">
      <c r="A391" t="s">
        <v>13</v>
      </c>
      <c r="B391" t="s">
        <v>16</v>
      </c>
      <c r="C391" t="s">
        <v>15</v>
      </c>
      <c r="D391">
        <v>31</v>
      </c>
      <c r="E391">
        <v>2</v>
      </c>
      <c r="F391">
        <v>0</v>
      </c>
      <c r="G391">
        <v>20251126</v>
      </c>
      <c r="H391">
        <v>20260102</v>
      </c>
      <c r="I391">
        <v>8157.7372999999998</v>
      </c>
      <c r="J391">
        <f t="shared" si="51"/>
        <v>33</v>
      </c>
      <c r="K391">
        <f t="shared" si="52"/>
        <v>247.20416060606061</v>
      </c>
      <c r="L391">
        <f t="shared" si="53"/>
        <v>6473.4103656474153</v>
      </c>
      <c r="M391">
        <f t="shared" si="54"/>
        <v>494.40832121212122</v>
      </c>
      <c r="N391">
        <f t="shared" si="55"/>
        <v>0</v>
      </c>
      <c r="O391">
        <f t="shared" si="56"/>
        <v>6967.8186868595367</v>
      </c>
      <c r="P391">
        <f t="shared" si="57"/>
        <v>7578.8971515057901</v>
      </c>
      <c r="Q391">
        <f t="shared" si="58"/>
        <v>578.84014849420953</v>
      </c>
      <c r="R391">
        <f t="shared" si="59"/>
        <v>0</v>
      </c>
      <c r="S391">
        <f t="shared" si="60"/>
        <v>8157.7372999999998</v>
      </c>
    </row>
    <row r="392" spans="1:19" x14ac:dyDescent="0.3">
      <c r="A392" t="s">
        <v>13</v>
      </c>
      <c r="B392" t="s">
        <v>25</v>
      </c>
      <c r="C392" t="s">
        <v>15</v>
      </c>
      <c r="D392">
        <v>22</v>
      </c>
      <c r="E392">
        <v>7</v>
      </c>
      <c r="F392">
        <v>0</v>
      </c>
      <c r="G392">
        <v>20251210</v>
      </c>
      <c r="H392">
        <v>20260107</v>
      </c>
      <c r="I392">
        <v>3694.8244</v>
      </c>
      <c r="J392">
        <f t="shared" si="51"/>
        <v>29</v>
      </c>
      <c r="K392">
        <f t="shared" si="52"/>
        <v>127.40773793103448</v>
      </c>
      <c r="L392">
        <f t="shared" si="53"/>
        <v>2367.7407848112298</v>
      </c>
      <c r="M392">
        <f t="shared" si="54"/>
        <v>891.85416551724131</v>
      </c>
      <c r="N392">
        <f t="shared" si="55"/>
        <v>0</v>
      </c>
      <c r="O392">
        <f t="shared" si="56"/>
        <v>3259.594950328471</v>
      </c>
      <c r="P392">
        <f t="shared" si="57"/>
        <v>2683.8875866199578</v>
      </c>
      <c r="Q392">
        <f t="shared" si="58"/>
        <v>1010.9368133800423</v>
      </c>
      <c r="R392">
        <f t="shared" si="59"/>
        <v>0</v>
      </c>
      <c r="S392">
        <f t="shared" si="60"/>
        <v>3694.8244</v>
      </c>
    </row>
    <row r="393" spans="1:19" x14ac:dyDescent="0.3">
      <c r="A393" t="s">
        <v>13</v>
      </c>
      <c r="B393" t="s">
        <v>25</v>
      </c>
      <c r="C393" t="s">
        <v>15</v>
      </c>
      <c r="D393">
        <v>31</v>
      </c>
      <c r="E393">
        <v>3</v>
      </c>
      <c r="F393">
        <v>0</v>
      </c>
      <c r="G393">
        <v>20251201</v>
      </c>
      <c r="H393">
        <v>20260103</v>
      </c>
      <c r="I393">
        <v>2816.5479</v>
      </c>
      <c r="J393">
        <f t="shared" si="51"/>
        <v>34</v>
      </c>
      <c r="K393">
        <f t="shared" si="52"/>
        <v>82.839644117647055</v>
      </c>
      <c r="L393">
        <f t="shared" si="53"/>
        <v>2169.2798762084112</v>
      </c>
      <c r="M393">
        <f t="shared" si="54"/>
        <v>248.51893235294116</v>
      </c>
      <c r="N393">
        <f t="shared" si="55"/>
        <v>0</v>
      </c>
      <c r="O393">
        <f t="shared" si="56"/>
        <v>2417.7988085613524</v>
      </c>
      <c r="P393">
        <f t="shared" si="57"/>
        <v>2527.0426382096634</v>
      </c>
      <c r="Q393">
        <f t="shared" si="58"/>
        <v>289.5052617903367</v>
      </c>
      <c r="R393">
        <f t="shared" si="59"/>
        <v>0</v>
      </c>
      <c r="S393">
        <f t="shared" si="60"/>
        <v>2816.5479</v>
      </c>
    </row>
    <row r="394" spans="1:19" x14ac:dyDescent="0.3">
      <c r="A394" t="s">
        <v>13</v>
      </c>
      <c r="B394" t="s">
        <v>25</v>
      </c>
      <c r="C394" t="s">
        <v>15</v>
      </c>
      <c r="D394">
        <v>31</v>
      </c>
      <c r="E394">
        <v>3</v>
      </c>
      <c r="F394">
        <v>0</v>
      </c>
      <c r="G394">
        <v>20251127</v>
      </c>
      <c r="H394">
        <v>20260103</v>
      </c>
      <c r="I394">
        <v>526.51969999999994</v>
      </c>
      <c r="J394">
        <f t="shared" si="51"/>
        <v>34</v>
      </c>
      <c r="K394">
        <f t="shared" si="52"/>
        <v>15.485873529411762</v>
      </c>
      <c r="L394">
        <f t="shared" si="53"/>
        <v>405.52074034930837</v>
      </c>
      <c r="M394">
        <f t="shared" si="54"/>
        <v>46.457620588235287</v>
      </c>
      <c r="N394">
        <f t="shared" si="55"/>
        <v>0</v>
      </c>
      <c r="O394">
        <f t="shared" si="56"/>
        <v>451.97836093754364</v>
      </c>
      <c r="P394">
        <f t="shared" si="57"/>
        <v>472.40017887051039</v>
      </c>
      <c r="Q394">
        <f t="shared" si="58"/>
        <v>54.119521129489584</v>
      </c>
      <c r="R394">
        <f t="shared" si="59"/>
        <v>0</v>
      </c>
      <c r="S394">
        <f t="shared" si="60"/>
        <v>526.51969999999994</v>
      </c>
    </row>
    <row r="395" spans="1:19" x14ac:dyDescent="0.3">
      <c r="A395" t="s">
        <v>13</v>
      </c>
      <c r="B395" t="s">
        <v>25</v>
      </c>
      <c r="C395" t="s">
        <v>14</v>
      </c>
      <c r="D395">
        <v>1</v>
      </c>
      <c r="E395">
        <v>31</v>
      </c>
      <c r="F395">
        <v>6</v>
      </c>
      <c r="G395">
        <v>20251231</v>
      </c>
      <c r="H395">
        <v>20260206</v>
      </c>
      <c r="I395">
        <v>84654.854600000006</v>
      </c>
      <c r="J395">
        <f t="shared" ref="J395:J458" si="61">IF(D395&lt;0,0,D395)+E395+F395</f>
        <v>38</v>
      </c>
      <c r="K395">
        <f t="shared" ref="K395:K458" si="62">I395/J395</f>
        <v>2227.7593315789477</v>
      </c>
      <c r="L395">
        <f t="shared" ref="L395:L458" si="63">IF(D395&lt;0,0,D395)*$K395*$B$6</f>
        <v>1881.8453950142098</v>
      </c>
      <c r="M395">
        <f t="shared" ref="M395:M458" si="64">IF(E395&lt;0,0,E395)*$K395*$C$6</f>
        <v>69060.539278947384</v>
      </c>
      <c r="N395">
        <f t="shared" ref="N395:N458" si="65">IF(F395&lt;0,0,F395)*$K395*$D$6</f>
        <v>11020.832107540586</v>
      </c>
      <c r="O395">
        <f t="shared" ref="O395:O458" si="66">L395+M395+N395</f>
        <v>81963.216781502182</v>
      </c>
      <c r="P395">
        <f t="shared" ref="P395:P458" si="67">L395/$O395*$I395</f>
        <v>1943.6444120938977</v>
      </c>
      <c r="Q395">
        <f t="shared" ref="Q395:Q458" si="68">M395/$O395*$I395</f>
        <v>71328.458555280871</v>
      </c>
      <c r="R395">
        <f t="shared" ref="R395:R458" si="69">N395/$O395*$I395</f>
        <v>11382.751632625232</v>
      </c>
      <c r="S395">
        <f t="shared" ref="S395:S458" si="70">P395+Q395+R395</f>
        <v>84654.854600000006</v>
      </c>
    </row>
    <row r="396" spans="1:19" x14ac:dyDescent="0.3">
      <c r="A396" t="s">
        <v>13</v>
      </c>
      <c r="B396" t="s">
        <v>25</v>
      </c>
      <c r="C396" t="s">
        <v>15</v>
      </c>
      <c r="D396">
        <v>9</v>
      </c>
      <c r="E396">
        <v>7</v>
      </c>
      <c r="F396">
        <v>0</v>
      </c>
      <c r="G396">
        <v>20251223</v>
      </c>
      <c r="H396">
        <v>20260107</v>
      </c>
      <c r="I396">
        <v>17499.775900000001</v>
      </c>
      <c r="J396">
        <f t="shared" si="61"/>
        <v>16</v>
      </c>
      <c r="K396">
        <f t="shared" si="62"/>
        <v>1093.73599375</v>
      </c>
      <c r="L396">
        <f t="shared" si="63"/>
        <v>8315.1613938783721</v>
      </c>
      <c r="M396">
        <f t="shared" si="64"/>
        <v>7656.1519562499998</v>
      </c>
      <c r="N396">
        <f t="shared" si="65"/>
        <v>0</v>
      </c>
      <c r="O396">
        <f t="shared" si="66"/>
        <v>15971.313350128372</v>
      </c>
      <c r="P396">
        <f t="shared" si="67"/>
        <v>9110.9264326113534</v>
      </c>
      <c r="Q396">
        <f t="shared" si="68"/>
        <v>8388.8494673886489</v>
      </c>
      <c r="R396">
        <f t="shared" si="69"/>
        <v>0</v>
      </c>
      <c r="S396">
        <f t="shared" si="70"/>
        <v>17499.775900000001</v>
      </c>
    </row>
    <row r="397" spans="1:19" x14ac:dyDescent="0.3">
      <c r="A397" t="s">
        <v>13</v>
      </c>
      <c r="B397" t="s">
        <v>25</v>
      </c>
      <c r="C397" t="s">
        <v>15</v>
      </c>
      <c r="D397">
        <v>8</v>
      </c>
      <c r="E397">
        <v>15</v>
      </c>
      <c r="F397">
        <v>0</v>
      </c>
      <c r="G397">
        <v>20251224</v>
      </c>
      <c r="H397">
        <v>20260115</v>
      </c>
      <c r="I397">
        <v>34495.9611</v>
      </c>
      <c r="J397">
        <f t="shared" si="61"/>
        <v>23</v>
      </c>
      <c r="K397">
        <f t="shared" si="62"/>
        <v>1499.824395652174</v>
      </c>
      <c r="L397">
        <f t="shared" si="63"/>
        <v>10135.520807043666</v>
      </c>
      <c r="M397">
        <f t="shared" si="64"/>
        <v>22497.365934782611</v>
      </c>
      <c r="N397">
        <f t="shared" si="65"/>
        <v>0</v>
      </c>
      <c r="O397">
        <f t="shared" si="66"/>
        <v>32632.886741826274</v>
      </c>
      <c r="P397">
        <f t="shared" si="67"/>
        <v>10714.177211907054</v>
      </c>
      <c r="Q397">
        <f t="shared" si="68"/>
        <v>23781.783888092948</v>
      </c>
      <c r="R397">
        <f t="shared" si="69"/>
        <v>0</v>
      </c>
      <c r="S397">
        <f t="shared" si="70"/>
        <v>34495.9611</v>
      </c>
    </row>
    <row r="398" spans="1:19" x14ac:dyDescent="0.3">
      <c r="A398" t="s">
        <v>13</v>
      </c>
      <c r="B398" t="s">
        <v>25</v>
      </c>
      <c r="C398" t="s">
        <v>15</v>
      </c>
      <c r="D398">
        <v>21</v>
      </c>
      <c r="E398">
        <v>7</v>
      </c>
      <c r="F398">
        <v>0</v>
      </c>
      <c r="G398">
        <v>20251211</v>
      </c>
      <c r="H398">
        <v>20260107</v>
      </c>
      <c r="I398">
        <v>21620.575799999999</v>
      </c>
      <c r="J398">
        <f t="shared" si="61"/>
        <v>28</v>
      </c>
      <c r="K398">
        <f t="shared" si="62"/>
        <v>772.16342142857138</v>
      </c>
      <c r="L398">
        <f t="shared" si="63"/>
        <v>13697.590813573865</v>
      </c>
      <c r="M398">
        <f t="shared" si="64"/>
        <v>5405.1439499999997</v>
      </c>
      <c r="N398">
        <f t="shared" si="65"/>
        <v>0</v>
      </c>
      <c r="O398">
        <f t="shared" si="66"/>
        <v>19102.734763573862</v>
      </c>
      <c r="P398">
        <f t="shared" si="67"/>
        <v>15503.005414019148</v>
      </c>
      <c r="Q398">
        <f t="shared" si="68"/>
        <v>6117.5703859808518</v>
      </c>
      <c r="R398">
        <f t="shared" si="69"/>
        <v>0</v>
      </c>
      <c r="S398">
        <f t="shared" si="70"/>
        <v>21620.575799999999</v>
      </c>
    </row>
    <row r="399" spans="1:19" x14ac:dyDescent="0.3">
      <c r="A399" t="s">
        <v>13</v>
      </c>
      <c r="B399" t="s">
        <v>25</v>
      </c>
      <c r="C399" t="s">
        <v>14</v>
      </c>
      <c r="D399">
        <v>20</v>
      </c>
      <c r="E399">
        <v>15</v>
      </c>
      <c r="F399">
        <v>0</v>
      </c>
      <c r="G399">
        <v>20251212</v>
      </c>
      <c r="H399">
        <v>20260115</v>
      </c>
      <c r="I399">
        <v>545.72360000000003</v>
      </c>
      <c r="J399">
        <f t="shared" si="61"/>
        <v>35</v>
      </c>
      <c r="K399">
        <f t="shared" si="62"/>
        <v>15.592102857142859</v>
      </c>
      <c r="L399">
        <f t="shared" si="63"/>
        <v>263.42097680278414</v>
      </c>
      <c r="M399">
        <f t="shared" si="64"/>
        <v>233.88154285714288</v>
      </c>
      <c r="N399">
        <f t="shared" si="65"/>
        <v>0</v>
      </c>
      <c r="O399">
        <f t="shared" si="66"/>
        <v>497.30251965992704</v>
      </c>
      <c r="P399">
        <f t="shared" si="67"/>
        <v>289.06960671471484</v>
      </c>
      <c r="Q399">
        <f t="shared" si="68"/>
        <v>256.65399328528514</v>
      </c>
      <c r="R399">
        <f t="shared" si="69"/>
        <v>0</v>
      </c>
      <c r="S399">
        <f t="shared" si="70"/>
        <v>545.72360000000003</v>
      </c>
    </row>
    <row r="400" spans="1:19" x14ac:dyDescent="0.3">
      <c r="A400" t="s">
        <v>13</v>
      </c>
      <c r="B400" t="s">
        <v>25</v>
      </c>
      <c r="C400" t="s">
        <v>15</v>
      </c>
      <c r="D400">
        <v>0</v>
      </c>
      <c r="E400">
        <v>12</v>
      </c>
      <c r="F400">
        <v>0</v>
      </c>
      <c r="G400">
        <v>20260120</v>
      </c>
      <c r="H400">
        <v>20260131</v>
      </c>
      <c r="I400">
        <v>336.2568</v>
      </c>
      <c r="J400">
        <f t="shared" si="61"/>
        <v>12</v>
      </c>
      <c r="K400">
        <f t="shared" si="62"/>
        <v>28.0214</v>
      </c>
      <c r="L400">
        <f t="shared" si="63"/>
        <v>0</v>
      </c>
      <c r="M400">
        <f t="shared" si="64"/>
        <v>336.2568</v>
      </c>
      <c r="N400">
        <f t="shared" si="65"/>
        <v>0</v>
      </c>
      <c r="O400">
        <f t="shared" si="66"/>
        <v>336.2568</v>
      </c>
      <c r="P400">
        <f t="shared" si="67"/>
        <v>0</v>
      </c>
      <c r="Q400">
        <f t="shared" si="68"/>
        <v>336.2568</v>
      </c>
      <c r="R400">
        <f t="shared" si="69"/>
        <v>0</v>
      </c>
      <c r="S400">
        <f t="shared" si="70"/>
        <v>336.2568</v>
      </c>
    </row>
    <row r="401" spans="1:19" x14ac:dyDescent="0.3">
      <c r="A401" t="s">
        <v>13</v>
      </c>
      <c r="B401" t="s">
        <v>25</v>
      </c>
      <c r="C401" t="s">
        <v>15</v>
      </c>
      <c r="D401">
        <v>0</v>
      </c>
      <c r="E401">
        <v>11</v>
      </c>
      <c r="F401">
        <v>2</v>
      </c>
      <c r="G401">
        <v>20260121</v>
      </c>
      <c r="H401">
        <v>20260202</v>
      </c>
      <c r="I401">
        <v>4206.2732999999998</v>
      </c>
      <c r="J401">
        <f t="shared" si="61"/>
        <v>13</v>
      </c>
      <c r="K401">
        <f t="shared" si="62"/>
        <v>323.55948461538458</v>
      </c>
      <c r="L401">
        <f t="shared" si="63"/>
        <v>0</v>
      </c>
      <c r="M401">
        <f t="shared" si="64"/>
        <v>3559.1543307692305</v>
      </c>
      <c r="N401">
        <f t="shared" si="65"/>
        <v>533.55475554910277</v>
      </c>
      <c r="O401">
        <f t="shared" si="66"/>
        <v>4092.709086318333</v>
      </c>
      <c r="P401">
        <f t="shared" si="67"/>
        <v>0</v>
      </c>
      <c r="Q401">
        <f t="shared" si="68"/>
        <v>3657.9135033419152</v>
      </c>
      <c r="R401">
        <f t="shared" si="69"/>
        <v>548.35979665808486</v>
      </c>
      <c r="S401">
        <f t="shared" si="70"/>
        <v>4206.2732999999998</v>
      </c>
    </row>
    <row r="402" spans="1:19" x14ac:dyDescent="0.3">
      <c r="A402" t="s">
        <v>13</v>
      </c>
      <c r="B402" t="s">
        <v>25</v>
      </c>
      <c r="C402" t="s">
        <v>15</v>
      </c>
      <c r="D402">
        <v>0</v>
      </c>
      <c r="E402">
        <v>17</v>
      </c>
      <c r="F402">
        <v>0</v>
      </c>
      <c r="G402">
        <v>20260114</v>
      </c>
      <c r="H402">
        <v>20260130</v>
      </c>
      <c r="I402">
        <v>378.10210000000001</v>
      </c>
      <c r="J402">
        <f t="shared" si="61"/>
        <v>17</v>
      </c>
      <c r="K402">
        <f t="shared" si="62"/>
        <v>22.241299999999999</v>
      </c>
      <c r="L402">
        <f t="shared" si="63"/>
        <v>0</v>
      </c>
      <c r="M402">
        <f t="shared" si="64"/>
        <v>378.10210000000001</v>
      </c>
      <c r="N402">
        <f t="shared" si="65"/>
        <v>0</v>
      </c>
      <c r="O402">
        <f t="shared" si="66"/>
        <v>378.10210000000001</v>
      </c>
      <c r="P402">
        <f t="shared" si="67"/>
        <v>0</v>
      </c>
      <c r="Q402">
        <f t="shared" si="68"/>
        <v>378.10210000000001</v>
      </c>
      <c r="R402">
        <f t="shared" si="69"/>
        <v>0</v>
      </c>
      <c r="S402">
        <f t="shared" si="70"/>
        <v>378.10210000000001</v>
      </c>
    </row>
    <row r="403" spans="1:19" x14ac:dyDescent="0.3">
      <c r="A403" t="s">
        <v>13</v>
      </c>
      <c r="B403" t="s">
        <v>25</v>
      </c>
      <c r="C403" t="s">
        <v>15</v>
      </c>
      <c r="D403">
        <v>0</v>
      </c>
      <c r="E403">
        <v>20</v>
      </c>
      <c r="F403">
        <v>7</v>
      </c>
      <c r="G403">
        <v>20260112</v>
      </c>
      <c r="H403">
        <v>20260207</v>
      </c>
      <c r="I403">
        <v>3447.7665999999999</v>
      </c>
      <c r="J403">
        <f t="shared" si="61"/>
        <v>27</v>
      </c>
      <c r="K403">
        <f t="shared" si="62"/>
        <v>127.69505925925925</v>
      </c>
      <c r="L403">
        <f t="shared" si="63"/>
        <v>0</v>
      </c>
      <c r="M403">
        <f t="shared" si="64"/>
        <v>2553.9011851851851</v>
      </c>
      <c r="N403">
        <f t="shared" si="65"/>
        <v>736.99916950702027</v>
      </c>
      <c r="O403">
        <f t="shared" si="66"/>
        <v>3290.9003546922054</v>
      </c>
      <c r="P403">
        <f t="shared" si="67"/>
        <v>0</v>
      </c>
      <c r="Q403">
        <f t="shared" si="68"/>
        <v>2675.6371378511226</v>
      </c>
      <c r="R403">
        <f t="shared" si="69"/>
        <v>772.12946214887756</v>
      </c>
      <c r="S403">
        <f t="shared" si="70"/>
        <v>3447.7665999999999</v>
      </c>
    </row>
    <row r="404" spans="1:19" x14ac:dyDescent="0.3">
      <c r="A404" t="s">
        <v>13</v>
      </c>
      <c r="B404" t="s">
        <v>25</v>
      </c>
      <c r="C404" t="s">
        <v>15</v>
      </c>
      <c r="D404">
        <v>0</v>
      </c>
      <c r="E404">
        <v>18</v>
      </c>
      <c r="F404">
        <v>5</v>
      </c>
      <c r="G404">
        <v>20260114</v>
      </c>
      <c r="H404">
        <v>20260205</v>
      </c>
      <c r="I404">
        <v>39656.770400000001</v>
      </c>
      <c r="J404">
        <f t="shared" si="61"/>
        <v>23</v>
      </c>
      <c r="K404">
        <f t="shared" si="62"/>
        <v>1724.2074086956522</v>
      </c>
      <c r="L404">
        <f t="shared" si="63"/>
        <v>0</v>
      </c>
      <c r="M404">
        <f t="shared" si="64"/>
        <v>31035.733356521741</v>
      </c>
      <c r="N404">
        <f t="shared" si="65"/>
        <v>7108.1138569938448</v>
      </c>
      <c r="O404">
        <f t="shared" si="66"/>
        <v>38143.84721351559</v>
      </c>
      <c r="P404">
        <f t="shared" si="67"/>
        <v>0</v>
      </c>
      <c r="Q404">
        <f t="shared" si="68"/>
        <v>32266.722992721625</v>
      </c>
      <c r="R404">
        <f t="shared" si="69"/>
        <v>7390.0474072783754</v>
      </c>
      <c r="S404">
        <f t="shared" si="70"/>
        <v>39656.770400000001</v>
      </c>
    </row>
    <row r="405" spans="1:19" x14ac:dyDescent="0.3">
      <c r="A405" t="s">
        <v>13</v>
      </c>
      <c r="B405" t="s">
        <v>25</v>
      </c>
      <c r="C405" t="s">
        <v>15</v>
      </c>
      <c r="D405">
        <v>0</v>
      </c>
      <c r="E405">
        <v>10</v>
      </c>
      <c r="F405">
        <v>3</v>
      </c>
      <c r="G405">
        <v>20260122</v>
      </c>
      <c r="H405">
        <v>20260203</v>
      </c>
      <c r="I405">
        <v>2819.3948999999998</v>
      </c>
      <c r="J405">
        <f t="shared" si="61"/>
        <v>13</v>
      </c>
      <c r="K405">
        <f t="shared" si="62"/>
        <v>216.87653076923075</v>
      </c>
      <c r="L405">
        <f t="shared" si="63"/>
        <v>0</v>
      </c>
      <c r="M405">
        <f t="shared" si="64"/>
        <v>2168.7653076923075</v>
      </c>
      <c r="N405">
        <f t="shared" si="65"/>
        <v>536.44929229844172</v>
      </c>
      <c r="O405">
        <f t="shared" si="66"/>
        <v>2705.2145999907493</v>
      </c>
      <c r="P405">
        <f t="shared" si="67"/>
        <v>0</v>
      </c>
      <c r="Q405">
        <f t="shared" si="68"/>
        <v>2260.303433164057</v>
      </c>
      <c r="R405">
        <f t="shared" si="69"/>
        <v>559.09146683594258</v>
      </c>
      <c r="S405">
        <f t="shared" si="70"/>
        <v>2819.3948999999993</v>
      </c>
    </row>
    <row r="406" spans="1:19" x14ac:dyDescent="0.3">
      <c r="A406" t="s">
        <v>13</v>
      </c>
      <c r="B406" t="s">
        <v>25</v>
      </c>
      <c r="C406" t="s">
        <v>15</v>
      </c>
      <c r="D406">
        <v>0</v>
      </c>
      <c r="E406">
        <v>20</v>
      </c>
      <c r="F406">
        <v>9</v>
      </c>
      <c r="G406">
        <v>20260112</v>
      </c>
      <c r="H406">
        <v>20260209</v>
      </c>
      <c r="I406">
        <v>5088.7537000000002</v>
      </c>
      <c r="J406">
        <f t="shared" si="61"/>
        <v>29</v>
      </c>
      <c r="K406">
        <f t="shared" si="62"/>
        <v>175.47426551724138</v>
      </c>
      <c r="L406">
        <f t="shared" si="63"/>
        <v>0</v>
      </c>
      <c r="M406">
        <f t="shared" si="64"/>
        <v>3509.4853103448277</v>
      </c>
      <c r="N406">
        <f t="shared" si="65"/>
        <v>1302.1193932709484</v>
      </c>
      <c r="O406">
        <f t="shared" si="66"/>
        <v>4811.6047036157761</v>
      </c>
      <c r="P406">
        <f t="shared" si="67"/>
        <v>0</v>
      </c>
      <c r="Q406">
        <f t="shared" si="68"/>
        <v>3711.6320766526105</v>
      </c>
      <c r="R406">
        <f t="shared" si="69"/>
        <v>1377.1216233473897</v>
      </c>
      <c r="S406">
        <f t="shared" si="70"/>
        <v>5088.7537000000002</v>
      </c>
    </row>
    <row r="407" spans="1:19" x14ac:dyDescent="0.3">
      <c r="A407" t="s">
        <v>13</v>
      </c>
      <c r="B407" t="s">
        <v>25</v>
      </c>
      <c r="C407" t="s">
        <v>15</v>
      </c>
      <c r="D407">
        <v>0</v>
      </c>
      <c r="E407">
        <v>8</v>
      </c>
      <c r="F407">
        <v>3</v>
      </c>
      <c r="G407">
        <v>20260124</v>
      </c>
      <c r="H407">
        <v>20260203</v>
      </c>
      <c r="I407">
        <v>15912.413399999999</v>
      </c>
      <c r="J407">
        <f t="shared" si="61"/>
        <v>11</v>
      </c>
      <c r="K407">
        <f t="shared" si="62"/>
        <v>1446.5830363636362</v>
      </c>
      <c r="L407">
        <f t="shared" si="63"/>
        <v>0</v>
      </c>
      <c r="M407">
        <f t="shared" si="64"/>
        <v>11572.66429090909</v>
      </c>
      <c r="N407">
        <f t="shared" si="65"/>
        <v>3578.1577810921935</v>
      </c>
      <c r="O407">
        <f t="shared" si="66"/>
        <v>15150.822072001283</v>
      </c>
      <c r="P407">
        <f t="shared" si="67"/>
        <v>0</v>
      </c>
      <c r="Q407">
        <f t="shared" si="68"/>
        <v>12154.391191529512</v>
      </c>
      <c r="R407">
        <f t="shared" si="69"/>
        <v>3758.0222084704883</v>
      </c>
      <c r="S407">
        <f t="shared" si="70"/>
        <v>15912.413400000001</v>
      </c>
    </row>
    <row r="408" spans="1:19" x14ac:dyDescent="0.3">
      <c r="A408" t="s">
        <v>13</v>
      </c>
      <c r="B408" t="s">
        <v>25</v>
      </c>
      <c r="C408" t="s">
        <v>14</v>
      </c>
      <c r="D408">
        <v>28</v>
      </c>
      <c r="E408">
        <v>5</v>
      </c>
      <c r="F408">
        <v>0</v>
      </c>
      <c r="G408">
        <v>20251204</v>
      </c>
      <c r="H408">
        <v>20260105</v>
      </c>
      <c r="I408">
        <v>1502055.7860000001</v>
      </c>
      <c r="J408">
        <f t="shared" si="61"/>
        <v>33</v>
      </c>
      <c r="K408">
        <f t="shared" si="62"/>
        <v>45516.842000000004</v>
      </c>
      <c r="L408">
        <f t="shared" si="63"/>
        <v>1076578.7993231034</v>
      </c>
      <c r="M408">
        <f t="shared" si="64"/>
        <v>227584.21000000002</v>
      </c>
      <c r="N408">
        <f t="shared" si="65"/>
        <v>0</v>
      </c>
      <c r="O408">
        <f t="shared" si="66"/>
        <v>1304163.0093231034</v>
      </c>
      <c r="P408">
        <f t="shared" si="67"/>
        <v>1239938.1082335024</v>
      </c>
      <c r="Q408">
        <f t="shared" si="68"/>
        <v>262117.67776649768</v>
      </c>
      <c r="R408">
        <f t="shared" si="69"/>
        <v>0</v>
      </c>
      <c r="S408">
        <f t="shared" si="70"/>
        <v>1502055.7860000001</v>
      </c>
    </row>
    <row r="409" spans="1:19" x14ac:dyDescent="0.3">
      <c r="A409" t="s">
        <v>13</v>
      </c>
      <c r="B409" t="s">
        <v>25</v>
      </c>
      <c r="C409" t="s">
        <v>14</v>
      </c>
      <c r="D409">
        <v>0</v>
      </c>
      <c r="E409">
        <v>25</v>
      </c>
      <c r="F409">
        <v>4</v>
      </c>
      <c r="G409">
        <v>20260107</v>
      </c>
      <c r="H409">
        <v>20260204</v>
      </c>
      <c r="I409">
        <v>593241.68339999998</v>
      </c>
      <c r="J409">
        <f t="shared" si="61"/>
        <v>29</v>
      </c>
      <c r="K409">
        <f t="shared" si="62"/>
        <v>20456.609772413791</v>
      </c>
      <c r="L409">
        <f t="shared" si="63"/>
        <v>0</v>
      </c>
      <c r="M409">
        <f t="shared" si="64"/>
        <v>511415.24431034474</v>
      </c>
      <c r="N409">
        <f t="shared" si="65"/>
        <v>67466.552182563682</v>
      </c>
      <c r="O409">
        <f t="shared" si="66"/>
        <v>578881.79649290838</v>
      </c>
      <c r="P409">
        <f t="shared" si="67"/>
        <v>0</v>
      </c>
      <c r="Q409">
        <f t="shared" si="68"/>
        <v>524101.53901740094</v>
      </c>
      <c r="R409">
        <f t="shared" si="69"/>
        <v>69140.144382599072</v>
      </c>
      <c r="S409">
        <f t="shared" si="70"/>
        <v>593241.68339999998</v>
      </c>
    </row>
    <row r="410" spans="1:19" x14ac:dyDescent="0.3">
      <c r="A410" t="s">
        <v>13</v>
      </c>
      <c r="B410" t="s">
        <v>25</v>
      </c>
      <c r="C410" t="s">
        <v>15</v>
      </c>
      <c r="D410">
        <v>16</v>
      </c>
      <c r="E410">
        <v>15</v>
      </c>
      <c r="F410">
        <v>0</v>
      </c>
      <c r="G410">
        <v>20251216</v>
      </c>
      <c r="H410">
        <v>20260115</v>
      </c>
      <c r="I410">
        <v>12674663.5847</v>
      </c>
      <c r="J410">
        <f t="shared" si="61"/>
        <v>31</v>
      </c>
      <c r="K410">
        <f t="shared" si="62"/>
        <v>408860.11563548387</v>
      </c>
      <c r="L410">
        <f t="shared" si="63"/>
        <v>5525993.8712915396</v>
      </c>
      <c r="M410">
        <f t="shared" si="64"/>
        <v>6132901.7345322585</v>
      </c>
      <c r="N410">
        <f t="shared" si="65"/>
        <v>0</v>
      </c>
      <c r="O410">
        <f t="shared" si="66"/>
        <v>11658895.605823798</v>
      </c>
      <c r="P410">
        <f t="shared" si="67"/>
        <v>6007439.783125611</v>
      </c>
      <c r="Q410">
        <f t="shared" si="68"/>
        <v>6667223.8015743885</v>
      </c>
      <c r="R410">
        <f t="shared" si="69"/>
        <v>0</v>
      </c>
      <c r="S410">
        <f t="shared" si="70"/>
        <v>12674663.5847</v>
      </c>
    </row>
    <row r="411" spans="1:19" x14ac:dyDescent="0.3">
      <c r="A411" t="s">
        <v>13</v>
      </c>
      <c r="B411" t="s">
        <v>25</v>
      </c>
      <c r="C411" t="s">
        <v>14</v>
      </c>
      <c r="D411">
        <v>0</v>
      </c>
      <c r="E411">
        <v>15</v>
      </c>
      <c r="F411">
        <v>19</v>
      </c>
      <c r="G411">
        <v>20260117</v>
      </c>
      <c r="H411">
        <v>20260219</v>
      </c>
      <c r="I411">
        <v>7541400.7696000002</v>
      </c>
      <c r="J411">
        <f t="shared" si="61"/>
        <v>34</v>
      </c>
      <c r="K411">
        <f t="shared" si="62"/>
        <v>221805.9049882353</v>
      </c>
      <c r="L411">
        <f t="shared" si="63"/>
        <v>0</v>
      </c>
      <c r="M411">
        <f t="shared" si="64"/>
        <v>3327088.5748235295</v>
      </c>
      <c r="N411">
        <f t="shared" si="65"/>
        <v>3474734.043980252</v>
      </c>
      <c r="O411">
        <f t="shared" si="66"/>
        <v>6801822.6188037815</v>
      </c>
      <c r="P411">
        <f t="shared" si="67"/>
        <v>0</v>
      </c>
      <c r="Q411">
        <f t="shared" si="68"/>
        <v>3688850.73088163</v>
      </c>
      <c r="R411">
        <f t="shared" si="69"/>
        <v>3852550.0387183698</v>
      </c>
      <c r="S411">
        <f t="shared" si="70"/>
        <v>7541400.7696000002</v>
      </c>
    </row>
    <row r="412" spans="1:19" x14ac:dyDescent="0.3">
      <c r="A412" t="s">
        <v>13</v>
      </c>
      <c r="B412" t="s">
        <v>25</v>
      </c>
      <c r="C412" t="s">
        <v>15</v>
      </c>
      <c r="D412">
        <v>0</v>
      </c>
      <c r="E412">
        <v>28</v>
      </c>
      <c r="F412">
        <v>1</v>
      </c>
      <c r="G412">
        <v>20260104</v>
      </c>
      <c r="H412">
        <v>20260201</v>
      </c>
      <c r="I412">
        <v>3012531.6121999999</v>
      </c>
      <c r="J412">
        <f t="shared" si="61"/>
        <v>29</v>
      </c>
      <c r="K412">
        <f t="shared" si="62"/>
        <v>103880.40042068965</v>
      </c>
      <c r="L412">
        <f t="shared" si="63"/>
        <v>0</v>
      </c>
      <c r="M412">
        <f t="shared" si="64"/>
        <v>2908651.2117793104</v>
      </c>
      <c r="N412">
        <f t="shared" si="65"/>
        <v>85650.21933863069</v>
      </c>
      <c r="O412">
        <f t="shared" si="66"/>
        <v>2994301.4311179412</v>
      </c>
      <c r="P412">
        <f t="shared" si="67"/>
        <v>0</v>
      </c>
      <c r="Q412">
        <f t="shared" si="68"/>
        <v>2926359.9293266581</v>
      </c>
      <c r="R412">
        <f t="shared" si="69"/>
        <v>86171.682873341793</v>
      </c>
      <c r="S412">
        <f t="shared" si="70"/>
        <v>3012531.6121999999</v>
      </c>
    </row>
    <row r="413" spans="1:19" x14ac:dyDescent="0.3">
      <c r="A413" t="s">
        <v>13</v>
      </c>
      <c r="B413" t="s">
        <v>25</v>
      </c>
      <c r="C413" t="s">
        <v>15</v>
      </c>
      <c r="D413">
        <v>30</v>
      </c>
      <c r="E413">
        <v>3</v>
      </c>
      <c r="F413">
        <v>0</v>
      </c>
      <c r="G413">
        <v>20251202</v>
      </c>
      <c r="H413">
        <v>20260103</v>
      </c>
      <c r="I413">
        <v>5745696.8291999996</v>
      </c>
      <c r="J413">
        <f t="shared" si="61"/>
        <v>33</v>
      </c>
      <c r="K413">
        <f t="shared" si="62"/>
        <v>174112.0251272727</v>
      </c>
      <c r="L413">
        <f t="shared" si="63"/>
        <v>4412306.6804096363</v>
      </c>
      <c r="M413">
        <f t="shared" si="64"/>
        <v>522336.07538181811</v>
      </c>
      <c r="N413">
        <f t="shared" si="65"/>
        <v>0</v>
      </c>
      <c r="O413">
        <f t="shared" si="66"/>
        <v>4934642.7557914546</v>
      </c>
      <c r="P413">
        <f t="shared" si="67"/>
        <v>5137509.9997530654</v>
      </c>
      <c r="Q413">
        <f t="shared" si="68"/>
        <v>608186.8294469337</v>
      </c>
      <c r="R413">
        <f t="shared" si="69"/>
        <v>0</v>
      </c>
      <c r="S413">
        <f t="shared" si="70"/>
        <v>5745696.8291999996</v>
      </c>
    </row>
    <row r="414" spans="1:19" x14ac:dyDescent="0.3">
      <c r="A414" t="s">
        <v>13</v>
      </c>
      <c r="B414" t="s">
        <v>25</v>
      </c>
      <c r="C414" t="s">
        <v>14</v>
      </c>
      <c r="D414">
        <v>29</v>
      </c>
      <c r="E414">
        <v>2</v>
      </c>
      <c r="F414">
        <v>0</v>
      </c>
      <c r="G414">
        <v>20251203</v>
      </c>
      <c r="H414">
        <v>20260102</v>
      </c>
      <c r="I414">
        <v>2474547.3053000001</v>
      </c>
      <c r="J414">
        <f t="shared" si="61"/>
        <v>31</v>
      </c>
      <c r="K414">
        <f t="shared" si="62"/>
        <v>79824.106622580643</v>
      </c>
      <c r="L414">
        <f t="shared" si="63"/>
        <v>1955454.5836952743</v>
      </c>
      <c r="M414">
        <f t="shared" si="64"/>
        <v>159648.21324516129</v>
      </c>
      <c r="N414">
        <f t="shared" si="65"/>
        <v>0</v>
      </c>
      <c r="O414">
        <f t="shared" si="66"/>
        <v>2115102.7969404357</v>
      </c>
      <c r="P414">
        <f t="shared" si="67"/>
        <v>2287768.1773761767</v>
      </c>
      <c r="Q414">
        <f t="shared" si="68"/>
        <v>186779.12792382308</v>
      </c>
      <c r="R414">
        <f t="shared" si="69"/>
        <v>0</v>
      </c>
      <c r="S414">
        <f t="shared" si="70"/>
        <v>2474547.3052999997</v>
      </c>
    </row>
    <row r="415" spans="1:19" x14ac:dyDescent="0.3">
      <c r="A415" t="s">
        <v>13</v>
      </c>
      <c r="B415" t="s">
        <v>25</v>
      </c>
      <c r="C415" t="s">
        <v>15</v>
      </c>
      <c r="D415">
        <v>0</v>
      </c>
      <c r="E415">
        <v>15</v>
      </c>
      <c r="F415">
        <v>0</v>
      </c>
      <c r="G415">
        <v>20260101</v>
      </c>
      <c r="H415">
        <v>20260115</v>
      </c>
      <c r="I415">
        <v>13129.7559</v>
      </c>
      <c r="J415">
        <f t="shared" si="61"/>
        <v>15</v>
      </c>
      <c r="K415">
        <f t="shared" si="62"/>
        <v>875.31705999999997</v>
      </c>
      <c r="L415">
        <f t="shared" si="63"/>
        <v>0</v>
      </c>
      <c r="M415">
        <f t="shared" si="64"/>
        <v>13129.7559</v>
      </c>
      <c r="N415">
        <f t="shared" si="65"/>
        <v>0</v>
      </c>
      <c r="O415">
        <f t="shared" si="66"/>
        <v>13129.7559</v>
      </c>
      <c r="P415">
        <f t="shared" si="67"/>
        <v>0</v>
      </c>
      <c r="Q415">
        <f t="shared" si="68"/>
        <v>13129.7559</v>
      </c>
      <c r="R415">
        <f t="shared" si="69"/>
        <v>0</v>
      </c>
      <c r="S415">
        <f t="shared" si="70"/>
        <v>13129.7559</v>
      </c>
    </row>
    <row r="416" spans="1:19" x14ac:dyDescent="0.3">
      <c r="A416" t="s">
        <v>13</v>
      </c>
      <c r="B416" t="s">
        <v>25</v>
      </c>
      <c r="C416" t="s">
        <v>15</v>
      </c>
      <c r="D416">
        <v>19</v>
      </c>
      <c r="E416">
        <v>1</v>
      </c>
      <c r="F416">
        <v>0</v>
      </c>
      <c r="G416">
        <v>20251213</v>
      </c>
      <c r="H416">
        <v>20260101</v>
      </c>
      <c r="I416">
        <v>7056.0801000000001</v>
      </c>
      <c r="J416">
        <f t="shared" si="61"/>
        <v>20</v>
      </c>
      <c r="K416">
        <f t="shared" si="62"/>
        <v>352.80400500000002</v>
      </c>
      <c r="L416">
        <f t="shared" si="63"/>
        <v>5662.4290927978773</v>
      </c>
      <c r="M416">
        <f t="shared" si="64"/>
        <v>352.80400500000002</v>
      </c>
      <c r="N416">
        <f t="shared" si="65"/>
        <v>0</v>
      </c>
      <c r="O416">
        <f t="shared" si="66"/>
        <v>6015.2330977978772</v>
      </c>
      <c r="P416">
        <f t="shared" si="67"/>
        <v>6642.2285869485522</v>
      </c>
      <c r="Q416">
        <f t="shared" si="68"/>
        <v>413.85151305144808</v>
      </c>
      <c r="R416">
        <f t="shared" si="69"/>
        <v>0</v>
      </c>
      <c r="S416">
        <f t="shared" si="70"/>
        <v>7056.0801000000001</v>
      </c>
    </row>
    <row r="417" spans="1:19" x14ac:dyDescent="0.3">
      <c r="A417" t="s">
        <v>13</v>
      </c>
      <c r="B417" t="s">
        <v>25</v>
      </c>
      <c r="C417" t="s">
        <v>14</v>
      </c>
      <c r="D417">
        <v>30</v>
      </c>
      <c r="E417">
        <v>5</v>
      </c>
      <c r="F417">
        <v>0</v>
      </c>
      <c r="G417">
        <v>20251202</v>
      </c>
      <c r="H417">
        <v>20260105</v>
      </c>
      <c r="I417">
        <v>920605.24860000005</v>
      </c>
      <c r="J417">
        <f t="shared" si="61"/>
        <v>35</v>
      </c>
      <c r="K417">
        <f t="shared" si="62"/>
        <v>26303.007102857144</v>
      </c>
      <c r="L417">
        <f t="shared" si="63"/>
        <v>666564.72388947965</v>
      </c>
      <c r="M417">
        <f t="shared" si="64"/>
        <v>131515.03551428573</v>
      </c>
      <c r="N417">
        <f t="shared" si="65"/>
        <v>0</v>
      </c>
      <c r="O417">
        <f t="shared" si="66"/>
        <v>798079.75940376543</v>
      </c>
      <c r="P417">
        <f t="shared" si="67"/>
        <v>768899.31878827396</v>
      </c>
      <c r="Q417">
        <f t="shared" si="68"/>
        <v>151705.92981172603</v>
      </c>
      <c r="R417">
        <f t="shared" si="69"/>
        <v>0</v>
      </c>
      <c r="S417">
        <f t="shared" si="70"/>
        <v>920605.24860000005</v>
      </c>
    </row>
    <row r="418" spans="1:19" x14ac:dyDescent="0.3">
      <c r="A418" t="s">
        <v>13</v>
      </c>
      <c r="B418" t="s">
        <v>25</v>
      </c>
      <c r="C418" t="s">
        <v>15</v>
      </c>
      <c r="D418">
        <v>0</v>
      </c>
      <c r="E418">
        <v>28</v>
      </c>
      <c r="F418">
        <v>2</v>
      </c>
      <c r="G418">
        <v>20260104</v>
      </c>
      <c r="H418">
        <v>20260202</v>
      </c>
      <c r="I418">
        <v>4430689.4216</v>
      </c>
      <c r="J418">
        <f t="shared" si="61"/>
        <v>30</v>
      </c>
      <c r="K418">
        <f t="shared" si="62"/>
        <v>147689.64738666668</v>
      </c>
      <c r="L418">
        <f t="shared" si="63"/>
        <v>0</v>
      </c>
      <c r="M418">
        <f t="shared" si="64"/>
        <v>4135310.1268266672</v>
      </c>
      <c r="N418">
        <f t="shared" si="65"/>
        <v>243542.58631050907</v>
      </c>
      <c r="O418">
        <f t="shared" si="66"/>
        <v>4378852.7131371759</v>
      </c>
      <c r="P418">
        <f t="shared" si="67"/>
        <v>0</v>
      </c>
      <c r="Q418">
        <f t="shared" si="68"/>
        <v>4184263.7864929456</v>
      </c>
      <c r="R418">
        <f t="shared" si="69"/>
        <v>246425.63510705455</v>
      </c>
      <c r="S418">
        <f t="shared" si="70"/>
        <v>4430689.4216</v>
      </c>
    </row>
    <row r="419" spans="1:19" x14ac:dyDescent="0.3">
      <c r="A419" t="s">
        <v>13</v>
      </c>
      <c r="B419" t="s">
        <v>25</v>
      </c>
      <c r="C419" t="s">
        <v>14</v>
      </c>
      <c r="D419">
        <v>0</v>
      </c>
      <c r="E419">
        <v>15</v>
      </c>
      <c r="F419">
        <v>20</v>
      </c>
      <c r="G419">
        <v>20260117</v>
      </c>
      <c r="H419">
        <v>20260220</v>
      </c>
      <c r="I419">
        <v>1390145.9997</v>
      </c>
      <c r="J419">
        <f t="shared" si="61"/>
        <v>35</v>
      </c>
      <c r="K419">
        <f t="shared" si="62"/>
        <v>39718.457134285716</v>
      </c>
      <c r="L419">
        <f t="shared" si="63"/>
        <v>0</v>
      </c>
      <c r="M419">
        <f t="shared" si="64"/>
        <v>595776.85701428575</v>
      </c>
      <c r="N419">
        <f t="shared" si="65"/>
        <v>654963.69893969409</v>
      </c>
      <c r="O419">
        <f t="shared" si="66"/>
        <v>1250740.55595398</v>
      </c>
      <c r="P419">
        <f t="shared" si="67"/>
        <v>0</v>
      </c>
      <c r="Q419">
        <f t="shared" si="68"/>
        <v>662181.14584166557</v>
      </c>
      <c r="R419">
        <f t="shared" si="69"/>
        <v>727964.85385833436</v>
      </c>
      <c r="S419">
        <f t="shared" si="70"/>
        <v>1390145.9997</v>
      </c>
    </row>
    <row r="420" spans="1:19" x14ac:dyDescent="0.3">
      <c r="A420" t="s">
        <v>13</v>
      </c>
      <c r="B420" t="s">
        <v>25</v>
      </c>
      <c r="C420" t="s">
        <v>15</v>
      </c>
      <c r="D420">
        <v>25</v>
      </c>
      <c r="E420">
        <v>5</v>
      </c>
      <c r="F420">
        <v>0</v>
      </c>
      <c r="G420">
        <v>20251207</v>
      </c>
      <c r="H420">
        <v>20260105</v>
      </c>
      <c r="I420">
        <v>547775.72089999996</v>
      </c>
      <c r="J420">
        <f t="shared" si="61"/>
        <v>30</v>
      </c>
      <c r="K420">
        <f t="shared" si="62"/>
        <v>18259.190696666665</v>
      </c>
      <c r="L420">
        <f t="shared" si="63"/>
        <v>385600.1570965788</v>
      </c>
      <c r="M420">
        <f t="shared" si="64"/>
        <v>91295.953483333316</v>
      </c>
      <c r="N420">
        <f t="shared" si="65"/>
        <v>0</v>
      </c>
      <c r="O420">
        <f t="shared" si="66"/>
        <v>476896.11057991209</v>
      </c>
      <c r="P420">
        <f t="shared" si="67"/>
        <v>442910.72908076853</v>
      </c>
      <c r="Q420">
        <f t="shared" si="68"/>
        <v>104864.99181923142</v>
      </c>
      <c r="R420">
        <f t="shared" si="69"/>
        <v>0</v>
      </c>
      <c r="S420">
        <f t="shared" si="70"/>
        <v>547775.72089999996</v>
      </c>
    </row>
    <row r="421" spans="1:19" x14ac:dyDescent="0.3">
      <c r="A421" t="s">
        <v>13</v>
      </c>
      <c r="B421" t="s">
        <v>25</v>
      </c>
      <c r="C421" t="s">
        <v>15</v>
      </c>
      <c r="D421">
        <v>30</v>
      </c>
      <c r="E421">
        <v>8</v>
      </c>
      <c r="F421">
        <v>0</v>
      </c>
      <c r="G421">
        <v>20251202</v>
      </c>
      <c r="H421">
        <v>20260108</v>
      </c>
      <c r="I421">
        <v>274822.0736</v>
      </c>
      <c r="J421">
        <f t="shared" si="61"/>
        <v>38</v>
      </c>
      <c r="K421">
        <f t="shared" si="62"/>
        <v>7232.1598315789479</v>
      </c>
      <c r="L421">
        <f t="shared" si="63"/>
        <v>183275.72214119055</v>
      </c>
      <c r="M421">
        <f t="shared" si="64"/>
        <v>57857.278652631583</v>
      </c>
      <c r="N421">
        <f t="shared" si="65"/>
        <v>0</v>
      </c>
      <c r="O421">
        <f t="shared" si="66"/>
        <v>241133.00079382214</v>
      </c>
      <c r="P421">
        <f t="shared" si="67"/>
        <v>208881.46306629406</v>
      </c>
      <c r="Q421">
        <f t="shared" si="68"/>
        <v>65940.610533705913</v>
      </c>
      <c r="R421">
        <f t="shared" si="69"/>
        <v>0</v>
      </c>
      <c r="S421">
        <f t="shared" si="70"/>
        <v>274822.0736</v>
      </c>
    </row>
    <row r="422" spans="1:19" x14ac:dyDescent="0.3">
      <c r="A422" t="s">
        <v>13</v>
      </c>
      <c r="B422" t="s">
        <v>25</v>
      </c>
      <c r="C422" t="s">
        <v>15</v>
      </c>
      <c r="D422">
        <v>26</v>
      </c>
      <c r="E422">
        <v>6</v>
      </c>
      <c r="F422">
        <v>0</v>
      </c>
      <c r="G422">
        <v>20251206</v>
      </c>
      <c r="H422">
        <v>20260106</v>
      </c>
      <c r="I422">
        <v>2505161.8676</v>
      </c>
      <c r="J422">
        <f t="shared" si="61"/>
        <v>32</v>
      </c>
      <c r="K422">
        <f t="shared" si="62"/>
        <v>78286.3083625</v>
      </c>
      <c r="L422">
        <f t="shared" si="63"/>
        <v>1719391.7209565137</v>
      </c>
      <c r="M422">
        <f t="shared" si="64"/>
        <v>469717.85017500003</v>
      </c>
      <c r="N422">
        <f t="shared" si="65"/>
        <v>0</v>
      </c>
      <c r="O422">
        <f t="shared" si="66"/>
        <v>2189109.5711315135</v>
      </c>
      <c r="P422">
        <f t="shared" si="67"/>
        <v>1967628.5881756935</v>
      </c>
      <c r="Q422">
        <f t="shared" si="68"/>
        <v>537533.2794243067</v>
      </c>
      <c r="R422">
        <f t="shared" si="69"/>
        <v>0</v>
      </c>
      <c r="S422">
        <f t="shared" si="70"/>
        <v>2505161.8676000005</v>
      </c>
    </row>
    <row r="423" spans="1:19" x14ac:dyDescent="0.3">
      <c r="A423" t="s">
        <v>13</v>
      </c>
      <c r="B423" t="s">
        <v>25</v>
      </c>
      <c r="C423" t="s">
        <v>14</v>
      </c>
      <c r="D423">
        <v>0</v>
      </c>
      <c r="E423">
        <v>31</v>
      </c>
      <c r="F423">
        <v>0</v>
      </c>
      <c r="G423">
        <v>20260101</v>
      </c>
      <c r="H423">
        <v>20260131</v>
      </c>
      <c r="I423">
        <v>2308357.4049</v>
      </c>
      <c r="J423">
        <f t="shared" si="61"/>
        <v>31</v>
      </c>
      <c r="K423">
        <f t="shared" si="62"/>
        <v>74463.142093548391</v>
      </c>
      <c r="L423">
        <f t="shared" si="63"/>
        <v>0</v>
      </c>
      <c r="M423">
        <f t="shared" si="64"/>
        <v>2308357.4049</v>
      </c>
      <c r="N423">
        <f t="shared" si="65"/>
        <v>0</v>
      </c>
      <c r="O423">
        <f t="shared" si="66"/>
        <v>2308357.4049</v>
      </c>
      <c r="P423">
        <f t="shared" si="67"/>
        <v>0</v>
      </c>
      <c r="Q423">
        <f t="shared" si="68"/>
        <v>2308357.4049</v>
      </c>
      <c r="R423">
        <f t="shared" si="69"/>
        <v>0</v>
      </c>
      <c r="S423">
        <f t="shared" si="70"/>
        <v>2308357.4049</v>
      </c>
    </row>
    <row r="424" spans="1:19" x14ac:dyDescent="0.3">
      <c r="A424" t="s">
        <v>13</v>
      </c>
      <c r="B424" t="s">
        <v>25</v>
      </c>
      <c r="C424" t="s">
        <v>15</v>
      </c>
      <c r="D424">
        <v>0</v>
      </c>
      <c r="E424">
        <v>21</v>
      </c>
      <c r="F424">
        <v>0</v>
      </c>
      <c r="G424">
        <v>20260103</v>
      </c>
      <c r="H424">
        <v>20260123</v>
      </c>
      <c r="I424">
        <v>8518.4737000000005</v>
      </c>
      <c r="J424">
        <f t="shared" si="61"/>
        <v>21</v>
      </c>
      <c r="K424">
        <f t="shared" si="62"/>
        <v>405.64160476190477</v>
      </c>
      <c r="L424">
        <f t="shared" si="63"/>
        <v>0</v>
      </c>
      <c r="M424">
        <f t="shared" si="64"/>
        <v>8518.4737000000005</v>
      </c>
      <c r="N424">
        <f t="shared" si="65"/>
        <v>0</v>
      </c>
      <c r="O424">
        <f t="shared" si="66"/>
        <v>8518.4737000000005</v>
      </c>
      <c r="P424">
        <f t="shared" si="67"/>
        <v>0</v>
      </c>
      <c r="Q424">
        <f t="shared" si="68"/>
        <v>8518.4737000000005</v>
      </c>
      <c r="R424">
        <f t="shared" si="69"/>
        <v>0</v>
      </c>
      <c r="S424">
        <f t="shared" si="70"/>
        <v>8518.4737000000005</v>
      </c>
    </row>
    <row r="425" spans="1:19" x14ac:dyDescent="0.3">
      <c r="A425" t="s">
        <v>13</v>
      </c>
      <c r="B425" t="s">
        <v>25</v>
      </c>
      <c r="C425" t="s">
        <v>15</v>
      </c>
      <c r="D425">
        <v>0</v>
      </c>
      <c r="E425">
        <v>25</v>
      </c>
      <c r="F425">
        <v>1</v>
      </c>
      <c r="G425">
        <v>20260107</v>
      </c>
      <c r="H425">
        <v>20260201</v>
      </c>
      <c r="I425">
        <v>779363.17740000004</v>
      </c>
      <c r="J425">
        <f t="shared" si="61"/>
        <v>26</v>
      </c>
      <c r="K425">
        <f t="shared" si="62"/>
        <v>29975.506823076925</v>
      </c>
      <c r="L425">
        <f t="shared" si="63"/>
        <v>0</v>
      </c>
      <c r="M425">
        <f t="shared" si="64"/>
        <v>749387.67057692306</v>
      </c>
      <c r="N425">
        <f t="shared" si="65"/>
        <v>24715.044645436443</v>
      </c>
      <c r="O425">
        <f t="shared" si="66"/>
        <v>774102.71522235952</v>
      </c>
      <c r="P425">
        <f t="shared" si="67"/>
        <v>0</v>
      </c>
      <c r="Q425">
        <f t="shared" si="68"/>
        <v>754480.18016245996</v>
      </c>
      <c r="R425">
        <f t="shared" si="69"/>
        <v>24882.997237540025</v>
      </c>
      <c r="S425">
        <f t="shared" si="70"/>
        <v>779363.17739999993</v>
      </c>
    </row>
    <row r="426" spans="1:19" x14ac:dyDescent="0.3">
      <c r="A426" t="s">
        <v>13</v>
      </c>
      <c r="B426" t="s">
        <v>25</v>
      </c>
      <c r="C426" t="s">
        <v>14</v>
      </c>
      <c r="D426">
        <v>0</v>
      </c>
      <c r="E426">
        <v>30</v>
      </c>
      <c r="F426">
        <v>4</v>
      </c>
      <c r="G426">
        <v>20260102</v>
      </c>
      <c r="H426">
        <v>20260204</v>
      </c>
      <c r="I426">
        <v>240465.49729999999</v>
      </c>
      <c r="J426">
        <f t="shared" si="61"/>
        <v>34</v>
      </c>
      <c r="K426">
        <f t="shared" si="62"/>
        <v>7072.5146264705882</v>
      </c>
      <c r="L426">
        <f t="shared" si="63"/>
        <v>0</v>
      </c>
      <c r="M426">
        <f t="shared" si="64"/>
        <v>212175.43879411765</v>
      </c>
      <c r="N426">
        <f t="shared" si="65"/>
        <v>23325.379054362253</v>
      </c>
      <c r="O426">
        <f t="shared" si="66"/>
        <v>235500.8178484799</v>
      </c>
      <c r="P426">
        <f t="shared" si="67"/>
        <v>0</v>
      </c>
      <c r="Q426">
        <f t="shared" si="68"/>
        <v>216648.38734148175</v>
      </c>
      <c r="R426">
        <f t="shared" si="69"/>
        <v>23817.109958518249</v>
      </c>
      <c r="S426">
        <f t="shared" si="70"/>
        <v>240465.49729999999</v>
      </c>
    </row>
    <row r="427" spans="1:19" x14ac:dyDescent="0.3">
      <c r="A427" t="s">
        <v>13</v>
      </c>
      <c r="B427" t="s">
        <v>25</v>
      </c>
      <c r="C427" t="s">
        <v>14</v>
      </c>
      <c r="D427">
        <v>0</v>
      </c>
      <c r="E427">
        <v>30</v>
      </c>
      <c r="F427">
        <v>3</v>
      </c>
      <c r="G427">
        <v>20260102</v>
      </c>
      <c r="H427">
        <v>20260203</v>
      </c>
      <c r="I427">
        <v>745577.95770000003</v>
      </c>
      <c r="J427">
        <f t="shared" si="61"/>
        <v>33</v>
      </c>
      <c r="K427">
        <f t="shared" si="62"/>
        <v>22593.271445454546</v>
      </c>
      <c r="L427">
        <f t="shared" si="63"/>
        <v>0</v>
      </c>
      <c r="M427">
        <f t="shared" si="64"/>
        <v>677798.14336363634</v>
      </c>
      <c r="N427">
        <f t="shared" si="65"/>
        <v>55884.997950825848</v>
      </c>
      <c r="O427">
        <f t="shared" si="66"/>
        <v>733683.14131446218</v>
      </c>
      <c r="P427">
        <f t="shared" si="67"/>
        <v>0</v>
      </c>
      <c r="Q427">
        <f t="shared" si="68"/>
        <v>688786.92586083885</v>
      </c>
      <c r="R427">
        <f t="shared" si="69"/>
        <v>56791.031839161195</v>
      </c>
      <c r="S427">
        <f t="shared" si="70"/>
        <v>745577.95770000003</v>
      </c>
    </row>
    <row r="428" spans="1:19" x14ac:dyDescent="0.3">
      <c r="A428" t="s">
        <v>13</v>
      </c>
      <c r="B428" t="s">
        <v>25</v>
      </c>
      <c r="C428" t="s">
        <v>14</v>
      </c>
      <c r="D428">
        <v>0</v>
      </c>
      <c r="E428">
        <v>26</v>
      </c>
      <c r="F428">
        <v>1</v>
      </c>
      <c r="G428">
        <v>20260106</v>
      </c>
      <c r="H428">
        <v>20260201</v>
      </c>
      <c r="I428">
        <v>155752.4234</v>
      </c>
      <c r="J428">
        <f t="shared" si="61"/>
        <v>27</v>
      </c>
      <c r="K428">
        <f t="shared" si="62"/>
        <v>5768.608274074074</v>
      </c>
      <c r="L428">
        <f t="shared" si="63"/>
        <v>0</v>
      </c>
      <c r="M428">
        <f t="shared" si="64"/>
        <v>149983.81512592593</v>
      </c>
      <c r="N428">
        <f t="shared" si="65"/>
        <v>4756.2635680279764</v>
      </c>
      <c r="O428">
        <f t="shared" si="66"/>
        <v>154740.0786939539</v>
      </c>
      <c r="P428">
        <f t="shared" si="67"/>
        <v>0</v>
      </c>
      <c r="Q428">
        <f t="shared" si="68"/>
        <v>150965.04327649207</v>
      </c>
      <c r="R428">
        <f t="shared" si="69"/>
        <v>4787.3801235079318</v>
      </c>
      <c r="S428">
        <f t="shared" si="70"/>
        <v>155752.4234</v>
      </c>
    </row>
    <row r="429" spans="1:19" x14ac:dyDescent="0.3">
      <c r="A429" t="s">
        <v>13</v>
      </c>
      <c r="B429" t="s">
        <v>25</v>
      </c>
      <c r="C429" t="s">
        <v>14</v>
      </c>
      <c r="D429">
        <v>0</v>
      </c>
      <c r="E429">
        <v>27</v>
      </c>
      <c r="F429">
        <v>4</v>
      </c>
      <c r="G429">
        <v>20260105</v>
      </c>
      <c r="H429">
        <v>20260204</v>
      </c>
      <c r="I429">
        <v>191041.98240000001</v>
      </c>
      <c r="J429">
        <f t="shared" si="61"/>
        <v>31</v>
      </c>
      <c r="K429">
        <f t="shared" si="62"/>
        <v>6162.6445935483871</v>
      </c>
      <c r="L429">
        <f t="shared" si="63"/>
        <v>0</v>
      </c>
      <c r="M429">
        <f t="shared" si="64"/>
        <v>166391.40402580646</v>
      </c>
      <c r="N429">
        <f t="shared" si="65"/>
        <v>20324.598634809216</v>
      </c>
      <c r="O429">
        <f t="shared" si="66"/>
        <v>186716.00266061569</v>
      </c>
      <c r="P429">
        <f t="shared" si="67"/>
        <v>0</v>
      </c>
      <c r="Q429">
        <f t="shared" si="68"/>
        <v>170246.4878556146</v>
      </c>
      <c r="R429">
        <f t="shared" si="69"/>
        <v>20795.494544385416</v>
      </c>
      <c r="S429">
        <f t="shared" si="70"/>
        <v>191041.98240000001</v>
      </c>
    </row>
    <row r="430" spans="1:19" x14ac:dyDescent="0.3">
      <c r="A430" t="s">
        <v>13</v>
      </c>
      <c r="B430" t="s">
        <v>25</v>
      </c>
      <c r="C430" t="s">
        <v>14</v>
      </c>
      <c r="D430">
        <v>27</v>
      </c>
      <c r="E430">
        <v>4</v>
      </c>
      <c r="F430">
        <v>0</v>
      </c>
      <c r="G430">
        <v>20251205</v>
      </c>
      <c r="H430">
        <v>20260104</v>
      </c>
      <c r="I430">
        <v>176375.53899999999</v>
      </c>
      <c r="J430">
        <f t="shared" si="61"/>
        <v>31</v>
      </c>
      <c r="K430">
        <f t="shared" si="62"/>
        <v>5689.5335161290323</v>
      </c>
      <c r="L430">
        <f t="shared" si="63"/>
        <v>129764.55848441314</v>
      </c>
      <c r="M430">
        <f t="shared" si="64"/>
        <v>22758.134064516129</v>
      </c>
      <c r="N430">
        <f t="shared" si="65"/>
        <v>0</v>
      </c>
      <c r="O430">
        <f t="shared" si="66"/>
        <v>152522.69254892928</v>
      </c>
      <c r="P430">
        <f t="shared" si="67"/>
        <v>150058.28682471722</v>
      </c>
      <c r="Q430">
        <f t="shared" si="68"/>
        <v>26317.25217528276</v>
      </c>
      <c r="R430">
        <f t="shared" si="69"/>
        <v>0</v>
      </c>
      <c r="S430">
        <f t="shared" si="70"/>
        <v>176375.53899999999</v>
      </c>
    </row>
    <row r="431" spans="1:19" x14ac:dyDescent="0.3">
      <c r="A431" t="s">
        <v>13</v>
      </c>
      <c r="B431" t="s">
        <v>25</v>
      </c>
      <c r="C431" t="s">
        <v>14</v>
      </c>
      <c r="D431">
        <v>0</v>
      </c>
      <c r="E431">
        <v>16</v>
      </c>
      <c r="F431">
        <v>16</v>
      </c>
      <c r="G431">
        <v>20260116</v>
      </c>
      <c r="H431">
        <v>20260216</v>
      </c>
      <c r="I431">
        <v>818859.57290000003</v>
      </c>
      <c r="J431">
        <f t="shared" si="61"/>
        <v>32</v>
      </c>
      <c r="K431">
        <f t="shared" si="62"/>
        <v>25589.361653125001</v>
      </c>
      <c r="L431">
        <f t="shared" si="63"/>
        <v>0</v>
      </c>
      <c r="M431">
        <f t="shared" si="64"/>
        <v>409429.78645000001</v>
      </c>
      <c r="N431">
        <f t="shared" si="65"/>
        <v>337578.12706916413</v>
      </c>
      <c r="O431">
        <f t="shared" si="66"/>
        <v>747007.91351916408</v>
      </c>
      <c r="P431">
        <f t="shared" si="67"/>
        <v>0</v>
      </c>
      <c r="Q431">
        <f t="shared" si="68"/>
        <v>448811.17588908132</v>
      </c>
      <c r="R431">
        <f t="shared" si="69"/>
        <v>370048.39701091876</v>
      </c>
      <c r="S431">
        <f t="shared" si="70"/>
        <v>818859.57290000003</v>
      </c>
    </row>
    <row r="432" spans="1:19" x14ac:dyDescent="0.3">
      <c r="A432" t="s">
        <v>13</v>
      </c>
      <c r="B432" t="s">
        <v>25</v>
      </c>
      <c r="C432" t="s">
        <v>15</v>
      </c>
      <c r="D432">
        <v>0</v>
      </c>
      <c r="E432">
        <v>24</v>
      </c>
      <c r="F432">
        <v>4</v>
      </c>
      <c r="G432">
        <v>20260108</v>
      </c>
      <c r="H432">
        <v>20260204</v>
      </c>
      <c r="I432">
        <v>904930.84539999999</v>
      </c>
      <c r="J432">
        <f t="shared" si="61"/>
        <v>28</v>
      </c>
      <c r="K432">
        <f t="shared" si="62"/>
        <v>32318.958764285715</v>
      </c>
      <c r="L432">
        <f t="shared" si="63"/>
        <v>0</v>
      </c>
      <c r="M432">
        <f t="shared" si="64"/>
        <v>775655.0103428571</v>
      </c>
      <c r="N432">
        <f t="shared" si="65"/>
        <v>106588.95790724772</v>
      </c>
      <c r="O432">
        <f t="shared" si="66"/>
        <v>882243.96825010481</v>
      </c>
      <c r="P432">
        <f t="shared" si="67"/>
        <v>0</v>
      </c>
      <c r="Q432">
        <f t="shared" si="68"/>
        <v>795600.95564101811</v>
      </c>
      <c r="R432">
        <f t="shared" si="69"/>
        <v>109329.88975898191</v>
      </c>
      <c r="S432">
        <f t="shared" si="70"/>
        <v>904930.84539999999</v>
      </c>
    </row>
    <row r="433" spans="1:19" x14ac:dyDescent="0.3">
      <c r="A433" t="s">
        <v>13</v>
      </c>
      <c r="B433" t="s">
        <v>25</v>
      </c>
      <c r="C433" t="s">
        <v>15</v>
      </c>
      <c r="D433">
        <v>29</v>
      </c>
      <c r="E433">
        <v>7</v>
      </c>
      <c r="F433">
        <v>0</v>
      </c>
      <c r="G433">
        <v>20251203</v>
      </c>
      <c r="H433">
        <v>20260107</v>
      </c>
      <c r="I433">
        <v>1154703.9129000001</v>
      </c>
      <c r="J433">
        <f t="shared" si="61"/>
        <v>36</v>
      </c>
      <c r="K433">
        <f t="shared" si="62"/>
        <v>32075.108691666668</v>
      </c>
      <c r="L433">
        <f t="shared" si="63"/>
        <v>785745.32140020328</v>
      </c>
      <c r="M433">
        <f t="shared" si="64"/>
        <v>224525.76084166666</v>
      </c>
      <c r="N433">
        <f t="shared" si="65"/>
        <v>0</v>
      </c>
      <c r="O433">
        <f t="shared" si="66"/>
        <v>1010271.08224187</v>
      </c>
      <c r="P433">
        <f t="shared" si="67"/>
        <v>898078.95436372061</v>
      </c>
      <c r="Q433">
        <f t="shared" si="68"/>
        <v>256624.9585362795</v>
      </c>
      <c r="R433">
        <f t="shared" si="69"/>
        <v>0</v>
      </c>
      <c r="S433">
        <f t="shared" si="70"/>
        <v>1154703.9129000001</v>
      </c>
    </row>
    <row r="434" spans="1:19" x14ac:dyDescent="0.3">
      <c r="A434" t="s">
        <v>13</v>
      </c>
      <c r="B434" t="s">
        <v>25</v>
      </c>
      <c r="C434" t="s">
        <v>14</v>
      </c>
      <c r="D434">
        <v>23</v>
      </c>
      <c r="E434">
        <v>1</v>
      </c>
      <c r="F434">
        <v>0</v>
      </c>
      <c r="G434">
        <v>20251209</v>
      </c>
      <c r="H434">
        <v>20260101</v>
      </c>
      <c r="I434">
        <v>229932.90289999999</v>
      </c>
      <c r="J434">
        <f t="shared" si="61"/>
        <v>24</v>
      </c>
      <c r="K434">
        <f t="shared" si="62"/>
        <v>9580.5376208333328</v>
      </c>
      <c r="L434">
        <f t="shared" si="63"/>
        <v>186137.28960892191</v>
      </c>
      <c r="M434">
        <f t="shared" si="64"/>
        <v>9580.5376208333328</v>
      </c>
      <c r="N434">
        <f t="shared" si="65"/>
        <v>0</v>
      </c>
      <c r="O434">
        <f t="shared" si="66"/>
        <v>195717.82722975523</v>
      </c>
      <c r="P434">
        <f t="shared" si="67"/>
        <v>218677.51110620657</v>
      </c>
      <c r="Q434">
        <f t="shared" si="68"/>
        <v>11255.391793793431</v>
      </c>
      <c r="R434">
        <f t="shared" si="69"/>
        <v>0</v>
      </c>
      <c r="S434">
        <f t="shared" si="70"/>
        <v>229932.90289999999</v>
      </c>
    </row>
    <row r="435" spans="1:19" x14ac:dyDescent="0.3">
      <c r="A435" t="s">
        <v>13</v>
      </c>
      <c r="B435" t="s">
        <v>25</v>
      </c>
      <c r="C435" t="s">
        <v>15</v>
      </c>
      <c r="D435">
        <v>16</v>
      </c>
      <c r="E435">
        <v>16</v>
      </c>
      <c r="F435">
        <v>0</v>
      </c>
      <c r="G435">
        <v>20251216</v>
      </c>
      <c r="H435">
        <v>20260116</v>
      </c>
      <c r="I435">
        <v>1393349.5689000001</v>
      </c>
      <c r="J435">
        <f t="shared" si="61"/>
        <v>32</v>
      </c>
      <c r="K435">
        <f t="shared" si="62"/>
        <v>43542.174028125002</v>
      </c>
      <c r="L435">
        <f t="shared" si="63"/>
        <v>588499.04312174534</v>
      </c>
      <c r="M435">
        <f t="shared" si="64"/>
        <v>696674.78445000004</v>
      </c>
      <c r="N435">
        <f t="shared" si="65"/>
        <v>0</v>
      </c>
      <c r="O435">
        <f t="shared" si="66"/>
        <v>1285173.8275717455</v>
      </c>
      <c r="P435">
        <f t="shared" si="67"/>
        <v>638034.22575221281</v>
      </c>
      <c r="Q435">
        <f t="shared" si="68"/>
        <v>755315.34314778715</v>
      </c>
      <c r="R435">
        <f t="shared" si="69"/>
        <v>0</v>
      </c>
      <c r="S435">
        <f t="shared" si="70"/>
        <v>1393349.5688999998</v>
      </c>
    </row>
    <row r="436" spans="1:19" x14ac:dyDescent="0.3">
      <c r="A436" t="s">
        <v>13</v>
      </c>
      <c r="B436" t="s">
        <v>25</v>
      </c>
      <c r="C436" t="s">
        <v>15</v>
      </c>
      <c r="D436">
        <v>0</v>
      </c>
      <c r="E436">
        <v>27</v>
      </c>
      <c r="F436">
        <v>0</v>
      </c>
      <c r="G436">
        <v>20260102</v>
      </c>
      <c r="H436">
        <v>20260128</v>
      </c>
      <c r="I436">
        <v>965.57910000000004</v>
      </c>
      <c r="J436">
        <f t="shared" si="61"/>
        <v>27</v>
      </c>
      <c r="K436">
        <f t="shared" si="62"/>
        <v>35.762188888888893</v>
      </c>
      <c r="L436">
        <f t="shared" si="63"/>
        <v>0</v>
      </c>
      <c r="M436">
        <f t="shared" si="64"/>
        <v>965.57910000000015</v>
      </c>
      <c r="N436">
        <f t="shared" si="65"/>
        <v>0</v>
      </c>
      <c r="O436">
        <f t="shared" si="66"/>
        <v>965.57910000000015</v>
      </c>
      <c r="P436">
        <f t="shared" si="67"/>
        <v>0</v>
      </c>
      <c r="Q436">
        <f t="shared" si="68"/>
        <v>965.57910000000004</v>
      </c>
      <c r="R436">
        <f t="shared" si="69"/>
        <v>0</v>
      </c>
      <c r="S436">
        <f t="shared" si="70"/>
        <v>965.57910000000004</v>
      </c>
    </row>
    <row r="437" spans="1:19" x14ac:dyDescent="0.3">
      <c r="A437" t="s">
        <v>13</v>
      </c>
      <c r="B437" t="s">
        <v>25</v>
      </c>
      <c r="C437" t="s">
        <v>15</v>
      </c>
      <c r="D437">
        <v>0</v>
      </c>
      <c r="E437">
        <v>28</v>
      </c>
      <c r="F437">
        <v>6</v>
      </c>
      <c r="G437">
        <v>20260104</v>
      </c>
      <c r="H437">
        <v>20260206</v>
      </c>
      <c r="I437">
        <v>194899.0416</v>
      </c>
      <c r="J437">
        <f t="shared" si="61"/>
        <v>34</v>
      </c>
      <c r="K437">
        <f t="shared" si="62"/>
        <v>5732.3247529411765</v>
      </c>
      <c r="L437">
        <f t="shared" si="63"/>
        <v>0</v>
      </c>
      <c r="M437">
        <f t="shared" si="64"/>
        <v>160505.09308235295</v>
      </c>
      <c r="N437">
        <f t="shared" si="65"/>
        <v>28358.085091394427</v>
      </c>
      <c r="O437">
        <f t="shared" si="66"/>
        <v>188863.17817374738</v>
      </c>
      <c r="P437">
        <f t="shared" si="67"/>
        <v>0</v>
      </c>
      <c r="Q437">
        <f t="shared" si="68"/>
        <v>165634.66270217474</v>
      </c>
      <c r="R437">
        <f t="shared" si="69"/>
        <v>29264.378897825245</v>
      </c>
      <c r="S437">
        <f t="shared" si="70"/>
        <v>194899.0416</v>
      </c>
    </row>
    <row r="438" spans="1:19" x14ac:dyDescent="0.3">
      <c r="A438" t="s">
        <v>13</v>
      </c>
      <c r="B438" t="s">
        <v>25</v>
      </c>
      <c r="C438" t="s">
        <v>14</v>
      </c>
      <c r="D438">
        <v>30</v>
      </c>
      <c r="E438">
        <v>4</v>
      </c>
      <c r="F438">
        <v>0</v>
      </c>
      <c r="G438">
        <v>20251202</v>
      </c>
      <c r="H438">
        <v>20260104</v>
      </c>
      <c r="I438">
        <v>154720.15599999999</v>
      </c>
      <c r="J438">
        <f t="shared" si="61"/>
        <v>34</v>
      </c>
      <c r="K438">
        <f t="shared" si="62"/>
        <v>4550.5928235294114</v>
      </c>
      <c r="L438">
        <f t="shared" si="63"/>
        <v>115320.07108874801</v>
      </c>
      <c r="M438">
        <f t="shared" si="64"/>
        <v>18202.371294117645</v>
      </c>
      <c r="N438">
        <f t="shared" si="65"/>
        <v>0</v>
      </c>
      <c r="O438">
        <f t="shared" si="66"/>
        <v>133522.44238286564</v>
      </c>
      <c r="P438">
        <f t="shared" si="67"/>
        <v>133628.01840922443</v>
      </c>
      <c r="Q438">
        <f t="shared" si="68"/>
        <v>21092.137590775554</v>
      </c>
      <c r="R438">
        <f t="shared" si="69"/>
        <v>0</v>
      </c>
      <c r="S438">
        <f t="shared" si="70"/>
        <v>154720.15599999999</v>
      </c>
    </row>
    <row r="439" spans="1:19" x14ac:dyDescent="0.3">
      <c r="A439" t="s">
        <v>13</v>
      </c>
      <c r="B439" t="s">
        <v>25</v>
      </c>
      <c r="C439" t="s">
        <v>15</v>
      </c>
      <c r="D439">
        <v>0</v>
      </c>
      <c r="E439">
        <v>27</v>
      </c>
      <c r="F439">
        <v>6</v>
      </c>
      <c r="G439">
        <v>20260105</v>
      </c>
      <c r="H439">
        <v>20260206</v>
      </c>
      <c r="I439">
        <v>512581.13740000001</v>
      </c>
      <c r="J439">
        <f t="shared" si="61"/>
        <v>33</v>
      </c>
      <c r="K439">
        <f t="shared" si="62"/>
        <v>15532.76173939394</v>
      </c>
      <c r="L439">
        <f t="shared" si="63"/>
        <v>0</v>
      </c>
      <c r="M439">
        <f t="shared" si="64"/>
        <v>419384.56696363637</v>
      </c>
      <c r="N439">
        <f t="shared" si="65"/>
        <v>76841.316236328916</v>
      </c>
      <c r="O439">
        <f t="shared" si="66"/>
        <v>496225.88319996529</v>
      </c>
      <c r="P439">
        <f t="shared" si="67"/>
        <v>0</v>
      </c>
      <c r="Q439">
        <f t="shared" si="68"/>
        <v>433207.18571949378</v>
      </c>
      <c r="R439">
        <f t="shared" si="69"/>
        <v>79373.951680506216</v>
      </c>
      <c r="S439">
        <f t="shared" si="70"/>
        <v>512581.13740000001</v>
      </c>
    </row>
    <row r="440" spans="1:19" x14ac:dyDescent="0.3">
      <c r="A440" t="s">
        <v>13</v>
      </c>
      <c r="B440" t="s">
        <v>25</v>
      </c>
      <c r="C440" t="s">
        <v>15</v>
      </c>
      <c r="D440">
        <v>0</v>
      </c>
      <c r="E440">
        <v>23</v>
      </c>
      <c r="F440">
        <v>6</v>
      </c>
      <c r="G440">
        <v>20260109</v>
      </c>
      <c r="H440">
        <v>20260206</v>
      </c>
      <c r="I440">
        <v>155058.1139</v>
      </c>
      <c r="J440">
        <f t="shared" si="61"/>
        <v>29</v>
      </c>
      <c r="K440">
        <f t="shared" si="62"/>
        <v>5346.8315137931031</v>
      </c>
      <c r="L440">
        <f t="shared" si="63"/>
        <v>0</v>
      </c>
      <c r="M440">
        <f t="shared" si="64"/>
        <v>122977.12481724138</v>
      </c>
      <c r="N440">
        <f t="shared" si="65"/>
        <v>26451.031574876659</v>
      </c>
      <c r="O440">
        <f t="shared" si="66"/>
        <v>149428.15639211802</v>
      </c>
      <c r="P440">
        <f t="shared" si="67"/>
        <v>0</v>
      </c>
      <c r="Q440">
        <f t="shared" si="68"/>
        <v>127610.49515305505</v>
      </c>
      <c r="R440">
        <f t="shared" si="69"/>
        <v>27447.618746944958</v>
      </c>
      <c r="S440">
        <f t="shared" si="70"/>
        <v>155058.1139</v>
      </c>
    </row>
    <row r="441" spans="1:19" x14ac:dyDescent="0.3">
      <c r="A441" t="s">
        <v>13</v>
      </c>
      <c r="B441" t="s">
        <v>25</v>
      </c>
      <c r="C441" t="s">
        <v>14</v>
      </c>
      <c r="D441">
        <v>24</v>
      </c>
      <c r="E441">
        <v>4</v>
      </c>
      <c r="F441">
        <v>0</v>
      </c>
      <c r="G441">
        <v>20251208</v>
      </c>
      <c r="H441">
        <v>20260104</v>
      </c>
      <c r="I441">
        <v>4956.5226000000002</v>
      </c>
      <c r="J441">
        <f t="shared" si="61"/>
        <v>28</v>
      </c>
      <c r="K441">
        <f t="shared" si="62"/>
        <v>177.01866428571429</v>
      </c>
      <c r="L441">
        <f t="shared" si="63"/>
        <v>3588.7728462826472</v>
      </c>
      <c r="M441">
        <f t="shared" si="64"/>
        <v>708.07465714285718</v>
      </c>
      <c r="N441">
        <f t="shared" si="65"/>
        <v>0</v>
      </c>
      <c r="O441">
        <f t="shared" si="66"/>
        <v>4296.8475034255043</v>
      </c>
      <c r="P441">
        <f t="shared" si="67"/>
        <v>4139.7405201570609</v>
      </c>
      <c r="Q441">
        <f t="shared" si="68"/>
        <v>816.78207984293897</v>
      </c>
      <c r="R441">
        <f t="shared" si="69"/>
        <v>0</v>
      </c>
      <c r="S441">
        <f t="shared" si="70"/>
        <v>4956.5226000000002</v>
      </c>
    </row>
    <row r="442" spans="1:19" x14ac:dyDescent="0.3">
      <c r="A442" t="s">
        <v>13</v>
      </c>
      <c r="B442" t="s">
        <v>25</v>
      </c>
      <c r="C442" t="s">
        <v>15</v>
      </c>
      <c r="D442">
        <v>0</v>
      </c>
      <c r="E442">
        <v>15</v>
      </c>
      <c r="F442">
        <v>15</v>
      </c>
      <c r="G442">
        <v>20260117</v>
      </c>
      <c r="H442">
        <v>20260215</v>
      </c>
      <c r="I442">
        <v>398806.50679999997</v>
      </c>
      <c r="J442">
        <f t="shared" si="61"/>
        <v>30</v>
      </c>
      <c r="K442">
        <f t="shared" si="62"/>
        <v>13293.550226666666</v>
      </c>
      <c r="L442">
        <f t="shared" si="63"/>
        <v>0</v>
      </c>
      <c r="M442">
        <f t="shared" si="64"/>
        <v>199403.25339999999</v>
      </c>
      <c r="N442">
        <f t="shared" si="65"/>
        <v>164409.57410041883</v>
      </c>
      <c r="O442">
        <f t="shared" si="66"/>
        <v>363812.82750041882</v>
      </c>
      <c r="P442">
        <f t="shared" si="67"/>
        <v>0</v>
      </c>
      <c r="Q442">
        <f t="shared" si="68"/>
        <v>218583.04304269666</v>
      </c>
      <c r="R442">
        <f t="shared" si="69"/>
        <v>180223.46375730334</v>
      </c>
      <c r="S442">
        <f t="shared" si="70"/>
        <v>398806.50679999997</v>
      </c>
    </row>
    <row r="443" spans="1:19" x14ac:dyDescent="0.3">
      <c r="A443" t="s">
        <v>13</v>
      </c>
      <c r="B443" t="s">
        <v>25</v>
      </c>
      <c r="C443" t="s">
        <v>15</v>
      </c>
      <c r="D443">
        <v>0</v>
      </c>
      <c r="E443">
        <v>25</v>
      </c>
      <c r="F443">
        <v>7</v>
      </c>
      <c r="G443">
        <v>20260107</v>
      </c>
      <c r="H443">
        <v>20260207</v>
      </c>
      <c r="I443">
        <v>216974.79519999999</v>
      </c>
      <c r="J443">
        <f t="shared" si="61"/>
        <v>32</v>
      </c>
      <c r="K443">
        <f t="shared" si="62"/>
        <v>6780.4623499999998</v>
      </c>
      <c r="L443">
        <f t="shared" si="63"/>
        <v>0</v>
      </c>
      <c r="M443">
        <f t="shared" si="64"/>
        <v>169511.55875</v>
      </c>
      <c r="N443">
        <f t="shared" si="65"/>
        <v>39133.817312992622</v>
      </c>
      <c r="O443">
        <f t="shared" si="66"/>
        <v>208645.37606299261</v>
      </c>
      <c r="P443">
        <f t="shared" si="67"/>
        <v>0</v>
      </c>
      <c r="Q443">
        <f t="shared" si="68"/>
        <v>176278.70043336001</v>
      </c>
      <c r="R443">
        <f t="shared" si="69"/>
        <v>40696.094766640002</v>
      </c>
      <c r="S443">
        <f t="shared" si="70"/>
        <v>216974.79519999999</v>
      </c>
    </row>
    <row r="444" spans="1:19" x14ac:dyDescent="0.3">
      <c r="A444" t="s">
        <v>13</v>
      </c>
      <c r="B444" t="s">
        <v>25</v>
      </c>
      <c r="C444" t="s">
        <v>15</v>
      </c>
      <c r="D444">
        <v>0</v>
      </c>
      <c r="E444">
        <v>14</v>
      </c>
      <c r="F444">
        <v>19</v>
      </c>
      <c r="G444">
        <v>20260118</v>
      </c>
      <c r="H444">
        <v>20260219</v>
      </c>
      <c r="I444">
        <v>49849.076999999997</v>
      </c>
      <c r="J444">
        <f t="shared" si="61"/>
        <v>33</v>
      </c>
      <c r="K444">
        <f t="shared" si="62"/>
        <v>1510.5780909090909</v>
      </c>
      <c r="L444">
        <f t="shared" si="63"/>
        <v>0</v>
      </c>
      <c r="M444">
        <f t="shared" si="64"/>
        <v>21148.093272727274</v>
      </c>
      <c r="N444">
        <f t="shared" si="65"/>
        <v>23664.190179476584</v>
      </c>
      <c r="O444">
        <f t="shared" si="66"/>
        <v>44812.283452203861</v>
      </c>
      <c r="P444">
        <f t="shared" si="67"/>
        <v>0</v>
      </c>
      <c r="Q444">
        <f t="shared" si="68"/>
        <v>23525.088407507112</v>
      </c>
      <c r="R444">
        <f t="shared" si="69"/>
        <v>26323.988592492882</v>
      </c>
      <c r="S444">
        <f t="shared" si="70"/>
        <v>49849.07699999999</v>
      </c>
    </row>
    <row r="445" spans="1:19" x14ac:dyDescent="0.3">
      <c r="A445" t="s">
        <v>13</v>
      </c>
      <c r="B445" t="s">
        <v>25</v>
      </c>
      <c r="C445" t="s">
        <v>14</v>
      </c>
      <c r="D445">
        <v>28</v>
      </c>
      <c r="E445">
        <v>8</v>
      </c>
      <c r="F445">
        <v>0</v>
      </c>
      <c r="G445">
        <v>20251204</v>
      </c>
      <c r="H445">
        <v>20260108</v>
      </c>
      <c r="I445">
        <v>268578.53879999998</v>
      </c>
      <c r="J445">
        <f t="shared" si="61"/>
        <v>36</v>
      </c>
      <c r="K445">
        <f t="shared" si="62"/>
        <v>7460.5149666666657</v>
      </c>
      <c r="L445">
        <f t="shared" si="63"/>
        <v>176458.46882668266</v>
      </c>
      <c r="M445">
        <f t="shared" si="64"/>
        <v>59684.119733333326</v>
      </c>
      <c r="N445">
        <f t="shared" si="65"/>
        <v>0</v>
      </c>
      <c r="O445">
        <f t="shared" si="66"/>
        <v>236142.58856001598</v>
      </c>
      <c r="P445">
        <f t="shared" si="67"/>
        <v>200696.35894717393</v>
      </c>
      <c r="Q445">
        <f t="shared" si="68"/>
        <v>67882.179852826055</v>
      </c>
      <c r="R445">
        <f t="shared" si="69"/>
        <v>0</v>
      </c>
      <c r="S445">
        <f t="shared" si="70"/>
        <v>268578.53879999998</v>
      </c>
    </row>
    <row r="446" spans="1:19" x14ac:dyDescent="0.3">
      <c r="A446" t="s">
        <v>13</v>
      </c>
      <c r="B446" t="s">
        <v>25</v>
      </c>
      <c r="C446" t="s">
        <v>15</v>
      </c>
      <c r="D446">
        <v>27</v>
      </c>
      <c r="E446">
        <v>8</v>
      </c>
      <c r="F446">
        <v>0</v>
      </c>
      <c r="G446">
        <v>20251205</v>
      </c>
      <c r="H446">
        <v>20260108</v>
      </c>
      <c r="I446">
        <v>203945.89679999999</v>
      </c>
      <c r="J446">
        <f t="shared" si="61"/>
        <v>35</v>
      </c>
      <c r="K446">
        <f t="shared" si="62"/>
        <v>5827.0256228571425</v>
      </c>
      <c r="L446">
        <f t="shared" si="63"/>
        <v>132900.42234286244</v>
      </c>
      <c r="M446">
        <f t="shared" si="64"/>
        <v>46616.20498285714</v>
      </c>
      <c r="N446">
        <f t="shared" si="65"/>
        <v>0</v>
      </c>
      <c r="O446">
        <f t="shared" si="66"/>
        <v>179516.62732571957</v>
      </c>
      <c r="P446">
        <f t="shared" si="67"/>
        <v>150985.99067725768</v>
      </c>
      <c r="Q446">
        <f t="shared" si="68"/>
        <v>52959.906122742323</v>
      </c>
      <c r="R446">
        <f t="shared" si="69"/>
        <v>0</v>
      </c>
      <c r="S446">
        <f t="shared" si="70"/>
        <v>203945.89679999999</v>
      </c>
    </row>
    <row r="447" spans="1:19" x14ac:dyDescent="0.3">
      <c r="A447" t="s">
        <v>13</v>
      </c>
      <c r="B447" t="s">
        <v>25</v>
      </c>
      <c r="C447" t="s">
        <v>15</v>
      </c>
      <c r="D447">
        <v>0</v>
      </c>
      <c r="E447">
        <v>12</v>
      </c>
      <c r="F447">
        <v>0</v>
      </c>
      <c r="G447">
        <v>20260104</v>
      </c>
      <c r="H447">
        <v>20260115</v>
      </c>
      <c r="I447">
        <v>41.951099999999997</v>
      </c>
      <c r="J447">
        <f t="shared" si="61"/>
        <v>12</v>
      </c>
      <c r="K447">
        <f t="shared" si="62"/>
        <v>3.4959249999999997</v>
      </c>
      <c r="L447">
        <f t="shared" si="63"/>
        <v>0</v>
      </c>
      <c r="M447">
        <f t="shared" si="64"/>
        <v>41.951099999999997</v>
      </c>
      <c r="N447">
        <f t="shared" si="65"/>
        <v>0</v>
      </c>
      <c r="O447">
        <f t="shared" si="66"/>
        <v>41.951099999999997</v>
      </c>
      <c r="P447">
        <f t="shared" si="67"/>
        <v>0</v>
      </c>
      <c r="Q447">
        <f t="shared" si="68"/>
        <v>41.951099999999997</v>
      </c>
      <c r="R447">
        <f t="shared" si="69"/>
        <v>0</v>
      </c>
      <c r="S447">
        <f t="shared" si="70"/>
        <v>41.951099999999997</v>
      </c>
    </row>
    <row r="448" spans="1:19" x14ac:dyDescent="0.3">
      <c r="A448" t="s">
        <v>13</v>
      </c>
      <c r="B448" t="s">
        <v>25</v>
      </c>
      <c r="C448" t="s">
        <v>14</v>
      </c>
      <c r="D448">
        <v>15</v>
      </c>
      <c r="E448">
        <v>18</v>
      </c>
      <c r="F448">
        <v>0</v>
      </c>
      <c r="G448">
        <v>20251217</v>
      </c>
      <c r="H448">
        <v>20260118</v>
      </c>
      <c r="I448">
        <v>18088.1502</v>
      </c>
      <c r="J448">
        <f t="shared" si="61"/>
        <v>33</v>
      </c>
      <c r="K448">
        <f t="shared" si="62"/>
        <v>548.12576363636367</v>
      </c>
      <c r="L448">
        <f t="shared" si="63"/>
        <v>6945.2381787802478</v>
      </c>
      <c r="M448">
        <f t="shared" si="64"/>
        <v>9866.2637454545456</v>
      </c>
      <c r="N448">
        <f t="shared" si="65"/>
        <v>0</v>
      </c>
      <c r="O448">
        <f t="shared" si="66"/>
        <v>16811.501924234792</v>
      </c>
      <c r="P448">
        <f t="shared" si="67"/>
        <v>7472.6524684539572</v>
      </c>
      <c r="Q448">
        <f t="shared" si="68"/>
        <v>10615.497731546046</v>
      </c>
      <c r="R448">
        <f t="shared" si="69"/>
        <v>0</v>
      </c>
      <c r="S448">
        <f t="shared" si="70"/>
        <v>18088.150200000004</v>
      </c>
    </row>
    <row r="449" spans="1:19" x14ac:dyDescent="0.3">
      <c r="A449" t="s">
        <v>13</v>
      </c>
      <c r="B449" t="s">
        <v>25</v>
      </c>
      <c r="C449" t="s">
        <v>14</v>
      </c>
      <c r="D449">
        <v>0</v>
      </c>
      <c r="E449">
        <v>19</v>
      </c>
      <c r="F449">
        <v>0</v>
      </c>
      <c r="G449">
        <v>20260109</v>
      </c>
      <c r="H449">
        <v>20260127</v>
      </c>
      <c r="I449">
        <v>168.02959999999999</v>
      </c>
      <c r="J449">
        <f t="shared" si="61"/>
        <v>19</v>
      </c>
      <c r="K449">
        <f t="shared" si="62"/>
        <v>8.8436631578947367</v>
      </c>
      <c r="L449">
        <f t="shared" si="63"/>
        <v>0</v>
      </c>
      <c r="M449">
        <f t="shared" si="64"/>
        <v>168.02959999999999</v>
      </c>
      <c r="N449">
        <f t="shared" si="65"/>
        <v>0</v>
      </c>
      <c r="O449">
        <f t="shared" si="66"/>
        <v>168.02959999999999</v>
      </c>
      <c r="P449">
        <f t="shared" si="67"/>
        <v>0</v>
      </c>
      <c r="Q449">
        <f t="shared" si="68"/>
        <v>168.02959999999999</v>
      </c>
      <c r="R449">
        <f t="shared" si="69"/>
        <v>0</v>
      </c>
      <c r="S449">
        <f t="shared" si="70"/>
        <v>168.02959999999999</v>
      </c>
    </row>
    <row r="450" spans="1:19" x14ac:dyDescent="0.3">
      <c r="A450" t="s">
        <v>13</v>
      </c>
      <c r="B450" t="s">
        <v>25</v>
      </c>
      <c r="C450" t="s">
        <v>14</v>
      </c>
      <c r="D450">
        <v>0</v>
      </c>
      <c r="E450">
        <v>19</v>
      </c>
      <c r="F450">
        <v>0</v>
      </c>
      <c r="G450">
        <v>20260102</v>
      </c>
      <c r="H450">
        <v>20260120</v>
      </c>
      <c r="I450">
        <v>3020.8325</v>
      </c>
      <c r="J450">
        <f t="shared" si="61"/>
        <v>19</v>
      </c>
      <c r="K450">
        <f t="shared" si="62"/>
        <v>158.99118421052631</v>
      </c>
      <c r="L450">
        <f t="shared" si="63"/>
        <v>0</v>
      </c>
      <c r="M450">
        <f t="shared" si="64"/>
        <v>3020.8325</v>
      </c>
      <c r="N450">
        <f t="shared" si="65"/>
        <v>0</v>
      </c>
      <c r="O450">
        <f t="shared" si="66"/>
        <v>3020.8325</v>
      </c>
      <c r="P450">
        <f t="shared" si="67"/>
        <v>0</v>
      </c>
      <c r="Q450">
        <f t="shared" si="68"/>
        <v>3020.8325</v>
      </c>
      <c r="R450">
        <f t="shared" si="69"/>
        <v>0</v>
      </c>
      <c r="S450">
        <f t="shared" si="70"/>
        <v>3020.8325</v>
      </c>
    </row>
    <row r="451" spans="1:19" x14ac:dyDescent="0.3">
      <c r="A451" t="s">
        <v>13</v>
      </c>
      <c r="B451" t="s">
        <v>25</v>
      </c>
      <c r="C451" t="s">
        <v>14</v>
      </c>
      <c r="D451">
        <v>23</v>
      </c>
      <c r="E451">
        <v>2</v>
      </c>
      <c r="F451">
        <v>0</v>
      </c>
      <c r="G451">
        <v>20251209</v>
      </c>
      <c r="H451">
        <v>20260102</v>
      </c>
      <c r="I451">
        <v>630.12570000000005</v>
      </c>
      <c r="J451">
        <f t="shared" si="61"/>
        <v>25</v>
      </c>
      <c r="K451">
        <f t="shared" si="62"/>
        <v>25.205028000000002</v>
      </c>
      <c r="L451">
        <f t="shared" si="63"/>
        <v>489.70066003758376</v>
      </c>
      <c r="M451">
        <f t="shared" si="64"/>
        <v>50.410056000000004</v>
      </c>
      <c r="N451">
        <f t="shared" si="65"/>
        <v>0</v>
      </c>
      <c r="O451">
        <f t="shared" si="66"/>
        <v>540.11071603758376</v>
      </c>
      <c r="P451">
        <f t="shared" si="67"/>
        <v>571.31429174453251</v>
      </c>
      <c r="Q451">
        <f t="shared" si="68"/>
        <v>58.811408255467477</v>
      </c>
      <c r="R451">
        <f t="shared" si="69"/>
        <v>0</v>
      </c>
      <c r="S451">
        <f t="shared" si="70"/>
        <v>630.12569999999994</v>
      </c>
    </row>
    <row r="452" spans="1:19" x14ac:dyDescent="0.3">
      <c r="A452" t="s">
        <v>13</v>
      </c>
      <c r="B452" t="s">
        <v>25</v>
      </c>
      <c r="C452" t="s">
        <v>15</v>
      </c>
      <c r="D452">
        <v>24</v>
      </c>
      <c r="E452">
        <v>2</v>
      </c>
      <c r="F452">
        <v>0</v>
      </c>
      <c r="G452">
        <v>20251208</v>
      </c>
      <c r="H452">
        <v>20260102</v>
      </c>
      <c r="I452">
        <v>23610.9323</v>
      </c>
      <c r="J452">
        <f t="shared" si="61"/>
        <v>26</v>
      </c>
      <c r="K452">
        <f t="shared" si="62"/>
        <v>908.11278076923077</v>
      </c>
      <c r="L452">
        <f t="shared" si="63"/>
        <v>18410.547284023593</v>
      </c>
      <c r="M452">
        <f t="shared" si="64"/>
        <v>1816.2255615384615</v>
      </c>
      <c r="N452">
        <f t="shared" si="65"/>
        <v>0</v>
      </c>
      <c r="O452">
        <f t="shared" si="66"/>
        <v>20226.772845562053</v>
      </c>
      <c r="P452">
        <f t="shared" si="67"/>
        <v>21490.832415434234</v>
      </c>
      <c r="Q452">
        <f t="shared" si="68"/>
        <v>2120.0998845657673</v>
      </c>
      <c r="R452">
        <f t="shared" si="69"/>
        <v>0</v>
      </c>
      <c r="S452">
        <f t="shared" si="70"/>
        <v>23610.9323</v>
      </c>
    </row>
    <row r="453" spans="1:19" x14ac:dyDescent="0.3">
      <c r="A453" t="s">
        <v>13</v>
      </c>
      <c r="B453" t="s">
        <v>25</v>
      </c>
      <c r="C453" t="s">
        <v>15</v>
      </c>
      <c r="D453">
        <v>23</v>
      </c>
      <c r="E453">
        <v>2</v>
      </c>
      <c r="F453">
        <v>0</v>
      </c>
      <c r="G453">
        <v>20251209</v>
      </c>
      <c r="H453">
        <v>20260102</v>
      </c>
      <c r="I453">
        <v>90486.054799999998</v>
      </c>
      <c r="J453">
        <f t="shared" si="61"/>
        <v>25</v>
      </c>
      <c r="K453">
        <f t="shared" si="62"/>
        <v>3619.442192</v>
      </c>
      <c r="L453">
        <f t="shared" si="63"/>
        <v>70321.01810758865</v>
      </c>
      <c r="M453">
        <f t="shared" si="64"/>
        <v>7238.884384</v>
      </c>
      <c r="N453">
        <f t="shared" si="65"/>
        <v>0</v>
      </c>
      <c r="O453">
        <f t="shared" si="66"/>
        <v>77559.902491588655</v>
      </c>
      <c r="P453">
        <f t="shared" si="67"/>
        <v>82040.736175050406</v>
      </c>
      <c r="Q453">
        <f t="shared" si="68"/>
        <v>8445.3186249495957</v>
      </c>
      <c r="R453">
        <f t="shared" si="69"/>
        <v>0</v>
      </c>
      <c r="S453">
        <f t="shared" si="70"/>
        <v>90486.054799999998</v>
      </c>
    </row>
    <row r="454" spans="1:19" x14ac:dyDescent="0.3">
      <c r="A454" t="s">
        <v>13</v>
      </c>
      <c r="B454" t="s">
        <v>25</v>
      </c>
      <c r="C454" t="s">
        <v>15</v>
      </c>
      <c r="D454">
        <v>0</v>
      </c>
      <c r="E454">
        <v>23</v>
      </c>
      <c r="F454">
        <v>2</v>
      </c>
      <c r="G454">
        <v>20260109</v>
      </c>
      <c r="H454">
        <v>20260202</v>
      </c>
      <c r="I454">
        <v>158866.39199999999</v>
      </c>
      <c r="J454">
        <f t="shared" si="61"/>
        <v>25</v>
      </c>
      <c r="K454">
        <f t="shared" si="62"/>
        <v>6354.6556799999998</v>
      </c>
      <c r="L454">
        <f t="shared" si="63"/>
        <v>0</v>
      </c>
      <c r="M454">
        <f t="shared" si="64"/>
        <v>146157.08064</v>
      </c>
      <c r="N454">
        <f t="shared" si="65"/>
        <v>10478.928664296382</v>
      </c>
      <c r="O454">
        <f t="shared" si="66"/>
        <v>156636.00930429637</v>
      </c>
      <c r="P454">
        <f t="shared" si="67"/>
        <v>0</v>
      </c>
      <c r="Q454">
        <f t="shared" si="68"/>
        <v>148238.25102324644</v>
      </c>
      <c r="R454">
        <f t="shared" si="69"/>
        <v>10628.140976753568</v>
      </c>
      <c r="S454">
        <f t="shared" si="70"/>
        <v>158866.39200000002</v>
      </c>
    </row>
    <row r="455" spans="1:19" x14ac:dyDescent="0.3">
      <c r="A455" t="s">
        <v>13</v>
      </c>
      <c r="B455" t="s">
        <v>25</v>
      </c>
      <c r="C455" t="s">
        <v>15</v>
      </c>
      <c r="D455">
        <v>0</v>
      </c>
      <c r="E455">
        <v>22</v>
      </c>
      <c r="F455">
        <v>2</v>
      </c>
      <c r="G455">
        <v>20260110</v>
      </c>
      <c r="H455">
        <v>20260202</v>
      </c>
      <c r="I455">
        <v>2017.5407</v>
      </c>
      <c r="J455">
        <f t="shared" si="61"/>
        <v>24</v>
      </c>
      <c r="K455">
        <f t="shared" si="62"/>
        <v>84.064195833333329</v>
      </c>
      <c r="L455">
        <f t="shared" si="63"/>
        <v>0</v>
      </c>
      <c r="M455">
        <f t="shared" si="64"/>
        <v>1849.4123083333332</v>
      </c>
      <c r="N455">
        <f t="shared" si="65"/>
        <v>138.62320095979473</v>
      </c>
      <c r="O455">
        <f t="shared" si="66"/>
        <v>1988.0355092931279</v>
      </c>
      <c r="P455">
        <f t="shared" si="67"/>
        <v>0</v>
      </c>
      <c r="Q455">
        <f t="shared" si="68"/>
        <v>1876.8601394198179</v>
      </c>
      <c r="R455">
        <f t="shared" si="69"/>
        <v>140.68056058018203</v>
      </c>
      <c r="S455">
        <f t="shared" si="70"/>
        <v>2017.5407</v>
      </c>
    </row>
    <row r="456" spans="1:19" x14ac:dyDescent="0.3">
      <c r="A456" t="s">
        <v>13</v>
      </c>
      <c r="B456" t="s">
        <v>25</v>
      </c>
      <c r="C456" t="s">
        <v>14</v>
      </c>
      <c r="D456">
        <v>0</v>
      </c>
      <c r="E456">
        <v>28</v>
      </c>
      <c r="F456">
        <v>8</v>
      </c>
      <c r="G456">
        <v>20260104</v>
      </c>
      <c r="H456">
        <v>20260208</v>
      </c>
      <c r="I456">
        <v>1596.9568999999999</v>
      </c>
      <c r="J456">
        <f t="shared" si="61"/>
        <v>36</v>
      </c>
      <c r="K456">
        <f t="shared" si="62"/>
        <v>44.359913888888883</v>
      </c>
      <c r="L456">
        <f t="shared" si="63"/>
        <v>0</v>
      </c>
      <c r="M456">
        <f t="shared" si="64"/>
        <v>1242.0775888888888</v>
      </c>
      <c r="N456">
        <f t="shared" si="65"/>
        <v>292.60082472068535</v>
      </c>
      <c r="O456">
        <f t="shared" si="66"/>
        <v>1534.6784136095741</v>
      </c>
      <c r="P456">
        <f t="shared" si="67"/>
        <v>0</v>
      </c>
      <c r="Q456">
        <f t="shared" si="68"/>
        <v>1292.482098087354</v>
      </c>
      <c r="R456">
        <f t="shared" si="69"/>
        <v>304.47480191264606</v>
      </c>
      <c r="S456">
        <f t="shared" si="70"/>
        <v>1596.9569000000001</v>
      </c>
    </row>
    <row r="457" spans="1:19" x14ac:dyDescent="0.3">
      <c r="A457" t="s">
        <v>13</v>
      </c>
      <c r="B457" t="s">
        <v>25</v>
      </c>
      <c r="C457" t="s">
        <v>15</v>
      </c>
      <c r="D457">
        <v>0</v>
      </c>
      <c r="E457">
        <v>16</v>
      </c>
      <c r="F457">
        <v>0</v>
      </c>
      <c r="G457">
        <v>20260106</v>
      </c>
      <c r="H457">
        <v>20260121</v>
      </c>
      <c r="I457">
        <v>15234.335300000001</v>
      </c>
      <c r="J457">
        <f t="shared" si="61"/>
        <v>16</v>
      </c>
      <c r="K457">
        <f t="shared" si="62"/>
        <v>952.14595625000004</v>
      </c>
      <c r="L457">
        <f t="shared" si="63"/>
        <v>0</v>
      </c>
      <c r="M457">
        <f t="shared" si="64"/>
        <v>15234.335300000001</v>
      </c>
      <c r="N457">
        <f t="shared" si="65"/>
        <v>0</v>
      </c>
      <c r="O457">
        <f t="shared" si="66"/>
        <v>15234.335300000001</v>
      </c>
      <c r="P457">
        <f t="shared" si="67"/>
        <v>0</v>
      </c>
      <c r="Q457">
        <f t="shared" si="68"/>
        <v>15234.335300000001</v>
      </c>
      <c r="R457">
        <f t="shared" si="69"/>
        <v>0</v>
      </c>
      <c r="S457">
        <f t="shared" si="70"/>
        <v>15234.335300000001</v>
      </c>
    </row>
    <row r="458" spans="1:19" x14ac:dyDescent="0.3">
      <c r="A458" t="s">
        <v>13</v>
      </c>
      <c r="B458" t="s">
        <v>25</v>
      </c>
      <c r="C458" t="s">
        <v>14</v>
      </c>
      <c r="D458">
        <v>14</v>
      </c>
      <c r="E458">
        <v>17</v>
      </c>
      <c r="F458">
        <v>0</v>
      </c>
      <c r="G458">
        <v>20251218</v>
      </c>
      <c r="H458">
        <v>20260117</v>
      </c>
      <c r="I458">
        <v>251.81909999999999</v>
      </c>
      <c r="J458">
        <f t="shared" si="61"/>
        <v>31</v>
      </c>
      <c r="K458">
        <f t="shared" si="62"/>
        <v>8.1231967741935485</v>
      </c>
      <c r="L458">
        <f t="shared" si="63"/>
        <v>96.066214675290922</v>
      </c>
      <c r="M458">
        <f t="shared" si="64"/>
        <v>138.09434516129033</v>
      </c>
      <c r="N458">
        <f t="shared" si="65"/>
        <v>0</v>
      </c>
      <c r="O458">
        <f t="shared" si="66"/>
        <v>234.16055983658126</v>
      </c>
      <c r="P458">
        <f t="shared" si="67"/>
        <v>103.31076991283872</v>
      </c>
      <c r="Q458">
        <f t="shared" si="68"/>
        <v>148.50833008716126</v>
      </c>
      <c r="R458">
        <f t="shared" si="69"/>
        <v>0</v>
      </c>
      <c r="S458">
        <f t="shared" si="70"/>
        <v>251.81909999999999</v>
      </c>
    </row>
    <row r="459" spans="1:19" x14ac:dyDescent="0.3">
      <c r="A459" t="s">
        <v>13</v>
      </c>
      <c r="B459" t="s">
        <v>25</v>
      </c>
      <c r="C459" t="s">
        <v>15</v>
      </c>
      <c r="D459">
        <v>29</v>
      </c>
      <c r="E459">
        <v>10</v>
      </c>
      <c r="F459">
        <v>0</v>
      </c>
      <c r="G459">
        <v>20251203</v>
      </c>
      <c r="H459">
        <v>20260110</v>
      </c>
      <c r="I459">
        <v>10503.083699999999</v>
      </c>
      <c r="J459">
        <f t="shared" ref="J459:J522" si="71">IF(D459&lt;0,0,D459)+E459+F459</f>
        <v>39</v>
      </c>
      <c r="K459">
        <f t="shared" ref="K459:K522" si="72">I459/J459</f>
        <v>269.30983846153845</v>
      </c>
      <c r="L459">
        <f t="shared" ref="L459:L522" si="73">IF(D459&lt;0,0,D459)*$K459*$B$6</f>
        <v>6597.2947313246605</v>
      </c>
      <c r="M459">
        <f t="shared" ref="M459:M522" si="74">IF(E459&lt;0,0,E459)*$K459*$C$6</f>
        <v>2693.0983846153845</v>
      </c>
      <c r="N459">
        <f t="shared" ref="N459:N522" si="75">IF(F459&lt;0,0,F459)*$K459*$D$6</f>
        <v>0</v>
      </c>
      <c r="O459">
        <f t="shared" ref="O459:O522" si="76">L459+M459+N459</f>
        <v>9290.3931159400454</v>
      </c>
      <c r="P459">
        <f t="shared" ref="P459:P522" si="77">L459/$O459*$I459</f>
        <v>7458.4506696260114</v>
      </c>
      <c r="Q459">
        <f t="shared" ref="Q459:Q522" si="78">M459/$O459*$I459</f>
        <v>3044.6330303739878</v>
      </c>
      <c r="R459">
        <f t="shared" ref="R459:R522" si="79">N459/$O459*$I459</f>
        <v>0</v>
      </c>
      <c r="S459">
        <f t="shared" ref="S459:S522" si="80">P459+Q459+R459</f>
        <v>10503.083699999999</v>
      </c>
    </row>
    <row r="460" spans="1:19" x14ac:dyDescent="0.3">
      <c r="A460" t="s">
        <v>13</v>
      </c>
      <c r="B460" t="s">
        <v>25</v>
      </c>
      <c r="C460" t="s">
        <v>15</v>
      </c>
      <c r="D460">
        <v>0</v>
      </c>
      <c r="E460">
        <v>22</v>
      </c>
      <c r="F460">
        <v>0</v>
      </c>
      <c r="G460">
        <v>20260102</v>
      </c>
      <c r="H460">
        <v>20260123</v>
      </c>
      <c r="I460">
        <v>46578.8465</v>
      </c>
      <c r="J460">
        <f t="shared" si="71"/>
        <v>22</v>
      </c>
      <c r="K460">
        <f t="shared" si="72"/>
        <v>2117.2202954545455</v>
      </c>
      <c r="L460">
        <f t="shared" si="73"/>
        <v>0</v>
      </c>
      <c r="M460">
        <f t="shared" si="74"/>
        <v>46578.8465</v>
      </c>
      <c r="N460">
        <f t="shared" si="75"/>
        <v>0</v>
      </c>
      <c r="O460">
        <f t="shared" si="76"/>
        <v>46578.8465</v>
      </c>
      <c r="P460">
        <f t="shared" si="77"/>
        <v>0</v>
      </c>
      <c r="Q460">
        <f t="shared" si="78"/>
        <v>46578.8465</v>
      </c>
      <c r="R460">
        <f t="shared" si="79"/>
        <v>0</v>
      </c>
      <c r="S460">
        <f t="shared" si="80"/>
        <v>46578.8465</v>
      </c>
    </row>
    <row r="461" spans="1:19" x14ac:dyDescent="0.3">
      <c r="A461" t="s">
        <v>13</v>
      </c>
      <c r="B461" t="s">
        <v>25</v>
      </c>
      <c r="C461" t="s">
        <v>15</v>
      </c>
      <c r="D461">
        <v>0</v>
      </c>
      <c r="E461">
        <v>28</v>
      </c>
      <c r="F461">
        <v>9</v>
      </c>
      <c r="G461">
        <v>20260104</v>
      </c>
      <c r="H461">
        <v>20260209</v>
      </c>
      <c r="I461">
        <v>6682.9466000000002</v>
      </c>
      <c r="J461">
        <f t="shared" si="71"/>
        <v>37</v>
      </c>
      <c r="K461">
        <f t="shared" si="72"/>
        <v>180.6201783783784</v>
      </c>
      <c r="L461">
        <f t="shared" si="73"/>
        <v>0</v>
      </c>
      <c r="M461">
        <f t="shared" si="74"/>
        <v>5057.3649945945954</v>
      </c>
      <c r="N461">
        <f t="shared" si="75"/>
        <v>1340.3050093373142</v>
      </c>
      <c r="O461">
        <f t="shared" si="76"/>
        <v>6397.6700039319094</v>
      </c>
      <c r="P461">
        <f t="shared" si="77"/>
        <v>0</v>
      </c>
      <c r="Q461">
        <f t="shared" si="78"/>
        <v>5282.8764495219639</v>
      </c>
      <c r="R461">
        <f t="shared" si="79"/>
        <v>1400.070150478037</v>
      </c>
      <c r="S461">
        <f t="shared" si="80"/>
        <v>6682.9466000000011</v>
      </c>
    </row>
    <row r="462" spans="1:19" x14ac:dyDescent="0.3">
      <c r="A462" t="s">
        <v>13</v>
      </c>
      <c r="B462" t="s">
        <v>25</v>
      </c>
      <c r="C462" t="s">
        <v>15</v>
      </c>
      <c r="D462">
        <v>0</v>
      </c>
      <c r="E462">
        <v>20</v>
      </c>
      <c r="F462">
        <v>0</v>
      </c>
      <c r="G462">
        <v>20260104</v>
      </c>
      <c r="H462">
        <v>20260123</v>
      </c>
      <c r="I462">
        <v>419.649</v>
      </c>
      <c r="J462">
        <f t="shared" si="71"/>
        <v>20</v>
      </c>
      <c r="K462">
        <f t="shared" si="72"/>
        <v>20.98245</v>
      </c>
      <c r="L462">
        <f t="shared" si="73"/>
        <v>0</v>
      </c>
      <c r="M462">
        <f t="shared" si="74"/>
        <v>419.649</v>
      </c>
      <c r="N462">
        <f t="shared" si="75"/>
        <v>0</v>
      </c>
      <c r="O462">
        <f t="shared" si="76"/>
        <v>419.649</v>
      </c>
      <c r="P462">
        <f t="shared" si="77"/>
        <v>0</v>
      </c>
      <c r="Q462">
        <f t="shared" si="78"/>
        <v>419.649</v>
      </c>
      <c r="R462">
        <f t="shared" si="79"/>
        <v>0</v>
      </c>
      <c r="S462">
        <f t="shared" si="80"/>
        <v>419.649</v>
      </c>
    </row>
    <row r="463" spans="1:19" x14ac:dyDescent="0.3">
      <c r="A463" t="s">
        <v>13</v>
      </c>
      <c r="B463" t="s">
        <v>25</v>
      </c>
      <c r="C463" t="s">
        <v>14</v>
      </c>
      <c r="D463">
        <v>0</v>
      </c>
      <c r="E463">
        <v>19</v>
      </c>
      <c r="F463">
        <v>2</v>
      </c>
      <c r="G463">
        <v>20260113</v>
      </c>
      <c r="H463">
        <v>20260202</v>
      </c>
      <c r="I463">
        <v>42.030099999999997</v>
      </c>
      <c r="J463">
        <f t="shared" si="71"/>
        <v>21</v>
      </c>
      <c r="K463">
        <f t="shared" si="72"/>
        <v>2.0014333333333334</v>
      </c>
      <c r="L463">
        <f t="shared" si="73"/>
        <v>0</v>
      </c>
      <c r="M463">
        <f t="shared" si="74"/>
        <v>38.027233333333335</v>
      </c>
      <c r="N463">
        <f t="shared" si="75"/>
        <v>3.300395518258028</v>
      </c>
      <c r="O463">
        <f t="shared" si="76"/>
        <v>41.327628851591363</v>
      </c>
      <c r="P463">
        <f t="shared" si="77"/>
        <v>0</v>
      </c>
      <c r="Q463">
        <f t="shared" si="78"/>
        <v>38.67360562743221</v>
      </c>
      <c r="R463">
        <f t="shared" si="79"/>
        <v>3.3564943725677923</v>
      </c>
      <c r="S463">
        <f t="shared" si="80"/>
        <v>42.030100000000004</v>
      </c>
    </row>
    <row r="464" spans="1:19" x14ac:dyDescent="0.3">
      <c r="A464" t="s">
        <v>13</v>
      </c>
      <c r="B464" t="s">
        <v>25</v>
      </c>
      <c r="C464" t="s">
        <v>15</v>
      </c>
      <c r="D464">
        <v>0</v>
      </c>
      <c r="E464">
        <v>13</v>
      </c>
      <c r="F464">
        <v>0</v>
      </c>
      <c r="G464">
        <v>20260107</v>
      </c>
      <c r="H464">
        <v>20260119</v>
      </c>
      <c r="I464">
        <v>587.48090000000002</v>
      </c>
      <c r="J464">
        <f t="shared" si="71"/>
        <v>13</v>
      </c>
      <c r="K464">
        <f t="shared" si="72"/>
        <v>45.190838461538462</v>
      </c>
      <c r="L464">
        <f t="shared" si="73"/>
        <v>0</v>
      </c>
      <c r="M464">
        <f t="shared" si="74"/>
        <v>587.48090000000002</v>
      </c>
      <c r="N464">
        <f t="shared" si="75"/>
        <v>0</v>
      </c>
      <c r="O464">
        <f t="shared" si="76"/>
        <v>587.48090000000002</v>
      </c>
      <c r="P464">
        <f t="shared" si="77"/>
        <v>0</v>
      </c>
      <c r="Q464">
        <f t="shared" si="78"/>
        <v>587.48090000000002</v>
      </c>
      <c r="R464">
        <f t="shared" si="79"/>
        <v>0</v>
      </c>
      <c r="S464">
        <f t="shared" si="80"/>
        <v>587.48090000000002</v>
      </c>
    </row>
    <row r="465" spans="1:19" x14ac:dyDescent="0.3">
      <c r="A465" t="s">
        <v>13</v>
      </c>
      <c r="B465" t="s">
        <v>25</v>
      </c>
      <c r="C465" t="s">
        <v>15</v>
      </c>
      <c r="D465">
        <v>29</v>
      </c>
      <c r="E465">
        <v>9</v>
      </c>
      <c r="F465">
        <v>0</v>
      </c>
      <c r="G465">
        <v>20251203</v>
      </c>
      <c r="H465">
        <v>20260109</v>
      </c>
      <c r="I465">
        <v>5083.2533999999996</v>
      </c>
      <c r="J465">
        <f t="shared" si="71"/>
        <v>38</v>
      </c>
      <c r="K465">
        <f t="shared" si="72"/>
        <v>133.76982631578946</v>
      </c>
      <c r="L465">
        <f t="shared" si="73"/>
        <v>3276.9652063394997</v>
      </c>
      <c r="M465">
        <f t="shared" si="74"/>
        <v>1203.9284368421052</v>
      </c>
      <c r="N465">
        <f t="shared" si="75"/>
        <v>0</v>
      </c>
      <c r="O465">
        <f t="shared" si="76"/>
        <v>4480.8936431816046</v>
      </c>
      <c r="P465">
        <f t="shared" si="77"/>
        <v>3717.4826838736126</v>
      </c>
      <c r="Q465">
        <f t="shared" si="78"/>
        <v>1365.770716126387</v>
      </c>
      <c r="R465">
        <f t="shared" si="79"/>
        <v>0</v>
      </c>
      <c r="S465">
        <f t="shared" si="80"/>
        <v>5083.2533999999996</v>
      </c>
    </row>
    <row r="466" spans="1:19" x14ac:dyDescent="0.3">
      <c r="A466" t="s">
        <v>13</v>
      </c>
      <c r="B466" t="s">
        <v>25</v>
      </c>
      <c r="C466" t="s">
        <v>14</v>
      </c>
      <c r="D466">
        <v>16</v>
      </c>
      <c r="E466">
        <v>20</v>
      </c>
      <c r="F466">
        <v>0</v>
      </c>
      <c r="G466">
        <v>20251216</v>
      </c>
      <c r="H466">
        <v>20260120</v>
      </c>
      <c r="I466">
        <v>96994.589099999997</v>
      </c>
      <c r="J466">
        <f t="shared" si="71"/>
        <v>36</v>
      </c>
      <c r="K466">
        <f t="shared" si="72"/>
        <v>2694.2941416666667</v>
      </c>
      <c r="L466">
        <f t="shared" si="73"/>
        <v>36415.028869141555</v>
      </c>
      <c r="M466">
        <f t="shared" si="74"/>
        <v>53885.882833333337</v>
      </c>
      <c r="N466">
        <f t="shared" si="75"/>
        <v>0</v>
      </c>
      <c r="O466">
        <f t="shared" si="76"/>
        <v>90300.911702474899</v>
      </c>
      <c r="P466">
        <f t="shared" si="77"/>
        <v>39114.342210237272</v>
      </c>
      <c r="Q466">
        <f t="shared" si="78"/>
        <v>57880.246889762719</v>
      </c>
      <c r="R466">
        <f t="shared" si="79"/>
        <v>0</v>
      </c>
      <c r="S466">
        <f t="shared" si="80"/>
        <v>96994.589099999983</v>
      </c>
    </row>
    <row r="467" spans="1:19" x14ac:dyDescent="0.3">
      <c r="A467" t="s">
        <v>13</v>
      </c>
      <c r="B467" t="s">
        <v>25</v>
      </c>
      <c r="C467" t="s">
        <v>15</v>
      </c>
      <c r="D467">
        <v>0</v>
      </c>
      <c r="E467">
        <v>19</v>
      </c>
      <c r="F467">
        <v>0</v>
      </c>
      <c r="G467">
        <v>20260102</v>
      </c>
      <c r="H467">
        <v>20260120</v>
      </c>
      <c r="I467">
        <v>461.51609999999999</v>
      </c>
      <c r="J467">
        <f t="shared" si="71"/>
        <v>19</v>
      </c>
      <c r="K467">
        <f t="shared" si="72"/>
        <v>24.29032105263158</v>
      </c>
      <c r="L467">
        <f t="shared" si="73"/>
        <v>0</v>
      </c>
      <c r="M467">
        <f t="shared" si="74"/>
        <v>461.51609999999999</v>
      </c>
      <c r="N467">
        <f t="shared" si="75"/>
        <v>0</v>
      </c>
      <c r="O467">
        <f t="shared" si="76"/>
        <v>461.51609999999999</v>
      </c>
      <c r="P467">
        <f t="shared" si="77"/>
        <v>0</v>
      </c>
      <c r="Q467">
        <f t="shared" si="78"/>
        <v>461.51609999999999</v>
      </c>
      <c r="R467">
        <f t="shared" si="79"/>
        <v>0</v>
      </c>
      <c r="S467">
        <f t="shared" si="80"/>
        <v>461.51609999999999</v>
      </c>
    </row>
    <row r="468" spans="1:19" x14ac:dyDescent="0.3">
      <c r="A468" t="s">
        <v>13</v>
      </c>
      <c r="B468" t="s">
        <v>25</v>
      </c>
      <c r="C468" t="s">
        <v>15</v>
      </c>
      <c r="D468">
        <v>22</v>
      </c>
      <c r="E468">
        <v>8</v>
      </c>
      <c r="F468">
        <v>0</v>
      </c>
      <c r="G468">
        <v>20251210</v>
      </c>
      <c r="H468">
        <v>20260108</v>
      </c>
      <c r="I468">
        <v>2476.8620000000001</v>
      </c>
      <c r="J468">
        <f t="shared" si="71"/>
        <v>30</v>
      </c>
      <c r="K468">
        <f t="shared" si="72"/>
        <v>82.562066666666666</v>
      </c>
      <c r="L468">
        <f t="shared" si="73"/>
        <v>1534.3304551155782</v>
      </c>
      <c r="M468">
        <f t="shared" si="74"/>
        <v>660.49653333333333</v>
      </c>
      <c r="N468">
        <f t="shared" si="75"/>
        <v>0</v>
      </c>
      <c r="O468">
        <f t="shared" si="76"/>
        <v>2194.8269884489114</v>
      </c>
      <c r="P468">
        <f t="shared" si="77"/>
        <v>1731.4917393120713</v>
      </c>
      <c r="Q468">
        <f t="shared" si="78"/>
        <v>745.37026068792886</v>
      </c>
      <c r="R468">
        <f t="shared" si="79"/>
        <v>0</v>
      </c>
      <c r="S468">
        <f t="shared" si="80"/>
        <v>2476.8620000000001</v>
      </c>
    </row>
    <row r="469" spans="1:19" x14ac:dyDescent="0.3">
      <c r="A469" t="s">
        <v>13</v>
      </c>
      <c r="B469" t="s">
        <v>25</v>
      </c>
      <c r="C469" t="s">
        <v>15</v>
      </c>
      <c r="D469">
        <v>29</v>
      </c>
      <c r="E469">
        <v>12</v>
      </c>
      <c r="F469">
        <v>0</v>
      </c>
      <c r="G469">
        <v>20251203</v>
      </c>
      <c r="H469">
        <v>20260112</v>
      </c>
      <c r="I469">
        <v>7688.4381000000003</v>
      </c>
      <c r="J469">
        <f t="shared" si="71"/>
        <v>41</v>
      </c>
      <c r="K469">
        <f t="shared" si="72"/>
        <v>187.52288048780488</v>
      </c>
      <c r="L469">
        <f t="shared" si="73"/>
        <v>4593.7560933990981</v>
      </c>
      <c r="M469">
        <f t="shared" si="74"/>
        <v>2250.2745658536587</v>
      </c>
      <c r="N469">
        <f t="shared" si="75"/>
        <v>0</v>
      </c>
      <c r="O469">
        <f t="shared" si="76"/>
        <v>6844.0306592527568</v>
      </c>
      <c r="P469">
        <f t="shared" si="77"/>
        <v>5160.5276377375194</v>
      </c>
      <c r="Q469">
        <f t="shared" si="78"/>
        <v>2527.9104622624814</v>
      </c>
      <c r="R469">
        <f t="shared" si="79"/>
        <v>0</v>
      </c>
      <c r="S469">
        <f t="shared" si="80"/>
        <v>7688.4381000000012</v>
      </c>
    </row>
    <row r="470" spans="1:19" x14ac:dyDescent="0.3">
      <c r="A470" t="s">
        <v>13</v>
      </c>
      <c r="B470" t="s">
        <v>25</v>
      </c>
      <c r="C470" t="s">
        <v>15</v>
      </c>
      <c r="D470">
        <v>13</v>
      </c>
      <c r="E470">
        <v>3</v>
      </c>
      <c r="F470">
        <v>0</v>
      </c>
      <c r="G470">
        <v>20251219</v>
      </c>
      <c r="H470">
        <v>20260103</v>
      </c>
      <c r="I470">
        <v>8187.9732000000004</v>
      </c>
      <c r="J470">
        <f t="shared" si="71"/>
        <v>16</v>
      </c>
      <c r="K470">
        <f t="shared" si="72"/>
        <v>511.74832500000002</v>
      </c>
      <c r="L470">
        <f t="shared" si="73"/>
        <v>5619.7300116902888</v>
      </c>
      <c r="M470">
        <f t="shared" si="74"/>
        <v>1535.2449750000001</v>
      </c>
      <c r="N470">
        <f t="shared" si="75"/>
        <v>0</v>
      </c>
      <c r="O470">
        <f t="shared" si="76"/>
        <v>7154.9749866902894</v>
      </c>
      <c r="P470">
        <f t="shared" si="77"/>
        <v>6431.077510760213</v>
      </c>
      <c r="Q470">
        <f t="shared" si="78"/>
        <v>1756.8956892397869</v>
      </c>
      <c r="R470">
        <f t="shared" si="79"/>
        <v>0</v>
      </c>
      <c r="S470">
        <f t="shared" si="80"/>
        <v>8187.9732000000004</v>
      </c>
    </row>
    <row r="471" spans="1:19" x14ac:dyDescent="0.3">
      <c r="A471" t="s">
        <v>13</v>
      </c>
      <c r="B471" t="s">
        <v>25</v>
      </c>
      <c r="C471" t="s">
        <v>15</v>
      </c>
      <c r="D471">
        <v>3</v>
      </c>
      <c r="E471">
        <v>31</v>
      </c>
      <c r="F471">
        <v>1</v>
      </c>
      <c r="G471">
        <v>20251229</v>
      </c>
      <c r="H471">
        <v>20260201</v>
      </c>
      <c r="I471">
        <v>38671.517099999997</v>
      </c>
      <c r="J471">
        <f t="shared" si="71"/>
        <v>35</v>
      </c>
      <c r="K471">
        <f t="shared" si="72"/>
        <v>1104.9004885714285</v>
      </c>
      <c r="L471">
        <f t="shared" si="73"/>
        <v>2800.0132692431393</v>
      </c>
      <c r="M471">
        <f t="shared" si="74"/>
        <v>34251.91514571428</v>
      </c>
      <c r="N471">
        <f t="shared" si="75"/>
        <v>910.99927233871927</v>
      </c>
      <c r="O471">
        <f t="shared" si="76"/>
        <v>37962.927687296135</v>
      </c>
      <c r="P471">
        <f t="shared" si="77"/>
        <v>2852.2763553348891</v>
      </c>
      <c r="Q471">
        <f t="shared" si="78"/>
        <v>34891.237398123332</v>
      </c>
      <c r="R471">
        <f t="shared" si="79"/>
        <v>928.003346541778</v>
      </c>
      <c r="S471">
        <f t="shared" si="80"/>
        <v>38671.517100000005</v>
      </c>
    </row>
    <row r="472" spans="1:19" x14ac:dyDescent="0.3">
      <c r="A472" t="s">
        <v>13</v>
      </c>
      <c r="B472" t="s">
        <v>16</v>
      </c>
      <c r="C472" t="s">
        <v>14</v>
      </c>
      <c r="D472">
        <v>31</v>
      </c>
      <c r="E472">
        <v>5</v>
      </c>
      <c r="F472">
        <v>0</v>
      </c>
      <c r="G472">
        <v>20251126</v>
      </c>
      <c r="H472">
        <v>20260105</v>
      </c>
      <c r="I472">
        <v>4801.8069999999998</v>
      </c>
      <c r="J472">
        <f t="shared" si="71"/>
        <v>36</v>
      </c>
      <c r="K472">
        <f t="shared" si="72"/>
        <v>133.38352777777777</v>
      </c>
      <c r="L472">
        <f t="shared" si="73"/>
        <v>3492.847002277023</v>
      </c>
      <c r="M472">
        <f t="shared" si="74"/>
        <v>666.91763888888886</v>
      </c>
      <c r="N472">
        <f t="shared" si="75"/>
        <v>0</v>
      </c>
      <c r="O472">
        <f t="shared" si="76"/>
        <v>4159.7646411659116</v>
      </c>
      <c r="P472">
        <f t="shared" si="77"/>
        <v>4031.9533993543255</v>
      </c>
      <c r="Q472">
        <f t="shared" si="78"/>
        <v>769.85360064567431</v>
      </c>
      <c r="R472">
        <f t="shared" si="79"/>
        <v>0</v>
      </c>
      <c r="S472">
        <f t="shared" si="80"/>
        <v>4801.8069999999998</v>
      </c>
    </row>
    <row r="473" spans="1:19" x14ac:dyDescent="0.3">
      <c r="A473" t="s">
        <v>13</v>
      </c>
      <c r="B473" t="s">
        <v>25</v>
      </c>
      <c r="C473" t="s">
        <v>15</v>
      </c>
      <c r="D473">
        <v>1</v>
      </c>
      <c r="E473">
        <v>31</v>
      </c>
      <c r="F473">
        <v>1</v>
      </c>
      <c r="G473">
        <v>20251231</v>
      </c>
      <c r="H473">
        <v>20260201</v>
      </c>
      <c r="I473">
        <v>97205.938500000004</v>
      </c>
      <c r="J473">
        <f t="shared" si="71"/>
        <v>33</v>
      </c>
      <c r="K473">
        <f t="shared" si="72"/>
        <v>2945.6345000000001</v>
      </c>
      <c r="L473">
        <f t="shared" si="73"/>
        <v>2488.2529457484816</v>
      </c>
      <c r="M473">
        <f t="shared" si="74"/>
        <v>91314.669500000004</v>
      </c>
      <c r="N473">
        <f t="shared" si="75"/>
        <v>2428.6991578267812</v>
      </c>
      <c r="O473">
        <f t="shared" si="76"/>
        <v>96231.621603575259</v>
      </c>
      <c r="P473">
        <f t="shared" si="77"/>
        <v>2513.4457757894056</v>
      </c>
      <c r="Q473">
        <f t="shared" si="78"/>
        <v>92239.20370094903</v>
      </c>
      <c r="R473">
        <f t="shared" si="79"/>
        <v>2453.2890232615673</v>
      </c>
      <c r="S473">
        <f t="shared" si="80"/>
        <v>97205.938500000004</v>
      </c>
    </row>
    <row r="474" spans="1:19" x14ac:dyDescent="0.3">
      <c r="A474" t="s">
        <v>13</v>
      </c>
      <c r="B474" t="s">
        <v>25</v>
      </c>
      <c r="C474" t="s">
        <v>15</v>
      </c>
      <c r="D474">
        <v>16</v>
      </c>
      <c r="E474">
        <v>1</v>
      </c>
      <c r="F474">
        <v>0</v>
      </c>
      <c r="G474">
        <v>20251216</v>
      </c>
      <c r="H474">
        <v>20260101</v>
      </c>
      <c r="I474">
        <v>12723.15</v>
      </c>
      <c r="J474">
        <f t="shared" si="71"/>
        <v>17</v>
      </c>
      <c r="K474">
        <f t="shared" si="72"/>
        <v>748.42058823529408</v>
      </c>
      <c r="L474">
        <f t="shared" si="73"/>
        <v>10115.360793528358</v>
      </c>
      <c r="M474">
        <f t="shared" si="74"/>
        <v>748.42058823529408</v>
      </c>
      <c r="N474">
        <f t="shared" si="75"/>
        <v>0</v>
      </c>
      <c r="O474">
        <f t="shared" si="76"/>
        <v>10863.781381763652</v>
      </c>
      <c r="P474">
        <f t="shared" si="77"/>
        <v>11846.634993614623</v>
      </c>
      <c r="Q474">
        <f t="shared" si="78"/>
        <v>876.51500638537459</v>
      </c>
      <c r="R474">
        <f t="shared" si="79"/>
        <v>0</v>
      </c>
      <c r="S474">
        <f t="shared" si="80"/>
        <v>12723.149999999998</v>
      </c>
    </row>
    <row r="475" spans="1:19" x14ac:dyDescent="0.3">
      <c r="A475" t="s">
        <v>13</v>
      </c>
      <c r="B475" t="s">
        <v>25</v>
      </c>
      <c r="C475" t="s">
        <v>15</v>
      </c>
      <c r="D475">
        <v>6</v>
      </c>
      <c r="E475">
        <v>31</v>
      </c>
      <c r="F475">
        <v>1</v>
      </c>
      <c r="G475">
        <v>20251226</v>
      </c>
      <c r="H475">
        <v>20260201</v>
      </c>
      <c r="I475">
        <v>14570.7363</v>
      </c>
      <c r="J475">
        <f t="shared" si="71"/>
        <v>38</v>
      </c>
      <c r="K475">
        <f t="shared" si="72"/>
        <v>383.44042894736845</v>
      </c>
      <c r="L475">
        <f t="shared" si="73"/>
        <v>1943.4117372960241</v>
      </c>
      <c r="M475">
        <f t="shared" si="74"/>
        <v>11886.653297368422</v>
      </c>
      <c r="N475">
        <f t="shared" si="75"/>
        <v>316.14969435658543</v>
      </c>
      <c r="O475">
        <f t="shared" si="76"/>
        <v>14146.214729021032</v>
      </c>
      <c r="P475">
        <f t="shared" si="77"/>
        <v>2001.7326534972565</v>
      </c>
      <c r="Q475">
        <f t="shared" si="78"/>
        <v>12243.366441353786</v>
      </c>
      <c r="R475">
        <f t="shared" si="79"/>
        <v>325.63720514895601</v>
      </c>
      <c r="S475">
        <f t="shared" si="80"/>
        <v>14570.736299999999</v>
      </c>
    </row>
    <row r="476" spans="1:19" x14ac:dyDescent="0.3">
      <c r="A476" t="s">
        <v>13</v>
      </c>
      <c r="B476" t="s">
        <v>25</v>
      </c>
      <c r="C476" t="s">
        <v>15</v>
      </c>
      <c r="D476">
        <v>13</v>
      </c>
      <c r="E476">
        <v>1</v>
      </c>
      <c r="F476">
        <v>0</v>
      </c>
      <c r="G476">
        <v>20251219</v>
      </c>
      <c r="H476">
        <v>20260101</v>
      </c>
      <c r="I476">
        <v>17470.553800000002</v>
      </c>
      <c r="J476">
        <f t="shared" si="71"/>
        <v>14</v>
      </c>
      <c r="K476">
        <f t="shared" si="72"/>
        <v>1247.8967</v>
      </c>
      <c r="L476">
        <f t="shared" si="73"/>
        <v>13703.694167400103</v>
      </c>
      <c r="M476">
        <f t="shared" si="74"/>
        <v>1247.8967</v>
      </c>
      <c r="N476">
        <f t="shared" si="75"/>
        <v>0</v>
      </c>
      <c r="O476">
        <f t="shared" si="76"/>
        <v>14951.590867400102</v>
      </c>
      <c r="P476">
        <f t="shared" si="77"/>
        <v>16012.418232518181</v>
      </c>
      <c r="Q476">
        <f t="shared" si="78"/>
        <v>1458.1355674818212</v>
      </c>
      <c r="R476">
        <f t="shared" si="79"/>
        <v>0</v>
      </c>
      <c r="S476">
        <f t="shared" si="80"/>
        <v>17470.553800000002</v>
      </c>
    </row>
    <row r="477" spans="1:19" x14ac:dyDescent="0.3">
      <c r="A477" t="s">
        <v>13</v>
      </c>
      <c r="B477" t="s">
        <v>25</v>
      </c>
      <c r="C477" t="s">
        <v>15</v>
      </c>
      <c r="D477">
        <v>16</v>
      </c>
      <c r="E477">
        <v>4</v>
      </c>
      <c r="F477">
        <v>0</v>
      </c>
      <c r="G477">
        <v>20251216</v>
      </c>
      <c r="H477">
        <v>20260104</v>
      </c>
      <c r="I477">
        <v>22039.874</v>
      </c>
      <c r="J477">
        <f t="shared" si="71"/>
        <v>20</v>
      </c>
      <c r="K477">
        <f t="shared" si="72"/>
        <v>1101.9937</v>
      </c>
      <c r="L477">
        <f t="shared" si="73"/>
        <v>14894.117081919123</v>
      </c>
      <c r="M477">
        <f t="shared" si="74"/>
        <v>4407.9748</v>
      </c>
      <c r="N477">
        <f t="shared" si="75"/>
        <v>0</v>
      </c>
      <c r="O477">
        <f t="shared" si="76"/>
        <v>19302.091881919121</v>
      </c>
      <c r="P477">
        <f t="shared" si="77"/>
        <v>17006.678127682153</v>
      </c>
      <c r="Q477">
        <f t="shared" si="78"/>
        <v>5033.1958723178495</v>
      </c>
      <c r="R477">
        <f t="shared" si="79"/>
        <v>0</v>
      </c>
      <c r="S477">
        <f t="shared" si="80"/>
        <v>22039.874000000003</v>
      </c>
    </row>
    <row r="478" spans="1:19" x14ac:dyDescent="0.3">
      <c r="A478" t="s">
        <v>13</v>
      </c>
      <c r="B478" t="s">
        <v>16</v>
      </c>
      <c r="C478" t="s">
        <v>15</v>
      </c>
      <c r="D478">
        <v>31</v>
      </c>
      <c r="E478">
        <v>1</v>
      </c>
      <c r="F478">
        <v>0</v>
      </c>
      <c r="G478">
        <v>20251126</v>
      </c>
      <c r="H478">
        <v>20260101</v>
      </c>
      <c r="I478">
        <v>14314.6432</v>
      </c>
      <c r="J478">
        <f t="shared" si="71"/>
        <v>32</v>
      </c>
      <c r="K478">
        <f t="shared" si="72"/>
        <v>447.33260000000001</v>
      </c>
      <c r="L478">
        <f t="shared" si="73"/>
        <v>11714.072621725181</v>
      </c>
      <c r="M478">
        <f t="shared" si="74"/>
        <v>447.33260000000001</v>
      </c>
      <c r="N478">
        <f t="shared" si="75"/>
        <v>0</v>
      </c>
      <c r="O478">
        <f t="shared" si="76"/>
        <v>12161.405221725181</v>
      </c>
      <c r="P478">
        <f t="shared" si="77"/>
        <v>13788.108112649301</v>
      </c>
      <c r="Q478">
        <f t="shared" si="78"/>
        <v>526.53508735069943</v>
      </c>
      <c r="R478">
        <f t="shared" si="79"/>
        <v>0</v>
      </c>
      <c r="S478">
        <f t="shared" si="80"/>
        <v>14314.6432</v>
      </c>
    </row>
    <row r="479" spans="1:19" x14ac:dyDescent="0.3">
      <c r="A479" t="s">
        <v>13</v>
      </c>
      <c r="B479" t="s">
        <v>25</v>
      </c>
      <c r="C479" t="s">
        <v>15</v>
      </c>
      <c r="D479">
        <v>15</v>
      </c>
      <c r="E479">
        <v>3</v>
      </c>
      <c r="F479">
        <v>0</v>
      </c>
      <c r="G479">
        <v>20251217</v>
      </c>
      <c r="H479">
        <v>20260103</v>
      </c>
      <c r="I479">
        <v>1889.2655</v>
      </c>
      <c r="J479">
        <f t="shared" si="71"/>
        <v>18</v>
      </c>
      <c r="K479">
        <f t="shared" si="72"/>
        <v>104.95919444444445</v>
      </c>
      <c r="L479">
        <f t="shared" si="73"/>
        <v>1329.9258178150237</v>
      </c>
      <c r="M479">
        <f t="shared" si="74"/>
        <v>314.87758333333335</v>
      </c>
      <c r="N479">
        <f t="shared" si="75"/>
        <v>0</v>
      </c>
      <c r="O479">
        <f t="shared" si="76"/>
        <v>1644.8034011483571</v>
      </c>
      <c r="P479">
        <f t="shared" si="77"/>
        <v>1527.5886245146332</v>
      </c>
      <c r="Q479">
        <f t="shared" si="78"/>
        <v>361.67687548536645</v>
      </c>
      <c r="R479">
        <f t="shared" si="79"/>
        <v>0</v>
      </c>
      <c r="S479">
        <f t="shared" si="80"/>
        <v>1889.2654999999997</v>
      </c>
    </row>
    <row r="480" spans="1:19" x14ac:dyDescent="0.3">
      <c r="A480" t="s">
        <v>13</v>
      </c>
      <c r="B480" t="s">
        <v>25</v>
      </c>
      <c r="C480" t="s">
        <v>15</v>
      </c>
      <c r="D480">
        <v>20</v>
      </c>
      <c r="E480">
        <v>4</v>
      </c>
      <c r="F480">
        <v>0</v>
      </c>
      <c r="G480">
        <v>20251212</v>
      </c>
      <c r="H480">
        <v>20260104</v>
      </c>
      <c r="I480">
        <v>3149.2946000000002</v>
      </c>
      <c r="J480">
        <f t="shared" si="71"/>
        <v>24</v>
      </c>
      <c r="K480">
        <f t="shared" si="72"/>
        <v>131.22060833333333</v>
      </c>
      <c r="L480">
        <f t="shared" si="73"/>
        <v>2216.9082092725648</v>
      </c>
      <c r="M480">
        <f t="shared" si="74"/>
        <v>524.88243333333332</v>
      </c>
      <c r="N480">
        <f t="shared" si="75"/>
        <v>0</v>
      </c>
      <c r="O480">
        <f t="shared" si="76"/>
        <v>2741.790642605898</v>
      </c>
      <c r="P480">
        <f t="shared" si="77"/>
        <v>2546.4004959627769</v>
      </c>
      <c r="Q480">
        <f t="shared" si="78"/>
        <v>602.89410403722366</v>
      </c>
      <c r="R480">
        <f t="shared" si="79"/>
        <v>0</v>
      </c>
      <c r="S480">
        <f t="shared" si="80"/>
        <v>3149.2946000000006</v>
      </c>
    </row>
    <row r="481" spans="1:19" x14ac:dyDescent="0.3">
      <c r="A481" t="s">
        <v>13</v>
      </c>
      <c r="B481" t="s">
        <v>25</v>
      </c>
      <c r="C481" t="s">
        <v>15</v>
      </c>
      <c r="D481">
        <v>9</v>
      </c>
      <c r="E481">
        <v>4</v>
      </c>
      <c r="F481">
        <v>0</v>
      </c>
      <c r="G481">
        <v>20251223</v>
      </c>
      <c r="H481">
        <v>20260104</v>
      </c>
      <c r="I481">
        <v>8143.8747999999996</v>
      </c>
      <c r="J481">
        <f t="shared" si="71"/>
        <v>13</v>
      </c>
      <c r="K481">
        <f t="shared" si="72"/>
        <v>626.45190769230771</v>
      </c>
      <c r="L481">
        <f t="shared" si="73"/>
        <v>4762.6198166019121</v>
      </c>
      <c r="M481">
        <f t="shared" si="74"/>
        <v>2505.8076307692309</v>
      </c>
      <c r="N481">
        <f t="shared" si="75"/>
        <v>0</v>
      </c>
      <c r="O481">
        <f t="shared" si="76"/>
        <v>7268.427447371143</v>
      </c>
      <c r="P481">
        <f t="shared" si="77"/>
        <v>5336.2546145291963</v>
      </c>
      <c r="Q481">
        <f t="shared" si="78"/>
        <v>2807.6201854708029</v>
      </c>
      <c r="R481">
        <f t="shared" si="79"/>
        <v>0</v>
      </c>
      <c r="S481">
        <f t="shared" si="80"/>
        <v>8143.8747999999996</v>
      </c>
    </row>
    <row r="482" spans="1:19" x14ac:dyDescent="0.3">
      <c r="A482" t="s">
        <v>13</v>
      </c>
      <c r="B482" t="s">
        <v>25</v>
      </c>
      <c r="C482" t="s">
        <v>15</v>
      </c>
      <c r="D482">
        <v>1</v>
      </c>
      <c r="E482">
        <v>3</v>
      </c>
      <c r="F482">
        <v>0</v>
      </c>
      <c r="G482">
        <v>20251231</v>
      </c>
      <c r="H482">
        <v>20260103</v>
      </c>
      <c r="I482">
        <v>41.9343</v>
      </c>
      <c r="J482">
        <f t="shared" si="71"/>
        <v>4</v>
      </c>
      <c r="K482">
        <f t="shared" si="72"/>
        <v>10.483575</v>
      </c>
      <c r="L482">
        <f t="shared" si="73"/>
        <v>8.8557444502110272</v>
      </c>
      <c r="M482">
        <f t="shared" si="74"/>
        <v>31.450724999999998</v>
      </c>
      <c r="N482">
        <f t="shared" si="75"/>
        <v>0</v>
      </c>
      <c r="O482">
        <f t="shared" si="76"/>
        <v>40.306469450211026</v>
      </c>
      <c r="P482">
        <f t="shared" si="77"/>
        <v>9.2133955060789869</v>
      </c>
      <c r="Q482">
        <f t="shared" si="78"/>
        <v>32.720904493921012</v>
      </c>
      <c r="R482">
        <f t="shared" si="79"/>
        <v>0</v>
      </c>
      <c r="S482">
        <f t="shared" si="80"/>
        <v>41.9343</v>
      </c>
    </row>
    <row r="483" spans="1:19" x14ac:dyDescent="0.3">
      <c r="A483" t="s">
        <v>13</v>
      </c>
      <c r="B483" t="s">
        <v>25</v>
      </c>
      <c r="C483" t="s">
        <v>15</v>
      </c>
      <c r="D483">
        <v>2</v>
      </c>
      <c r="E483">
        <v>15</v>
      </c>
      <c r="F483">
        <v>0</v>
      </c>
      <c r="G483">
        <v>20251230</v>
      </c>
      <c r="H483">
        <v>20260115</v>
      </c>
      <c r="I483">
        <v>125.83839999999999</v>
      </c>
      <c r="J483">
        <f t="shared" si="71"/>
        <v>17</v>
      </c>
      <c r="K483">
        <f t="shared" si="72"/>
        <v>7.4022588235294116</v>
      </c>
      <c r="L483">
        <f t="shared" si="73"/>
        <v>12.505755430851822</v>
      </c>
      <c r="M483">
        <f t="shared" si="74"/>
        <v>111.03388235294118</v>
      </c>
      <c r="N483">
        <f t="shared" si="75"/>
        <v>0</v>
      </c>
      <c r="O483">
        <f t="shared" si="76"/>
        <v>123.539637783793</v>
      </c>
      <c r="P483">
        <f t="shared" si="77"/>
        <v>12.738456113687555</v>
      </c>
      <c r="Q483">
        <f t="shared" si="78"/>
        <v>113.09994388631243</v>
      </c>
      <c r="R483">
        <f t="shared" si="79"/>
        <v>0</v>
      </c>
      <c r="S483">
        <f t="shared" si="80"/>
        <v>125.83839999999998</v>
      </c>
    </row>
    <row r="484" spans="1:19" x14ac:dyDescent="0.3">
      <c r="A484" t="s">
        <v>13</v>
      </c>
      <c r="B484" t="s">
        <v>25</v>
      </c>
      <c r="C484" t="s">
        <v>14</v>
      </c>
      <c r="D484">
        <v>0</v>
      </c>
      <c r="E484">
        <v>20</v>
      </c>
      <c r="F484">
        <v>19</v>
      </c>
      <c r="G484">
        <v>20260112</v>
      </c>
      <c r="H484">
        <v>20260219</v>
      </c>
      <c r="I484">
        <v>967.85199999999998</v>
      </c>
      <c r="J484">
        <f t="shared" si="71"/>
        <v>39</v>
      </c>
      <c r="K484">
        <f t="shared" si="72"/>
        <v>24.816717948717947</v>
      </c>
      <c r="L484">
        <f t="shared" si="73"/>
        <v>0</v>
      </c>
      <c r="M484">
        <f t="shared" si="74"/>
        <v>496.33435897435896</v>
      </c>
      <c r="N484">
        <f t="shared" si="75"/>
        <v>388.7700587630423</v>
      </c>
      <c r="O484">
        <f t="shared" si="76"/>
        <v>885.10441773740126</v>
      </c>
      <c r="P484">
        <f t="shared" si="77"/>
        <v>0</v>
      </c>
      <c r="Q484">
        <f t="shared" si="78"/>
        <v>542.73619290031957</v>
      </c>
      <c r="R484">
        <f t="shared" si="79"/>
        <v>425.11580709968035</v>
      </c>
      <c r="S484">
        <f t="shared" si="80"/>
        <v>967.85199999999986</v>
      </c>
    </row>
    <row r="485" spans="1:19" x14ac:dyDescent="0.3">
      <c r="A485" t="s">
        <v>13</v>
      </c>
      <c r="B485" t="s">
        <v>25</v>
      </c>
      <c r="C485" t="s">
        <v>15</v>
      </c>
      <c r="D485">
        <v>0</v>
      </c>
      <c r="E485">
        <v>11</v>
      </c>
      <c r="F485">
        <v>4</v>
      </c>
      <c r="G485">
        <v>20260121</v>
      </c>
      <c r="H485">
        <v>20260204</v>
      </c>
      <c r="I485">
        <v>5428.7695999999996</v>
      </c>
      <c r="J485">
        <f t="shared" si="71"/>
        <v>15</v>
      </c>
      <c r="K485">
        <f t="shared" si="72"/>
        <v>361.91797333333329</v>
      </c>
      <c r="L485">
        <f t="shared" si="73"/>
        <v>0</v>
      </c>
      <c r="M485">
        <f t="shared" si="74"/>
        <v>3981.0977066666665</v>
      </c>
      <c r="N485">
        <f t="shared" si="75"/>
        <v>1193.6170316270291</v>
      </c>
      <c r="O485">
        <f t="shared" si="76"/>
        <v>5174.7147382936955</v>
      </c>
      <c r="P485">
        <f t="shared" si="77"/>
        <v>0</v>
      </c>
      <c r="Q485">
        <f t="shared" si="78"/>
        <v>4176.5514231434099</v>
      </c>
      <c r="R485">
        <f t="shared" si="79"/>
        <v>1252.2181768565893</v>
      </c>
      <c r="S485">
        <f t="shared" si="80"/>
        <v>5428.7695999999996</v>
      </c>
    </row>
    <row r="486" spans="1:19" x14ac:dyDescent="0.3">
      <c r="A486" t="s">
        <v>13</v>
      </c>
      <c r="B486" t="s">
        <v>25</v>
      </c>
      <c r="C486" t="s">
        <v>15</v>
      </c>
      <c r="D486">
        <v>0</v>
      </c>
      <c r="E486">
        <v>11</v>
      </c>
      <c r="F486">
        <v>0</v>
      </c>
      <c r="G486">
        <v>20260121</v>
      </c>
      <c r="H486">
        <v>20260131</v>
      </c>
      <c r="I486">
        <v>1849.4123</v>
      </c>
      <c r="J486">
        <f t="shared" si="71"/>
        <v>11</v>
      </c>
      <c r="K486">
        <f t="shared" si="72"/>
        <v>168.12839090909091</v>
      </c>
      <c r="L486">
        <f t="shared" si="73"/>
        <v>0</v>
      </c>
      <c r="M486">
        <f t="shared" si="74"/>
        <v>1849.4123</v>
      </c>
      <c r="N486">
        <f t="shared" si="75"/>
        <v>0</v>
      </c>
      <c r="O486">
        <f t="shared" si="76"/>
        <v>1849.4123</v>
      </c>
      <c r="P486">
        <f t="shared" si="77"/>
        <v>0</v>
      </c>
      <c r="Q486">
        <f t="shared" si="78"/>
        <v>1849.4123</v>
      </c>
      <c r="R486">
        <f t="shared" si="79"/>
        <v>0</v>
      </c>
      <c r="S486">
        <f t="shared" si="80"/>
        <v>1849.4123</v>
      </c>
    </row>
    <row r="487" spans="1:19" x14ac:dyDescent="0.3">
      <c r="A487" t="s">
        <v>13</v>
      </c>
      <c r="B487" t="s">
        <v>25</v>
      </c>
      <c r="C487" t="s">
        <v>15</v>
      </c>
      <c r="D487">
        <v>27</v>
      </c>
      <c r="E487">
        <v>5</v>
      </c>
      <c r="F487">
        <v>0</v>
      </c>
      <c r="G487">
        <v>20251205</v>
      </c>
      <c r="H487">
        <v>20260105</v>
      </c>
      <c r="I487">
        <v>3562117.0731000002</v>
      </c>
      <c r="J487">
        <f t="shared" si="71"/>
        <v>32</v>
      </c>
      <c r="K487">
        <f t="shared" si="72"/>
        <v>111316.158534375</v>
      </c>
      <c r="L487">
        <f t="shared" si="73"/>
        <v>2538853.5146941063</v>
      </c>
      <c r="M487">
        <f t="shared" si="74"/>
        <v>556580.79267187498</v>
      </c>
      <c r="N487">
        <f t="shared" si="75"/>
        <v>0</v>
      </c>
      <c r="O487">
        <f t="shared" si="76"/>
        <v>3095434.3073659814</v>
      </c>
      <c r="P487">
        <f t="shared" si="77"/>
        <v>2921623.4469170268</v>
      </c>
      <c r="Q487">
        <f t="shared" si="78"/>
        <v>640493.62618297315</v>
      </c>
      <c r="R487">
        <f t="shared" si="79"/>
        <v>0</v>
      </c>
      <c r="S487">
        <f t="shared" si="80"/>
        <v>3562117.0730999997</v>
      </c>
    </row>
    <row r="488" spans="1:19" x14ac:dyDescent="0.3">
      <c r="A488" t="s">
        <v>13</v>
      </c>
      <c r="B488" t="s">
        <v>25</v>
      </c>
      <c r="C488" t="s">
        <v>15</v>
      </c>
      <c r="D488">
        <v>0</v>
      </c>
      <c r="E488">
        <v>30</v>
      </c>
      <c r="F488">
        <v>1</v>
      </c>
      <c r="G488">
        <v>20260102</v>
      </c>
      <c r="H488">
        <v>20260201</v>
      </c>
      <c r="I488">
        <v>21830477.478100002</v>
      </c>
      <c r="J488">
        <f t="shared" si="71"/>
        <v>31</v>
      </c>
      <c r="K488">
        <f t="shared" si="72"/>
        <v>704208.95090645168</v>
      </c>
      <c r="L488">
        <f t="shared" si="73"/>
        <v>0</v>
      </c>
      <c r="M488">
        <f t="shared" si="74"/>
        <v>21126268.52719355</v>
      </c>
      <c r="N488">
        <f t="shared" si="75"/>
        <v>580625.90114305762</v>
      </c>
      <c r="O488">
        <f t="shared" si="76"/>
        <v>21706894.428336609</v>
      </c>
      <c r="P488">
        <f t="shared" si="77"/>
        <v>0</v>
      </c>
      <c r="Q488">
        <f t="shared" si="78"/>
        <v>21246545.921241347</v>
      </c>
      <c r="R488">
        <f t="shared" si="79"/>
        <v>583931.55685865402</v>
      </c>
      <c r="S488">
        <f t="shared" si="80"/>
        <v>21830477.478100002</v>
      </c>
    </row>
    <row r="489" spans="1:19" x14ac:dyDescent="0.3">
      <c r="A489" t="s">
        <v>13</v>
      </c>
      <c r="B489" t="s">
        <v>25</v>
      </c>
      <c r="C489" t="s">
        <v>14</v>
      </c>
      <c r="D489">
        <v>0</v>
      </c>
      <c r="E489">
        <v>16</v>
      </c>
      <c r="F489">
        <v>19</v>
      </c>
      <c r="G489">
        <v>20260116</v>
      </c>
      <c r="H489">
        <v>20260219</v>
      </c>
      <c r="I489">
        <v>17275304.147</v>
      </c>
      <c r="J489">
        <f t="shared" si="71"/>
        <v>35</v>
      </c>
      <c r="K489">
        <f t="shared" si="72"/>
        <v>493580.11848571431</v>
      </c>
      <c r="L489">
        <f t="shared" si="73"/>
        <v>0</v>
      </c>
      <c r="M489">
        <f t="shared" si="74"/>
        <v>7897281.8957714289</v>
      </c>
      <c r="N489">
        <f t="shared" si="75"/>
        <v>7732254.2031741012</v>
      </c>
      <c r="O489">
        <f t="shared" si="76"/>
        <v>15629536.09894553</v>
      </c>
      <c r="P489">
        <f t="shared" si="77"/>
        <v>0</v>
      </c>
      <c r="Q489">
        <f t="shared" si="78"/>
        <v>8728854.5111234933</v>
      </c>
      <c r="R489">
        <f t="shared" si="79"/>
        <v>8546449.6358765066</v>
      </c>
      <c r="S489">
        <f t="shared" si="80"/>
        <v>17275304.147</v>
      </c>
    </row>
    <row r="490" spans="1:19" x14ac:dyDescent="0.3">
      <c r="A490" t="s">
        <v>13</v>
      </c>
      <c r="B490" t="s">
        <v>25</v>
      </c>
      <c r="C490" t="s">
        <v>14</v>
      </c>
      <c r="D490">
        <v>26</v>
      </c>
      <c r="E490">
        <v>3</v>
      </c>
      <c r="F490">
        <v>0</v>
      </c>
      <c r="G490">
        <v>20251206</v>
      </c>
      <c r="H490">
        <v>20260103</v>
      </c>
      <c r="I490">
        <v>194105.18400000001</v>
      </c>
      <c r="J490">
        <f t="shared" si="71"/>
        <v>29</v>
      </c>
      <c r="K490">
        <f t="shared" si="72"/>
        <v>6693.2822068965525</v>
      </c>
      <c r="L490">
        <f t="shared" si="73"/>
        <v>147003.66198486008</v>
      </c>
      <c r="M490">
        <f t="shared" si="74"/>
        <v>20079.846620689656</v>
      </c>
      <c r="N490">
        <f t="shared" si="75"/>
        <v>0</v>
      </c>
      <c r="O490">
        <f t="shared" si="76"/>
        <v>167083.50860554975</v>
      </c>
      <c r="P490">
        <f t="shared" si="77"/>
        <v>170777.9127718012</v>
      </c>
      <c r="Q490">
        <f t="shared" si="78"/>
        <v>23327.271228198781</v>
      </c>
      <c r="R490">
        <f t="shared" si="79"/>
        <v>0</v>
      </c>
      <c r="S490">
        <f t="shared" si="80"/>
        <v>194105.18399999998</v>
      </c>
    </row>
    <row r="491" spans="1:19" x14ac:dyDescent="0.3">
      <c r="A491" t="s">
        <v>13</v>
      </c>
      <c r="B491" t="s">
        <v>25</v>
      </c>
      <c r="C491" t="s">
        <v>14</v>
      </c>
      <c r="D491">
        <v>27</v>
      </c>
      <c r="E491">
        <v>1</v>
      </c>
      <c r="F491">
        <v>0</v>
      </c>
      <c r="G491">
        <v>20251205</v>
      </c>
      <c r="H491">
        <v>20260101</v>
      </c>
      <c r="I491">
        <v>368922.886</v>
      </c>
      <c r="J491">
        <f t="shared" si="71"/>
        <v>28</v>
      </c>
      <c r="K491">
        <f t="shared" si="72"/>
        <v>13175.817357142858</v>
      </c>
      <c r="L491">
        <f t="shared" si="73"/>
        <v>300508.66510830738</v>
      </c>
      <c r="M491">
        <f t="shared" si="74"/>
        <v>13175.817357142858</v>
      </c>
      <c r="N491">
        <f t="shared" si="75"/>
        <v>0</v>
      </c>
      <c r="O491">
        <f t="shared" si="76"/>
        <v>313684.48246545024</v>
      </c>
      <c r="P491">
        <f t="shared" si="77"/>
        <v>353426.86743191088</v>
      </c>
      <c r="Q491">
        <f t="shared" si="78"/>
        <v>15496.018568089097</v>
      </c>
      <c r="R491">
        <f t="shared" si="79"/>
        <v>0</v>
      </c>
      <c r="S491">
        <f t="shared" si="80"/>
        <v>368922.886</v>
      </c>
    </row>
    <row r="492" spans="1:19" x14ac:dyDescent="0.3">
      <c r="A492" t="s">
        <v>13</v>
      </c>
      <c r="B492" t="s">
        <v>25</v>
      </c>
      <c r="C492" t="s">
        <v>15</v>
      </c>
      <c r="D492">
        <v>28</v>
      </c>
      <c r="E492">
        <v>2</v>
      </c>
      <c r="F492">
        <v>0</v>
      </c>
      <c r="G492">
        <v>20251204</v>
      </c>
      <c r="H492">
        <v>20260102</v>
      </c>
      <c r="I492">
        <v>4569079.6096000001</v>
      </c>
      <c r="J492">
        <f t="shared" si="71"/>
        <v>30</v>
      </c>
      <c r="K492">
        <f t="shared" si="72"/>
        <v>152302.65365333334</v>
      </c>
      <c r="L492">
        <f t="shared" si="73"/>
        <v>3602310.7227831851</v>
      </c>
      <c r="M492">
        <f t="shared" si="74"/>
        <v>304605.30730666668</v>
      </c>
      <c r="N492">
        <f t="shared" si="75"/>
        <v>0</v>
      </c>
      <c r="O492">
        <f t="shared" si="76"/>
        <v>3906916.0300898519</v>
      </c>
      <c r="P492">
        <f t="shared" si="77"/>
        <v>4212848.2783218548</v>
      </c>
      <c r="Q492">
        <f t="shared" si="78"/>
        <v>356231.33127814485</v>
      </c>
      <c r="R492">
        <f t="shared" si="79"/>
        <v>0</v>
      </c>
      <c r="S492">
        <f t="shared" si="80"/>
        <v>4569079.6096000001</v>
      </c>
    </row>
    <row r="493" spans="1:19" x14ac:dyDescent="0.3">
      <c r="A493" t="s">
        <v>13</v>
      </c>
      <c r="B493" t="s">
        <v>25</v>
      </c>
      <c r="C493" t="s">
        <v>14</v>
      </c>
      <c r="D493">
        <v>29</v>
      </c>
      <c r="E493">
        <v>6</v>
      </c>
      <c r="F493">
        <v>0</v>
      </c>
      <c r="G493">
        <v>20251203</v>
      </c>
      <c r="H493">
        <v>20260106</v>
      </c>
      <c r="I493">
        <v>634092.66859999998</v>
      </c>
      <c r="J493">
        <f t="shared" si="71"/>
        <v>35</v>
      </c>
      <c r="K493">
        <f t="shared" si="72"/>
        <v>18116.93338857143</v>
      </c>
      <c r="L493">
        <f t="shared" si="73"/>
        <v>443811.29881837498</v>
      </c>
      <c r="M493">
        <f t="shared" si="74"/>
        <v>108701.60033142858</v>
      </c>
      <c r="N493">
        <f t="shared" si="75"/>
        <v>0</v>
      </c>
      <c r="O493">
        <f t="shared" si="76"/>
        <v>552512.89914980356</v>
      </c>
      <c r="P493">
        <f t="shared" si="77"/>
        <v>509341.03304305719</v>
      </c>
      <c r="Q493">
        <f t="shared" si="78"/>
        <v>124751.63555694281</v>
      </c>
      <c r="R493">
        <f t="shared" si="79"/>
        <v>0</v>
      </c>
      <c r="S493">
        <f t="shared" si="80"/>
        <v>634092.66859999998</v>
      </c>
    </row>
    <row r="494" spans="1:19" x14ac:dyDescent="0.3">
      <c r="A494" t="s">
        <v>13</v>
      </c>
      <c r="B494" t="s">
        <v>25</v>
      </c>
      <c r="C494" t="s">
        <v>14</v>
      </c>
      <c r="D494">
        <v>0</v>
      </c>
      <c r="E494">
        <v>26</v>
      </c>
      <c r="F494">
        <v>3</v>
      </c>
      <c r="G494">
        <v>20260106</v>
      </c>
      <c r="H494">
        <v>20260203</v>
      </c>
      <c r="I494">
        <v>1086541.0574</v>
      </c>
      <c r="J494">
        <f t="shared" si="71"/>
        <v>29</v>
      </c>
      <c r="K494">
        <f t="shared" si="72"/>
        <v>37466.933013793103</v>
      </c>
      <c r="L494">
        <f t="shared" si="73"/>
        <v>0</v>
      </c>
      <c r="M494">
        <f t="shared" si="74"/>
        <v>974140.25835862069</v>
      </c>
      <c r="N494">
        <f t="shared" si="75"/>
        <v>92675.35601272159</v>
      </c>
      <c r="O494">
        <f t="shared" si="76"/>
        <v>1066815.6143713424</v>
      </c>
      <c r="P494">
        <f t="shared" si="77"/>
        <v>0</v>
      </c>
      <c r="Q494">
        <f t="shared" si="78"/>
        <v>992152.13211573486</v>
      </c>
      <c r="R494">
        <f t="shared" si="79"/>
        <v>94388.92528426506</v>
      </c>
      <c r="S494">
        <f t="shared" si="80"/>
        <v>1086541.0573999998</v>
      </c>
    </row>
    <row r="495" spans="1:19" x14ac:dyDescent="0.3">
      <c r="A495" t="s">
        <v>13</v>
      </c>
      <c r="B495" t="s">
        <v>25</v>
      </c>
      <c r="C495" t="s">
        <v>14</v>
      </c>
      <c r="D495">
        <v>28</v>
      </c>
      <c r="E495">
        <v>3</v>
      </c>
      <c r="F495">
        <v>0</v>
      </c>
      <c r="G495">
        <v>20251204</v>
      </c>
      <c r="H495">
        <v>20260103</v>
      </c>
      <c r="I495">
        <v>711704.22930000001</v>
      </c>
      <c r="J495">
        <f t="shared" si="71"/>
        <v>31</v>
      </c>
      <c r="K495">
        <f t="shared" si="72"/>
        <v>22958.20094516129</v>
      </c>
      <c r="L495">
        <f t="shared" si="73"/>
        <v>543014.65835789486</v>
      </c>
      <c r="M495">
        <f t="shared" si="74"/>
        <v>68874.602835483878</v>
      </c>
      <c r="N495">
        <f t="shared" si="75"/>
        <v>0</v>
      </c>
      <c r="O495">
        <f t="shared" si="76"/>
        <v>611889.26119337871</v>
      </c>
      <c r="P495">
        <f t="shared" si="77"/>
        <v>631594.3969526072</v>
      </c>
      <c r="Q495">
        <f t="shared" si="78"/>
        <v>80109.832347392861</v>
      </c>
      <c r="R495">
        <f t="shared" si="79"/>
        <v>0</v>
      </c>
      <c r="S495">
        <f t="shared" si="80"/>
        <v>711704.22930000001</v>
      </c>
    </row>
    <row r="496" spans="1:19" x14ac:dyDescent="0.3">
      <c r="A496" t="s">
        <v>13</v>
      </c>
      <c r="B496" t="s">
        <v>25</v>
      </c>
      <c r="C496" t="s">
        <v>14</v>
      </c>
      <c r="D496">
        <v>30</v>
      </c>
      <c r="E496">
        <v>6</v>
      </c>
      <c r="F496">
        <v>0</v>
      </c>
      <c r="G496">
        <v>20251202</v>
      </c>
      <c r="H496">
        <v>20260106</v>
      </c>
      <c r="I496">
        <v>492859.73810000002</v>
      </c>
      <c r="J496">
        <f t="shared" si="71"/>
        <v>36</v>
      </c>
      <c r="K496">
        <f t="shared" si="72"/>
        <v>13690.548280555557</v>
      </c>
      <c r="L496">
        <f t="shared" si="73"/>
        <v>346942.70882559434</v>
      </c>
      <c r="M496">
        <f t="shared" si="74"/>
        <v>82143.289683333336</v>
      </c>
      <c r="N496">
        <f t="shared" si="75"/>
        <v>0</v>
      </c>
      <c r="O496">
        <f t="shared" si="76"/>
        <v>429085.99850892765</v>
      </c>
      <c r="P496">
        <f t="shared" si="77"/>
        <v>398507.74250777432</v>
      </c>
      <c r="Q496">
        <f t="shared" si="78"/>
        <v>94351.995592225692</v>
      </c>
      <c r="R496">
        <f t="shared" si="79"/>
        <v>0</v>
      </c>
      <c r="S496">
        <f t="shared" si="80"/>
        <v>492859.73810000002</v>
      </c>
    </row>
    <row r="497" spans="1:19" x14ac:dyDescent="0.3">
      <c r="A497" t="s">
        <v>13</v>
      </c>
      <c r="B497" t="s">
        <v>25</v>
      </c>
      <c r="C497" t="s">
        <v>14</v>
      </c>
      <c r="D497">
        <v>0</v>
      </c>
      <c r="E497">
        <v>24</v>
      </c>
      <c r="F497">
        <v>7</v>
      </c>
      <c r="G497">
        <v>20260108</v>
      </c>
      <c r="H497">
        <v>20260207</v>
      </c>
      <c r="I497">
        <v>50781.246099999997</v>
      </c>
      <c r="J497">
        <f t="shared" si="71"/>
        <v>31</v>
      </c>
      <c r="K497">
        <f t="shared" si="72"/>
        <v>1638.1047129032256</v>
      </c>
      <c r="L497">
        <f t="shared" si="73"/>
        <v>0</v>
      </c>
      <c r="M497">
        <f t="shared" si="74"/>
        <v>39314.513109677413</v>
      </c>
      <c r="N497">
        <f t="shared" si="75"/>
        <v>9454.4128800165181</v>
      </c>
      <c r="O497">
        <f t="shared" si="76"/>
        <v>48768.925989693933</v>
      </c>
      <c r="P497">
        <f t="shared" si="77"/>
        <v>0</v>
      </c>
      <c r="Q497">
        <f t="shared" si="78"/>
        <v>40936.722000933572</v>
      </c>
      <c r="R497">
        <f t="shared" si="79"/>
        <v>9844.5240990664188</v>
      </c>
      <c r="S497">
        <f t="shared" si="80"/>
        <v>50781.246099999989</v>
      </c>
    </row>
    <row r="498" spans="1:19" x14ac:dyDescent="0.3">
      <c r="A498" t="s">
        <v>13</v>
      </c>
      <c r="B498" t="s">
        <v>25</v>
      </c>
      <c r="C498" t="s">
        <v>15</v>
      </c>
      <c r="D498">
        <v>27</v>
      </c>
      <c r="E498">
        <v>7</v>
      </c>
      <c r="F498">
        <v>0</v>
      </c>
      <c r="G498">
        <v>20251205</v>
      </c>
      <c r="H498">
        <v>20260107</v>
      </c>
      <c r="I498">
        <v>1358962.9453</v>
      </c>
      <c r="J498">
        <f t="shared" si="71"/>
        <v>34</v>
      </c>
      <c r="K498">
        <f t="shared" si="72"/>
        <v>39969.498391176472</v>
      </c>
      <c r="L498">
        <f t="shared" si="73"/>
        <v>911608.00738252455</v>
      </c>
      <c r="M498">
        <f t="shared" si="74"/>
        <v>279786.48873823532</v>
      </c>
      <c r="N498">
        <f t="shared" si="75"/>
        <v>0</v>
      </c>
      <c r="O498">
        <f t="shared" si="76"/>
        <v>1191394.4961207598</v>
      </c>
      <c r="P498">
        <f t="shared" si="77"/>
        <v>1039824.7656048016</v>
      </c>
      <c r="Q498">
        <f t="shared" si="78"/>
        <v>319138.17969519855</v>
      </c>
      <c r="R498">
        <f t="shared" si="79"/>
        <v>0</v>
      </c>
      <c r="S498">
        <f t="shared" si="80"/>
        <v>1358962.9453000003</v>
      </c>
    </row>
    <row r="499" spans="1:19" x14ac:dyDescent="0.3">
      <c r="A499" t="s">
        <v>13</v>
      </c>
      <c r="B499" t="s">
        <v>25</v>
      </c>
      <c r="C499" t="s">
        <v>15</v>
      </c>
      <c r="D499">
        <v>0</v>
      </c>
      <c r="E499">
        <v>26</v>
      </c>
      <c r="F499">
        <v>6</v>
      </c>
      <c r="G499">
        <v>20260106</v>
      </c>
      <c r="H499">
        <v>20260206</v>
      </c>
      <c r="I499">
        <v>620980.45759999997</v>
      </c>
      <c r="J499">
        <f t="shared" si="71"/>
        <v>32</v>
      </c>
      <c r="K499">
        <f t="shared" si="72"/>
        <v>19405.639299999999</v>
      </c>
      <c r="L499">
        <f t="shared" si="73"/>
        <v>0</v>
      </c>
      <c r="M499">
        <f t="shared" si="74"/>
        <v>504546.62179999996</v>
      </c>
      <c r="N499">
        <f t="shared" si="75"/>
        <v>96000.627012618745</v>
      </c>
      <c r="O499">
        <f t="shared" si="76"/>
        <v>600547.24881261867</v>
      </c>
      <c r="P499">
        <f t="shared" si="77"/>
        <v>0</v>
      </c>
      <c r="Q499">
        <f t="shared" si="78"/>
        <v>521713.47501028591</v>
      </c>
      <c r="R499">
        <f t="shared" si="79"/>
        <v>99266.982589714084</v>
      </c>
      <c r="S499">
        <f t="shared" si="80"/>
        <v>620980.45759999997</v>
      </c>
    </row>
    <row r="500" spans="1:19" x14ac:dyDescent="0.3">
      <c r="A500" t="s">
        <v>13</v>
      </c>
      <c r="B500" t="s">
        <v>25</v>
      </c>
      <c r="C500" t="s">
        <v>15</v>
      </c>
      <c r="D500">
        <v>30</v>
      </c>
      <c r="E500">
        <v>7</v>
      </c>
      <c r="F500">
        <v>0</v>
      </c>
      <c r="G500">
        <v>20251202</v>
      </c>
      <c r="H500">
        <v>20260107</v>
      </c>
      <c r="I500">
        <v>472055.38059999997</v>
      </c>
      <c r="J500">
        <f t="shared" si="71"/>
        <v>37</v>
      </c>
      <c r="K500">
        <f t="shared" si="72"/>
        <v>12758.253529729729</v>
      </c>
      <c r="L500">
        <f t="shared" si="73"/>
        <v>323316.71082704893</v>
      </c>
      <c r="M500">
        <f t="shared" si="74"/>
        <v>89307.774708108103</v>
      </c>
      <c r="N500">
        <f t="shared" si="75"/>
        <v>0</v>
      </c>
      <c r="O500">
        <f t="shared" si="76"/>
        <v>412624.48553515703</v>
      </c>
      <c r="P500">
        <f t="shared" si="77"/>
        <v>369884.47931260412</v>
      </c>
      <c r="Q500">
        <f t="shared" si="78"/>
        <v>102170.90128739584</v>
      </c>
      <c r="R500">
        <f t="shared" si="79"/>
        <v>0</v>
      </c>
      <c r="S500">
        <f t="shared" si="80"/>
        <v>472055.38059999997</v>
      </c>
    </row>
    <row r="501" spans="1:19" x14ac:dyDescent="0.3">
      <c r="A501" t="s">
        <v>13</v>
      </c>
      <c r="B501" t="s">
        <v>25</v>
      </c>
      <c r="C501" t="s">
        <v>14</v>
      </c>
      <c r="D501">
        <v>0</v>
      </c>
      <c r="E501">
        <v>16</v>
      </c>
      <c r="F501">
        <v>18</v>
      </c>
      <c r="G501">
        <v>20260116</v>
      </c>
      <c r="H501">
        <v>20260218</v>
      </c>
      <c r="I501">
        <v>442781.4276</v>
      </c>
      <c r="J501">
        <f t="shared" si="71"/>
        <v>34</v>
      </c>
      <c r="K501">
        <f t="shared" si="72"/>
        <v>13022.983164705882</v>
      </c>
      <c r="L501">
        <f t="shared" si="73"/>
        <v>0</v>
      </c>
      <c r="M501">
        <f t="shared" si="74"/>
        <v>208367.73063529411</v>
      </c>
      <c r="N501">
        <f t="shared" si="75"/>
        <v>193275.96427908601</v>
      </c>
      <c r="O501">
        <f t="shared" si="76"/>
        <v>401643.69491438009</v>
      </c>
      <c r="P501">
        <f t="shared" si="77"/>
        <v>0</v>
      </c>
      <c r="Q501">
        <f t="shared" si="78"/>
        <v>229709.47236240192</v>
      </c>
      <c r="R501">
        <f t="shared" si="79"/>
        <v>213071.95523759813</v>
      </c>
      <c r="S501">
        <f t="shared" si="80"/>
        <v>442781.42760000005</v>
      </c>
    </row>
    <row r="502" spans="1:19" x14ac:dyDescent="0.3">
      <c r="A502" t="s">
        <v>13</v>
      </c>
      <c r="B502" t="s">
        <v>25</v>
      </c>
      <c r="C502" t="s">
        <v>15</v>
      </c>
      <c r="D502">
        <v>14</v>
      </c>
      <c r="E502">
        <v>15</v>
      </c>
      <c r="F502">
        <v>0</v>
      </c>
      <c r="G502">
        <v>20251218</v>
      </c>
      <c r="H502">
        <v>20260115</v>
      </c>
      <c r="I502">
        <v>67028.994300000006</v>
      </c>
      <c r="J502">
        <f t="shared" si="71"/>
        <v>29</v>
      </c>
      <c r="K502">
        <f t="shared" si="72"/>
        <v>2311.344631034483</v>
      </c>
      <c r="L502">
        <f t="shared" si="73"/>
        <v>27334.328551407463</v>
      </c>
      <c r="M502">
        <f t="shared" si="74"/>
        <v>34670.169465517247</v>
      </c>
      <c r="N502">
        <f t="shared" si="75"/>
        <v>0</v>
      </c>
      <c r="O502">
        <f t="shared" si="76"/>
        <v>62004.498016924714</v>
      </c>
      <c r="P502">
        <f t="shared" si="77"/>
        <v>29549.349019267989</v>
      </c>
      <c r="Q502">
        <f t="shared" si="78"/>
        <v>37479.645280732017</v>
      </c>
      <c r="R502">
        <f t="shared" si="79"/>
        <v>0</v>
      </c>
      <c r="S502">
        <f t="shared" si="80"/>
        <v>67028.994300000006</v>
      </c>
    </row>
    <row r="503" spans="1:19" x14ac:dyDescent="0.3">
      <c r="A503" t="s">
        <v>13</v>
      </c>
      <c r="B503" t="s">
        <v>25</v>
      </c>
      <c r="C503" t="s">
        <v>14</v>
      </c>
      <c r="D503">
        <v>0</v>
      </c>
      <c r="E503">
        <v>4</v>
      </c>
      <c r="F503">
        <v>0</v>
      </c>
      <c r="G503">
        <v>20260116</v>
      </c>
      <c r="H503">
        <v>20260119</v>
      </c>
      <c r="I503">
        <v>3901.3573000000001</v>
      </c>
      <c r="J503">
        <f t="shared" si="71"/>
        <v>4</v>
      </c>
      <c r="K503">
        <f t="shared" si="72"/>
        <v>975.33932500000003</v>
      </c>
      <c r="L503">
        <f t="shared" si="73"/>
        <v>0</v>
      </c>
      <c r="M503">
        <f t="shared" si="74"/>
        <v>3901.3573000000001</v>
      </c>
      <c r="N503">
        <f t="shared" si="75"/>
        <v>0</v>
      </c>
      <c r="O503">
        <f t="shared" si="76"/>
        <v>3901.3573000000001</v>
      </c>
      <c r="P503">
        <f t="shared" si="77"/>
        <v>0</v>
      </c>
      <c r="Q503">
        <f t="shared" si="78"/>
        <v>3901.3573000000001</v>
      </c>
      <c r="R503">
        <f t="shared" si="79"/>
        <v>0</v>
      </c>
      <c r="S503">
        <f t="shared" si="80"/>
        <v>3901.3573000000001</v>
      </c>
    </row>
    <row r="504" spans="1:19" x14ac:dyDescent="0.3">
      <c r="A504" t="s">
        <v>13</v>
      </c>
      <c r="B504" t="s">
        <v>25</v>
      </c>
      <c r="C504" t="s">
        <v>14</v>
      </c>
      <c r="D504">
        <v>0</v>
      </c>
      <c r="E504">
        <v>27</v>
      </c>
      <c r="F504">
        <v>6</v>
      </c>
      <c r="G504">
        <v>20260105</v>
      </c>
      <c r="H504">
        <v>20260206</v>
      </c>
      <c r="I504">
        <v>35931.530200000001</v>
      </c>
      <c r="J504">
        <f t="shared" si="71"/>
        <v>33</v>
      </c>
      <c r="K504">
        <f t="shared" si="72"/>
        <v>1088.8342484848486</v>
      </c>
      <c r="L504">
        <f t="shared" si="73"/>
        <v>0</v>
      </c>
      <c r="M504">
        <f t="shared" si="74"/>
        <v>29398.524709090911</v>
      </c>
      <c r="N504">
        <f t="shared" si="75"/>
        <v>5386.5151748625449</v>
      </c>
      <c r="O504">
        <f t="shared" si="76"/>
        <v>34785.039883953454</v>
      </c>
      <c r="P504">
        <f t="shared" si="77"/>
        <v>0</v>
      </c>
      <c r="Q504">
        <f t="shared" si="78"/>
        <v>30367.479294092729</v>
      </c>
      <c r="R504">
        <f t="shared" si="79"/>
        <v>5564.050905907272</v>
      </c>
      <c r="S504">
        <f t="shared" si="80"/>
        <v>35931.530200000001</v>
      </c>
    </row>
    <row r="505" spans="1:19" x14ac:dyDescent="0.3">
      <c r="A505" t="s">
        <v>13</v>
      </c>
      <c r="B505" t="s">
        <v>25</v>
      </c>
      <c r="C505" t="s">
        <v>15</v>
      </c>
      <c r="D505">
        <v>0</v>
      </c>
      <c r="E505">
        <v>27</v>
      </c>
      <c r="F505">
        <v>5</v>
      </c>
      <c r="G505">
        <v>20260105</v>
      </c>
      <c r="H505">
        <v>20260205</v>
      </c>
      <c r="I505">
        <v>875510.60450000002</v>
      </c>
      <c r="J505">
        <f t="shared" si="71"/>
        <v>32</v>
      </c>
      <c r="K505">
        <f t="shared" si="72"/>
        <v>27359.706390625</v>
      </c>
      <c r="L505">
        <f t="shared" si="73"/>
        <v>0</v>
      </c>
      <c r="M505">
        <f t="shared" si="74"/>
        <v>738712.07254687499</v>
      </c>
      <c r="N505">
        <f t="shared" si="75"/>
        <v>112791.48154548525</v>
      </c>
      <c r="O505">
        <f t="shared" si="76"/>
        <v>851503.55409236019</v>
      </c>
      <c r="P505">
        <f t="shared" si="77"/>
        <v>0</v>
      </c>
      <c r="Q505">
        <f t="shared" si="78"/>
        <v>759539.11182009138</v>
      </c>
      <c r="R505">
        <f t="shared" si="79"/>
        <v>115971.49267990868</v>
      </c>
      <c r="S505">
        <f t="shared" si="80"/>
        <v>875510.60450000002</v>
      </c>
    </row>
    <row r="506" spans="1:19" x14ac:dyDescent="0.3">
      <c r="A506" t="s">
        <v>13</v>
      </c>
      <c r="B506" t="s">
        <v>25</v>
      </c>
      <c r="C506" t="s">
        <v>15</v>
      </c>
      <c r="D506">
        <v>0</v>
      </c>
      <c r="E506">
        <v>16</v>
      </c>
      <c r="F506">
        <v>18</v>
      </c>
      <c r="G506">
        <v>20260116</v>
      </c>
      <c r="H506">
        <v>20260218</v>
      </c>
      <c r="I506">
        <v>341757.01949999999</v>
      </c>
      <c r="J506">
        <f t="shared" si="71"/>
        <v>34</v>
      </c>
      <c r="K506">
        <f t="shared" si="72"/>
        <v>10051.677044117647</v>
      </c>
      <c r="L506">
        <f t="shared" si="73"/>
        <v>0</v>
      </c>
      <c r="M506">
        <f t="shared" si="74"/>
        <v>160826.83270588235</v>
      </c>
      <c r="N506">
        <f t="shared" si="75"/>
        <v>149178.38322857628</v>
      </c>
      <c r="O506">
        <f t="shared" si="76"/>
        <v>310005.21593445865</v>
      </c>
      <c r="P506">
        <f t="shared" si="77"/>
        <v>0</v>
      </c>
      <c r="Q506">
        <f t="shared" si="78"/>
        <v>177299.27167679626</v>
      </c>
      <c r="R506">
        <f t="shared" si="79"/>
        <v>164457.74782320371</v>
      </c>
      <c r="S506">
        <f t="shared" si="80"/>
        <v>341757.01949999994</v>
      </c>
    </row>
    <row r="507" spans="1:19" x14ac:dyDescent="0.3">
      <c r="A507" t="s">
        <v>13</v>
      </c>
      <c r="B507" t="s">
        <v>25</v>
      </c>
      <c r="C507" t="s">
        <v>15</v>
      </c>
      <c r="D507">
        <v>25</v>
      </c>
      <c r="E507">
        <v>7</v>
      </c>
      <c r="F507">
        <v>0</v>
      </c>
      <c r="G507">
        <v>20251207</v>
      </c>
      <c r="H507">
        <v>20260107</v>
      </c>
      <c r="I507">
        <v>293499.32929999998</v>
      </c>
      <c r="J507">
        <f t="shared" si="71"/>
        <v>32</v>
      </c>
      <c r="K507">
        <f t="shared" si="72"/>
        <v>9171.8540406249995</v>
      </c>
      <c r="L507">
        <f t="shared" si="73"/>
        <v>193692.50355534832</v>
      </c>
      <c r="M507">
        <f t="shared" si="74"/>
        <v>64202.978284375</v>
      </c>
      <c r="N507">
        <f t="shared" si="75"/>
        <v>0</v>
      </c>
      <c r="O507">
        <f t="shared" si="76"/>
        <v>257895.4818397233</v>
      </c>
      <c r="P507">
        <f t="shared" si="77"/>
        <v>220432.7872609371</v>
      </c>
      <c r="Q507">
        <f t="shared" si="78"/>
        <v>73066.542039062901</v>
      </c>
      <c r="R507">
        <f t="shared" si="79"/>
        <v>0</v>
      </c>
      <c r="S507">
        <f t="shared" si="80"/>
        <v>293499.32929999998</v>
      </c>
    </row>
    <row r="508" spans="1:19" x14ac:dyDescent="0.3">
      <c r="A508" t="s">
        <v>13</v>
      </c>
      <c r="B508" t="s">
        <v>25</v>
      </c>
      <c r="C508" t="s">
        <v>15</v>
      </c>
      <c r="D508">
        <v>23</v>
      </c>
      <c r="E508">
        <v>9</v>
      </c>
      <c r="F508">
        <v>0</v>
      </c>
      <c r="G508">
        <v>20251209</v>
      </c>
      <c r="H508">
        <v>20260109</v>
      </c>
      <c r="I508">
        <v>10579.8866</v>
      </c>
      <c r="J508">
        <f t="shared" si="71"/>
        <v>32</v>
      </c>
      <c r="K508">
        <f t="shared" si="72"/>
        <v>330.62145624999999</v>
      </c>
      <c r="L508">
        <f t="shared" si="73"/>
        <v>6423.5415786172543</v>
      </c>
      <c r="M508">
        <f t="shared" si="74"/>
        <v>2975.5931062499999</v>
      </c>
      <c r="N508">
        <f t="shared" si="75"/>
        <v>0</v>
      </c>
      <c r="O508">
        <f t="shared" si="76"/>
        <v>9399.1346848672547</v>
      </c>
      <c r="P508">
        <f t="shared" si="77"/>
        <v>7230.4891621111346</v>
      </c>
      <c r="Q508">
        <f t="shared" si="78"/>
        <v>3349.3974378888656</v>
      </c>
      <c r="R508">
        <f t="shared" si="79"/>
        <v>0</v>
      </c>
      <c r="S508">
        <f t="shared" si="80"/>
        <v>10579.8866</v>
      </c>
    </row>
    <row r="509" spans="1:19" x14ac:dyDescent="0.3">
      <c r="A509" t="s">
        <v>13</v>
      </c>
      <c r="B509" t="s">
        <v>25</v>
      </c>
      <c r="C509" t="s">
        <v>15</v>
      </c>
      <c r="D509">
        <v>0</v>
      </c>
      <c r="E509">
        <v>23</v>
      </c>
      <c r="F509">
        <v>4</v>
      </c>
      <c r="G509">
        <v>20260109</v>
      </c>
      <c r="H509">
        <v>20260204</v>
      </c>
      <c r="I509">
        <v>356776.63530000002</v>
      </c>
      <c r="J509">
        <f t="shared" si="71"/>
        <v>27</v>
      </c>
      <c r="K509">
        <f t="shared" si="72"/>
        <v>13213.949455555556</v>
      </c>
      <c r="L509">
        <f t="shared" si="73"/>
        <v>0</v>
      </c>
      <c r="M509">
        <f t="shared" si="74"/>
        <v>303920.83747777779</v>
      </c>
      <c r="N509">
        <f t="shared" si="75"/>
        <v>43580.027208770713</v>
      </c>
      <c r="O509">
        <f t="shared" si="76"/>
        <v>347500.86468654848</v>
      </c>
      <c r="P509">
        <f t="shared" si="77"/>
        <v>0</v>
      </c>
      <c r="Q509">
        <f t="shared" si="78"/>
        <v>312033.33519957436</v>
      </c>
      <c r="R509">
        <f t="shared" si="79"/>
        <v>44743.300100425709</v>
      </c>
      <c r="S509">
        <f t="shared" si="80"/>
        <v>356776.63530000008</v>
      </c>
    </row>
    <row r="510" spans="1:19" x14ac:dyDescent="0.3">
      <c r="A510" t="s">
        <v>13</v>
      </c>
      <c r="B510" t="s">
        <v>25</v>
      </c>
      <c r="C510" t="s">
        <v>14</v>
      </c>
      <c r="D510">
        <v>0</v>
      </c>
      <c r="E510">
        <v>23</v>
      </c>
      <c r="F510">
        <v>6</v>
      </c>
      <c r="G510">
        <v>20260109</v>
      </c>
      <c r="H510">
        <v>20260206</v>
      </c>
      <c r="I510">
        <v>2312.4176000000002</v>
      </c>
      <c r="J510">
        <f t="shared" si="71"/>
        <v>29</v>
      </c>
      <c r="K510">
        <f t="shared" si="72"/>
        <v>79.738537931034486</v>
      </c>
      <c r="L510">
        <f t="shared" si="73"/>
        <v>0</v>
      </c>
      <c r="M510">
        <f t="shared" si="74"/>
        <v>1833.9863724137931</v>
      </c>
      <c r="N510">
        <f t="shared" si="75"/>
        <v>394.47036606770246</v>
      </c>
      <c r="O510">
        <f t="shared" si="76"/>
        <v>2228.4567384814954</v>
      </c>
      <c r="P510">
        <f t="shared" si="77"/>
        <v>0</v>
      </c>
      <c r="Q510">
        <f t="shared" si="78"/>
        <v>1903.0848983945962</v>
      </c>
      <c r="R510">
        <f t="shared" si="79"/>
        <v>409.33270160540411</v>
      </c>
      <c r="S510">
        <f t="shared" si="80"/>
        <v>2312.4176000000002</v>
      </c>
    </row>
    <row r="511" spans="1:19" x14ac:dyDescent="0.3">
      <c r="A511" t="s">
        <v>13</v>
      </c>
      <c r="B511" t="s">
        <v>25</v>
      </c>
      <c r="C511" t="s">
        <v>14</v>
      </c>
      <c r="D511">
        <v>0</v>
      </c>
      <c r="E511">
        <v>28</v>
      </c>
      <c r="F511">
        <v>6</v>
      </c>
      <c r="G511">
        <v>20260104</v>
      </c>
      <c r="H511">
        <v>20260206</v>
      </c>
      <c r="I511">
        <v>10799.709699999999</v>
      </c>
      <c r="J511">
        <f t="shared" si="71"/>
        <v>34</v>
      </c>
      <c r="K511">
        <f t="shared" si="72"/>
        <v>317.63852058823528</v>
      </c>
      <c r="L511">
        <f t="shared" si="73"/>
        <v>0</v>
      </c>
      <c r="M511">
        <f t="shared" si="74"/>
        <v>8893.8785764705881</v>
      </c>
      <c r="N511">
        <f t="shared" si="75"/>
        <v>1571.3729740318936</v>
      </c>
      <c r="O511">
        <f t="shared" si="76"/>
        <v>10465.251550502482</v>
      </c>
      <c r="P511">
        <f t="shared" si="77"/>
        <v>0</v>
      </c>
      <c r="Q511">
        <f t="shared" si="78"/>
        <v>9178.1173409367075</v>
      </c>
      <c r="R511">
        <f t="shared" si="79"/>
        <v>1621.5923590632915</v>
      </c>
      <c r="S511">
        <f t="shared" si="80"/>
        <v>10799.709699999999</v>
      </c>
    </row>
    <row r="512" spans="1:19" x14ac:dyDescent="0.3">
      <c r="A512" t="s">
        <v>13</v>
      </c>
      <c r="B512" t="s">
        <v>25</v>
      </c>
      <c r="C512" t="s">
        <v>14</v>
      </c>
      <c r="D512">
        <v>30</v>
      </c>
      <c r="E512">
        <v>8</v>
      </c>
      <c r="F512">
        <v>0</v>
      </c>
      <c r="G512">
        <v>20251202</v>
      </c>
      <c r="H512">
        <v>20260108</v>
      </c>
      <c r="I512">
        <v>88400.189899999998</v>
      </c>
      <c r="J512">
        <f t="shared" si="71"/>
        <v>38</v>
      </c>
      <c r="K512">
        <f t="shared" si="72"/>
        <v>2326.320786842105</v>
      </c>
      <c r="L512">
        <f t="shared" si="73"/>
        <v>58953.083459089648</v>
      </c>
      <c r="M512">
        <f t="shared" si="74"/>
        <v>18610.56629473684</v>
      </c>
      <c r="N512">
        <f t="shared" si="75"/>
        <v>0</v>
      </c>
      <c r="O512">
        <f t="shared" si="76"/>
        <v>77563.649753826496</v>
      </c>
      <c r="P512">
        <f t="shared" si="77"/>
        <v>67189.511962296136</v>
      </c>
      <c r="Q512">
        <f t="shared" si="78"/>
        <v>21210.677937703847</v>
      </c>
      <c r="R512">
        <f t="shared" si="79"/>
        <v>0</v>
      </c>
      <c r="S512">
        <f t="shared" si="80"/>
        <v>88400.189899999983</v>
      </c>
    </row>
    <row r="513" spans="1:19" x14ac:dyDescent="0.3">
      <c r="A513" t="s">
        <v>13</v>
      </c>
      <c r="B513" t="s">
        <v>25</v>
      </c>
      <c r="C513" t="s">
        <v>14</v>
      </c>
      <c r="D513">
        <v>30</v>
      </c>
      <c r="E513">
        <v>7</v>
      </c>
      <c r="F513">
        <v>0</v>
      </c>
      <c r="G513">
        <v>20251202</v>
      </c>
      <c r="H513">
        <v>20260107</v>
      </c>
      <c r="I513">
        <v>118875.2602</v>
      </c>
      <c r="J513">
        <f t="shared" si="71"/>
        <v>37</v>
      </c>
      <c r="K513">
        <f t="shared" si="72"/>
        <v>3212.8448702702703</v>
      </c>
      <c r="L513">
        <f t="shared" si="73"/>
        <v>81419.171788111154</v>
      </c>
      <c r="M513">
        <f t="shared" si="74"/>
        <v>22489.914091891893</v>
      </c>
      <c r="N513">
        <f t="shared" si="75"/>
        <v>0</v>
      </c>
      <c r="O513">
        <f t="shared" si="76"/>
        <v>103909.08588000305</v>
      </c>
      <c r="P513">
        <f t="shared" si="77"/>
        <v>93146.091601243228</v>
      </c>
      <c r="Q513">
        <f t="shared" si="78"/>
        <v>25729.168598756773</v>
      </c>
      <c r="R513">
        <f t="shared" si="79"/>
        <v>0</v>
      </c>
      <c r="S513">
        <f t="shared" si="80"/>
        <v>118875.2602</v>
      </c>
    </row>
    <row r="514" spans="1:19" x14ac:dyDescent="0.3">
      <c r="A514" t="s">
        <v>13</v>
      </c>
      <c r="B514" t="s">
        <v>25</v>
      </c>
      <c r="C514" t="s">
        <v>14</v>
      </c>
      <c r="D514">
        <v>26</v>
      </c>
      <c r="E514">
        <v>8</v>
      </c>
      <c r="F514">
        <v>0</v>
      </c>
      <c r="G514">
        <v>20251206</v>
      </c>
      <c r="H514">
        <v>20260108</v>
      </c>
      <c r="I514">
        <v>6804.3972999999996</v>
      </c>
      <c r="J514">
        <f t="shared" si="71"/>
        <v>34</v>
      </c>
      <c r="K514">
        <f t="shared" si="72"/>
        <v>200.12933235294116</v>
      </c>
      <c r="L514">
        <f t="shared" si="73"/>
        <v>4395.4137621979071</v>
      </c>
      <c r="M514">
        <f t="shared" si="74"/>
        <v>1601.0346588235293</v>
      </c>
      <c r="N514">
        <f t="shared" si="75"/>
        <v>0</v>
      </c>
      <c r="O514">
        <f t="shared" si="76"/>
        <v>5996.4484210214359</v>
      </c>
      <c r="P514">
        <f t="shared" si="77"/>
        <v>4987.6425904098287</v>
      </c>
      <c r="Q514">
        <f t="shared" si="78"/>
        <v>1816.7547095901718</v>
      </c>
      <c r="R514">
        <f t="shared" si="79"/>
        <v>0</v>
      </c>
      <c r="S514">
        <f t="shared" si="80"/>
        <v>6804.3973000000005</v>
      </c>
    </row>
    <row r="515" spans="1:19" x14ac:dyDescent="0.3">
      <c r="A515" t="s">
        <v>13</v>
      </c>
      <c r="B515" t="s">
        <v>25</v>
      </c>
      <c r="C515" t="s">
        <v>15</v>
      </c>
      <c r="D515">
        <v>0</v>
      </c>
      <c r="E515">
        <v>20</v>
      </c>
      <c r="F515">
        <v>0</v>
      </c>
      <c r="G515">
        <v>20260103</v>
      </c>
      <c r="H515">
        <v>20260122</v>
      </c>
      <c r="I515">
        <v>1888.1537000000001</v>
      </c>
      <c r="J515">
        <f t="shared" si="71"/>
        <v>20</v>
      </c>
      <c r="K515">
        <f t="shared" si="72"/>
        <v>94.407685000000001</v>
      </c>
      <c r="L515">
        <f t="shared" si="73"/>
        <v>0</v>
      </c>
      <c r="M515">
        <f t="shared" si="74"/>
        <v>1888.1537000000001</v>
      </c>
      <c r="N515">
        <f t="shared" si="75"/>
        <v>0</v>
      </c>
      <c r="O515">
        <f t="shared" si="76"/>
        <v>1888.1537000000001</v>
      </c>
      <c r="P515">
        <f t="shared" si="77"/>
        <v>0</v>
      </c>
      <c r="Q515">
        <f t="shared" si="78"/>
        <v>1888.1537000000001</v>
      </c>
      <c r="R515">
        <f t="shared" si="79"/>
        <v>0</v>
      </c>
      <c r="S515">
        <f t="shared" si="80"/>
        <v>1888.1537000000001</v>
      </c>
    </row>
    <row r="516" spans="1:19" x14ac:dyDescent="0.3">
      <c r="A516" t="s">
        <v>13</v>
      </c>
      <c r="B516" t="s">
        <v>25</v>
      </c>
      <c r="C516" t="s">
        <v>15</v>
      </c>
      <c r="D516">
        <v>0</v>
      </c>
      <c r="E516">
        <v>24</v>
      </c>
      <c r="F516">
        <v>9</v>
      </c>
      <c r="G516">
        <v>20260108</v>
      </c>
      <c r="H516">
        <v>20260209</v>
      </c>
      <c r="I516">
        <v>44736.873299999999</v>
      </c>
      <c r="J516">
        <f t="shared" si="71"/>
        <v>33</v>
      </c>
      <c r="K516">
        <f t="shared" si="72"/>
        <v>1355.6628272727273</v>
      </c>
      <c r="L516">
        <f t="shared" si="73"/>
        <v>0</v>
      </c>
      <c r="M516">
        <f t="shared" si="74"/>
        <v>32535.907854545454</v>
      </c>
      <c r="N516">
        <f t="shared" si="75"/>
        <v>10059.793400046445</v>
      </c>
      <c r="O516">
        <f t="shared" si="76"/>
        <v>42595.701254591899</v>
      </c>
      <c r="P516">
        <f t="shared" si="77"/>
        <v>0</v>
      </c>
      <c r="Q516">
        <f t="shared" si="78"/>
        <v>34171.400975171484</v>
      </c>
      <c r="R516">
        <f t="shared" si="79"/>
        <v>10565.472324828515</v>
      </c>
      <c r="S516">
        <f t="shared" si="80"/>
        <v>44736.873299999999</v>
      </c>
    </row>
    <row r="517" spans="1:19" x14ac:dyDescent="0.3">
      <c r="A517" t="s">
        <v>13</v>
      </c>
      <c r="B517" t="s">
        <v>25</v>
      </c>
      <c r="C517" t="s">
        <v>15</v>
      </c>
      <c r="D517">
        <v>0</v>
      </c>
      <c r="E517">
        <v>19</v>
      </c>
      <c r="F517">
        <v>0</v>
      </c>
      <c r="G517">
        <v>20260103</v>
      </c>
      <c r="H517">
        <v>20260121</v>
      </c>
      <c r="I517">
        <v>27692.9215</v>
      </c>
      <c r="J517">
        <f t="shared" si="71"/>
        <v>19</v>
      </c>
      <c r="K517">
        <f t="shared" si="72"/>
        <v>1457.5221842105263</v>
      </c>
      <c r="L517">
        <f t="shared" si="73"/>
        <v>0</v>
      </c>
      <c r="M517">
        <f t="shared" si="74"/>
        <v>27692.9215</v>
      </c>
      <c r="N517">
        <f t="shared" si="75"/>
        <v>0</v>
      </c>
      <c r="O517">
        <f t="shared" si="76"/>
        <v>27692.9215</v>
      </c>
      <c r="P517">
        <f t="shared" si="77"/>
        <v>0</v>
      </c>
      <c r="Q517">
        <f t="shared" si="78"/>
        <v>27692.9215</v>
      </c>
      <c r="R517">
        <f t="shared" si="79"/>
        <v>0</v>
      </c>
      <c r="S517">
        <f t="shared" si="80"/>
        <v>27692.9215</v>
      </c>
    </row>
    <row r="518" spans="1:19" x14ac:dyDescent="0.3">
      <c r="A518" t="s">
        <v>13</v>
      </c>
      <c r="B518" t="s">
        <v>25</v>
      </c>
      <c r="C518" t="s">
        <v>15</v>
      </c>
      <c r="D518">
        <v>0</v>
      </c>
      <c r="E518">
        <v>15</v>
      </c>
      <c r="F518">
        <v>2</v>
      </c>
      <c r="G518">
        <v>20260117</v>
      </c>
      <c r="H518">
        <v>20260202</v>
      </c>
      <c r="I518">
        <v>13118.3313</v>
      </c>
      <c r="J518">
        <f t="shared" si="71"/>
        <v>17</v>
      </c>
      <c r="K518">
        <f t="shared" si="72"/>
        <v>771.66654705882354</v>
      </c>
      <c r="L518">
        <f t="shared" si="73"/>
        <v>0</v>
      </c>
      <c r="M518">
        <f t="shared" si="74"/>
        <v>11574.998205882353</v>
      </c>
      <c r="N518">
        <f t="shared" si="75"/>
        <v>1272.4904552583594</v>
      </c>
      <c r="O518">
        <f t="shared" si="76"/>
        <v>12847.488661140713</v>
      </c>
      <c r="P518">
        <f t="shared" si="77"/>
        <v>0</v>
      </c>
      <c r="Q518">
        <f t="shared" si="78"/>
        <v>11819.015004928458</v>
      </c>
      <c r="R518">
        <f t="shared" si="79"/>
        <v>1299.3162950715412</v>
      </c>
      <c r="S518">
        <f t="shared" si="80"/>
        <v>13118.3313</v>
      </c>
    </row>
    <row r="519" spans="1:19" x14ac:dyDescent="0.3">
      <c r="A519" t="s">
        <v>13</v>
      </c>
      <c r="B519" t="s">
        <v>25</v>
      </c>
      <c r="C519" t="s">
        <v>15</v>
      </c>
      <c r="D519">
        <v>0</v>
      </c>
      <c r="E519">
        <v>27</v>
      </c>
      <c r="F519">
        <v>7</v>
      </c>
      <c r="G519">
        <v>20260105</v>
      </c>
      <c r="H519">
        <v>20260207</v>
      </c>
      <c r="I519">
        <v>151378.26300000001</v>
      </c>
      <c r="J519">
        <f t="shared" si="71"/>
        <v>34</v>
      </c>
      <c r="K519">
        <f t="shared" si="72"/>
        <v>4452.3018529411765</v>
      </c>
      <c r="L519">
        <f t="shared" si="73"/>
        <v>0</v>
      </c>
      <c r="M519">
        <f t="shared" si="74"/>
        <v>120212.15002941177</v>
      </c>
      <c r="N519">
        <f t="shared" si="75"/>
        <v>25696.708917688858</v>
      </c>
      <c r="O519">
        <f t="shared" si="76"/>
        <v>145908.85894710064</v>
      </c>
      <c r="P519">
        <f t="shared" si="77"/>
        <v>0</v>
      </c>
      <c r="Q519">
        <f t="shared" si="78"/>
        <v>124718.311103682</v>
      </c>
      <c r="R519">
        <f t="shared" si="79"/>
        <v>26659.951896317991</v>
      </c>
      <c r="S519">
        <f t="shared" si="80"/>
        <v>151378.26300000001</v>
      </c>
    </row>
    <row r="520" spans="1:19" x14ac:dyDescent="0.3">
      <c r="A520" t="s">
        <v>13</v>
      </c>
      <c r="B520" t="s">
        <v>25</v>
      </c>
      <c r="C520" t="s">
        <v>15</v>
      </c>
      <c r="D520">
        <v>0</v>
      </c>
      <c r="E520">
        <v>25</v>
      </c>
      <c r="F520">
        <v>8</v>
      </c>
      <c r="G520">
        <v>20260107</v>
      </c>
      <c r="H520">
        <v>20260208</v>
      </c>
      <c r="I520">
        <v>58850.472300000001</v>
      </c>
      <c r="J520">
        <f t="shared" si="71"/>
        <v>33</v>
      </c>
      <c r="K520">
        <f t="shared" si="72"/>
        <v>1783.3476454545455</v>
      </c>
      <c r="L520">
        <f t="shared" si="73"/>
        <v>0</v>
      </c>
      <c r="M520">
        <f t="shared" si="74"/>
        <v>44583.691136363639</v>
      </c>
      <c r="N520">
        <f t="shared" si="75"/>
        <v>11763.074949394644</v>
      </c>
      <c r="O520">
        <f t="shared" si="76"/>
        <v>56346.766085758281</v>
      </c>
      <c r="P520">
        <f t="shared" si="77"/>
        <v>0</v>
      </c>
      <c r="Q520">
        <f t="shared" si="78"/>
        <v>46564.718128792236</v>
      </c>
      <c r="R520">
        <f t="shared" si="79"/>
        <v>12285.754171207771</v>
      </c>
      <c r="S520">
        <f t="shared" si="80"/>
        <v>58850.472300000009</v>
      </c>
    </row>
    <row r="521" spans="1:19" x14ac:dyDescent="0.3">
      <c r="A521" t="s">
        <v>13</v>
      </c>
      <c r="B521" t="s">
        <v>25</v>
      </c>
      <c r="C521" t="s">
        <v>15</v>
      </c>
      <c r="D521">
        <v>0</v>
      </c>
      <c r="E521">
        <v>31</v>
      </c>
      <c r="F521">
        <v>0</v>
      </c>
      <c r="G521">
        <v>20260101</v>
      </c>
      <c r="H521">
        <v>20260131</v>
      </c>
      <c r="I521">
        <v>63605.270700000001</v>
      </c>
      <c r="J521">
        <f t="shared" si="71"/>
        <v>31</v>
      </c>
      <c r="K521">
        <f t="shared" si="72"/>
        <v>2051.7829258064517</v>
      </c>
      <c r="L521">
        <f t="shared" si="73"/>
        <v>0</v>
      </c>
      <c r="M521">
        <f t="shared" si="74"/>
        <v>63605.270700000001</v>
      </c>
      <c r="N521">
        <f t="shared" si="75"/>
        <v>0</v>
      </c>
      <c r="O521">
        <f t="shared" si="76"/>
        <v>63605.270700000001</v>
      </c>
      <c r="P521">
        <f t="shared" si="77"/>
        <v>0</v>
      </c>
      <c r="Q521">
        <f t="shared" si="78"/>
        <v>63605.270700000001</v>
      </c>
      <c r="R521">
        <f t="shared" si="79"/>
        <v>0</v>
      </c>
      <c r="S521">
        <f t="shared" si="80"/>
        <v>63605.270700000001</v>
      </c>
    </row>
    <row r="522" spans="1:19" x14ac:dyDescent="0.3">
      <c r="A522" t="s">
        <v>13</v>
      </c>
      <c r="B522" t="s">
        <v>25</v>
      </c>
      <c r="C522" t="s">
        <v>14</v>
      </c>
      <c r="D522">
        <v>0</v>
      </c>
      <c r="E522">
        <v>28</v>
      </c>
      <c r="F522">
        <v>7</v>
      </c>
      <c r="G522">
        <v>20260104</v>
      </c>
      <c r="H522">
        <v>20260207</v>
      </c>
      <c r="I522">
        <v>882.46659999999997</v>
      </c>
      <c r="J522">
        <f t="shared" si="71"/>
        <v>35</v>
      </c>
      <c r="K522">
        <f t="shared" si="72"/>
        <v>25.213331428571429</v>
      </c>
      <c r="L522">
        <f t="shared" si="73"/>
        <v>0</v>
      </c>
      <c r="M522">
        <f t="shared" si="74"/>
        <v>705.97328000000005</v>
      </c>
      <c r="N522">
        <f t="shared" si="75"/>
        <v>145.52015114096898</v>
      </c>
      <c r="O522">
        <f t="shared" si="76"/>
        <v>851.49343114096905</v>
      </c>
      <c r="P522">
        <f t="shared" si="77"/>
        <v>0</v>
      </c>
      <c r="Q522">
        <f t="shared" si="78"/>
        <v>731.65313707429834</v>
      </c>
      <c r="R522">
        <f t="shared" si="79"/>
        <v>150.81346292570163</v>
      </c>
      <c r="S522">
        <f t="shared" si="80"/>
        <v>882.46659999999997</v>
      </c>
    </row>
    <row r="523" spans="1:19" x14ac:dyDescent="0.3">
      <c r="A523" t="s">
        <v>13</v>
      </c>
      <c r="B523" t="s">
        <v>25</v>
      </c>
      <c r="C523" t="s">
        <v>15</v>
      </c>
      <c r="D523">
        <v>0</v>
      </c>
      <c r="E523">
        <v>18</v>
      </c>
      <c r="F523">
        <v>0</v>
      </c>
      <c r="G523">
        <v>20260104</v>
      </c>
      <c r="H523">
        <v>20260121</v>
      </c>
      <c r="I523">
        <v>461.55959999999999</v>
      </c>
      <c r="J523">
        <f t="shared" ref="J523:J586" si="81">IF(D523&lt;0,0,D523)+E523+F523</f>
        <v>18</v>
      </c>
      <c r="K523">
        <f t="shared" ref="K523:K586" si="82">I523/J523</f>
        <v>25.642199999999999</v>
      </c>
      <c r="L523">
        <f t="shared" ref="L523:L586" si="83">IF(D523&lt;0,0,D523)*$K523*$B$6</f>
        <v>0</v>
      </c>
      <c r="M523">
        <f t="shared" ref="M523:M586" si="84">IF(E523&lt;0,0,E523)*$K523*$C$6</f>
        <v>461.55959999999999</v>
      </c>
      <c r="N523">
        <f t="shared" ref="N523:N586" si="85">IF(F523&lt;0,0,F523)*$K523*$D$6</f>
        <v>0</v>
      </c>
      <c r="O523">
        <f t="shared" ref="O523:O586" si="86">L523+M523+N523</f>
        <v>461.55959999999999</v>
      </c>
      <c r="P523">
        <f t="shared" ref="P523:P586" si="87">L523/$O523*$I523</f>
        <v>0</v>
      </c>
      <c r="Q523">
        <f t="shared" ref="Q523:Q586" si="88">M523/$O523*$I523</f>
        <v>461.55959999999999</v>
      </c>
      <c r="R523">
        <f t="shared" ref="R523:R586" si="89">N523/$O523*$I523</f>
        <v>0</v>
      </c>
      <c r="S523">
        <f t="shared" ref="S523:S586" si="90">P523+Q523+R523</f>
        <v>461.55959999999999</v>
      </c>
    </row>
    <row r="524" spans="1:19" x14ac:dyDescent="0.3">
      <c r="A524" t="s">
        <v>13</v>
      </c>
      <c r="B524" t="s">
        <v>25</v>
      </c>
      <c r="C524" t="s">
        <v>14</v>
      </c>
      <c r="D524">
        <v>27</v>
      </c>
      <c r="E524">
        <v>8</v>
      </c>
      <c r="F524">
        <v>0</v>
      </c>
      <c r="G524">
        <v>20251205</v>
      </c>
      <c r="H524">
        <v>20260108</v>
      </c>
      <c r="I524">
        <v>1638.2883999999999</v>
      </c>
      <c r="J524">
        <f t="shared" si="81"/>
        <v>35</v>
      </c>
      <c r="K524">
        <f t="shared" si="82"/>
        <v>46.808239999999998</v>
      </c>
      <c r="L524">
        <f t="shared" si="83"/>
        <v>1067.5832350426203</v>
      </c>
      <c r="M524">
        <f t="shared" si="84"/>
        <v>374.46591999999998</v>
      </c>
      <c r="N524">
        <f t="shared" si="85"/>
        <v>0</v>
      </c>
      <c r="O524">
        <f t="shared" si="86"/>
        <v>1442.0491550426204</v>
      </c>
      <c r="P524">
        <f t="shared" si="87"/>
        <v>1212.8638083443873</v>
      </c>
      <c r="Q524">
        <f t="shared" si="88"/>
        <v>425.42459165561257</v>
      </c>
      <c r="R524">
        <f t="shared" si="89"/>
        <v>0</v>
      </c>
      <c r="S524">
        <f t="shared" si="90"/>
        <v>1638.2883999999999</v>
      </c>
    </row>
    <row r="525" spans="1:19" x14ac:dyDescent="0.3">
      <c r="A525" t="s">
        <v>13</v>
      </c>
      <c r="B525" t="s">
        <v>25</v>
      </c>
      <c r="C525" t="s">
        <v>15</v>
      </c>
      <c r="D525">
        <v>0</v>
      </c>
      <c r="E525">
        <v>18</v>
      </c>
      <c r="F525">
        <v>0</v>
      </c>
      <c r="G525">
        <v>20260106</v>
      </c>
      <c r="H525">
        <v>20260123</v>
      </c>
      <c r="I525">
        <v>2392.3937000000001</v>
      </c>
      <c r="J525">
        <f t="shared" si="81"/>
        <v>18</v>
      </c>
      <c r="K525">
        <f t="shared" si="82"/>
        <v>132.91076111111113</v>
      </c>
      <c r="L525">
        <f t="shared" si="83"/>
        <v>0</v>
      </c>
      <c r="M525">
        <f t="shared" si="84"/>
        <v>2392.3937000000005</v>
      </c>
      <c r="N525">
        <f t="shared" si="85"/>
        <v>0</v>
      </c>
      <c r="O525">
        <f t="shared" si="86"/>
        <v>2392.3937000000005</v>
      </c>
      <c r="P525">
        <f t="shared" si="87"/>
        <v>0</v>
      </c>
      <c r="Q525">
        <f t="shared" si="88"/>
        <v>2392.3937000000001</v>
      </c>
      <c r="R525">
        <f t="shared" si="89"/>
        <v>0</v>
      </c>
      <c r="S525">
        <f t="shared" si="90"/>
        <v>2392.3937000000001</v>
      </c>
    </row>
    <row r="526" spans="1:19" x14ac:dyDescent="0.3">
      <c r="A526" t="s">
        <v>13</v>
      </c>
      <c r="B526" t="s">
        <v>25</v>
      </c>
      <c r="C526" t="s">
        <v>15</v>
      </c>
      <c r="D526">
        <v>0</v>
      </c>
      <c r="E526">
        <v>22</v>
      </c>
      <c r="F526">
        <v>0</v>
      </c>
      <c r="G526">
        <v>20260107</v>
      </c>
      <c r="H526">
        <v>20260128</v>
      </c>
      <c r="I526">
        <v>4031.4765000000002</v>
      </c>
      <c r="J526">
        <f t="shared" si="81"/>
        <v>22</v>
      </c>
      <c r="K526">
        <f t="shared" si="82"/>
        <v>183.24893181818183</v>
      </c>
      <c r="L526">
        <f t="shared" si="83"/>
        <v>0</v>
      </c>
      <c r="M526">
        <f t="shared" si="84"/>
        <v>4031.4765000000002</v>
      </c>
      <c r="N526">
        <f t="shared" si="85"/>
        <v>0</v>
      </c>
      <c r="O526">
        <f t="shared" si="86"/>
        <v>4031.4765000000002</v>
      </c>
      <c r="P526">
        <f t="shared" si="87"/>
        <v>0</v>
      </c>
      <c r="Q526">
        <f t="shared" si="88"/>
        <v>4031.4765000000002</v>
      </c>
      <c r="R526">
        <f t="shared" si="89"/>
        <v>0</v>
      </c>
      <c r="S526">
        <f t="shared" si="90"/>
        <v>4031.4765000000002</v>
      </c>
    </row>
    <row r="527" spans="1:19" x14ac:dyDescent="0.3">
      <c r="A527" t="s">
        <v>13</v>
      </c>
      <c r="B527" t="s">
        <v>25</v>
      </c>
      <c r="C527" t="s">
        <v>14</v>
      </c>
      <c r="D527">
        <v>0</v>
      </c>
      <c r="E527">
        <v>25</v>
      </c>
      <c r="F527">
        <v>0</v>
      </c>
      <c r="G527">
        <v>20260103</v>
      </c>
      <c r="H527">
        <v>20260127</v>
      </c>
      <c r="I527">
        <v>41.981699999999996</v>
      </c>
      <c r="J527">
        <f t="shared" si="81"/>
        <v>25</v>
      </c>
      <c r="K527">
        <f t="shared" si="82"/>
        <v>1.6792679999999998</v>
      </c>
      <c r="L527">
        <f t="shared" si="83"/>
        <v>0</v>
      </c>
      <c r="M527">
        <f t="shared" si="84"/>
        <v>41.981699999999996</v>
      </c>
      <c r="N527">
        <f t="shared" si="85"/>
        <v>0</v>
      </c>
      <c r="O527">
        <f t="shared" si="86"/>
        <v>41.981699999999996</v>
      </c>
      <c r="P527">
        <f t="shared" si="87"/>
        <v>0</v>
      </c>
      <c r="Q527">
        <f t="shared" si="88"/>
        <v>41.981699999999996</v>
      </c>
      <c r="R527">
        <f t="shared" si="89"/>
        <v>0</v>
      </c>
      <c r="S527">
        <f t="shared" si="90"/>
        <v>41.981699999999996</v>
      </c>
    </row>
    <row r="528" spans="1:19" x14ac:dyDescent="0.3">
      <c r="A528" t="s">
        <v>13</v>
      </c>
      <c r="B528" t="s">
        <v>25</v>
      </c>
      <c r="C528" t="s">
        <v>15</v>
      </c>
      <c r="D528">
        <v>0</v>
      </c>
      <c r="E528">
        <v>24</v>
      </c>
      <c r="F528">
        <v>0</v>
      </c>
      <c r="G528">
        <v>20260103</v>
      </c>
      <c r="H528">
        <v>20260126</v>
      </c>
      <c r="I528">
        <v>7682.6512000000002</v>
      </c>
      <c r="J528">
        <f t="shared" si="81"/>
        <v>24</v>
      </c>
      <c r="K528">
        <f t="shared" si="82"/>
        <v>320.1104666666667</v>
      </c>
      <c r="L528">
        <f t="shared" si="83"/>
        <v>0</v>
      </c>
      <c r="M528">
        <f t="shared" si="84"/>
        <v>7682.6512000000002</v>
      </c>
      <c r="N528">
        <f t="shared" si="85"/>
        <v>0</v>
      </c>
      <c r="O528">
        <f t="shared" si="86"/>
        <v>7682.6512000000002</v>
      </c>
      <c r="P528">
        <f t="shared" si="87"/>
        <v>0</v>
      </c>
      <c r="Q528">
        <f t="shared" si="88"/>
        <v>7682.6512000000002</v>
      </c>
      <c r="R528">
        <f t="shared" si="89"/>
        <v>0</v>
      </c>
      <c r="S528">
        <f t="shared" si="90"/>
        <v>7682.6512000000002</v>
      </c>
    </row>
    <row r="529" spans="1:19" x14ac:dyDescent="0.3">
      <c r="A529" t="s">
        <v>13</v>
      </c>
      <c r="B529" t="s">
        <v>25</v>
      </c>
      <c r="C529" t="s">
        <v>15</v>
      </c>
      <c r="D529">
        <v>0</v>
      </c>
      <c r="E529">
        <v>12</v>
      </c>
      <c r="F529">
        <v>0</v>
      </c>
      <c r="G529">
        <v>20260108</v>
      </c>
      <c r="H529">
        <v>20260119</v>
      </c>
      <c r="I529">
        <v>9442.5475000000006</v>
      </c>
      <c r="J529">
        <f t="shared" si="81"/>
        <v>12</v>
      </c>
      <c r="K529">
        <f t="shared" si="82"/>
        <v>786.87895833333334</v>
      </c>
      <c r="L529">
        <f t="shared" si="83"/>
        <v>0</v>
      </c>
      <c r="M529">
        <f t="shared" si="84"/>
        <v>9442.5475000000006</v>
      </c>
      <c r="N529">
        <f t="shared" si="85"/>
        <v>0</v>
      </c>
      <c r="O529">
        <f t="shared" si="86"/>
        <v>9442.5475000000006</v>
      </c>
      <c r="P529">
        <f t="shared" si="87"/>
        <v>0</v>
      </c>
      <c r="Q529">
        <f t="shared" si="88"/>
        <v>9442.5475000000006</v>
      </c>
      <c r="R529">
        <f t="shared" si="89"/>
        <v>0</v>
      </c>
      <c r="S529">
        <f t="shared" si="90"/>
        <v>9442.5475000000006</v>
      </c>
    </row>
    <row r="530" spans="1:19" x14ac:dyDescent="0.3">
      <c r="A530" t="s">
        <v>13</v>
      </c>
      <c r="B530" t="s">
        <v>25</v>
      </c>
      <c r="C530" t="s">
        <v>15</v>
      </c>
      <c r="D530">
        <v>0</v>
      </c>
      <c r="E530">
        <v>13</v>
      </c>
      <c r="F530">
        <v>0</v>
      </c>
      <c r="G530">
        <v>20260104</v>
      </c>
      <c r="H530">
        <v>20260116</v>
      </c>
      <c r="I530">
        <v>9187.5</v>
      </c>
      <c r="J530">
        <f t="shared" si="81"/>
        <v>13</v>
      </c>
      <c r="K530">
        <f t="shared" si="82"/>
        <v>706.73076923076928</v>
      </c>
      <c r="L530">
        <f t="shared" si="83"/>
        <v>0</v>
      </c>
      <c r="M530">
        <f t="shared" si="84"/>
        <v>9187.5</v>
      </c>
      <c r="N530">
        <f t="shared" si="85"/>
        <v>0</v>
      </c>
      <c r="O530">
        <f t="shared" si="86"/>
        <v>9187.5</v>
      </c>
      <c r="P530">
        <f t="shared" si="87"/>
        <v>0</v>
      </c>
      <c r="Q530">
        <f t="shared" si="88"/>
        <v>9187.5</v>
      </c>
      <c r="R530">
        <f t="shared" si="89"/>
        <v>0</v>
      </c>
      <c r="S530">
        <f t="shared" si="90"/>
        <v>9187.5</v>
      </c>
    </row>
    <row r="531" spans="1:19" x14ac:dyDescent="0.3">
      <c r="A531" t="s">
        <v>13</v>
      </c>
      <c r="B531" t="s">
        <v>25</v>
      </c>
      <c r="C531" t="s">
        <v>15</v>
      </c>
      <c r="D531">
        <v>0</v>
      </c>
      <c r="E531">
        <v>17</v>
      </c>
      <c r="F531">
        <v>0</v>
      </c>
      <c r="G531">
        <v>20260105</v>
      </c>
      <c r="H531">
        <v>20260121</v>
      </c>
      <c r="I531">
        <v>41.962899999999998</v>
      </c>
      <c r="J531">
        <f t="shared" si="81"/>
        <v>17</v>
      </c>
      <c r="K531">
        <f t="shared" si="82"/>
        <v>2.4684058823529411</v>
      </c>
      <c r="L531">
        <f t="shared" si="83"/>
        <v>0</v>
      </c>
      <c r="M531">
        <f t="shared" si="84"/>
        <v>41.962899999999998</v>
      </c>
      <c r="N531">
        <f t="shared" si="85"/>
        <v>0</v>
      </c>
      <c r="O531">
        <f t="shared" si="86"/>
        <v>41.962899999999998</v>
      </c>
      <c r="P531">
        <f t="shared" si="87"/>
        <v>0</v>
      </c>
      <c r="Q531">
        <f t="shared" si="88"/>
        <v>41.962899999999998</v>
      </c>
      <c r="R531">
        <f t="shared" si="89"/>
        <v>0</v>
      </c>
      <c r="S531">
        <f t="shared" si="90"/>
        <v>41.962899999999998</v>
      </c>
    </row>
    <row r="532" spans="1:19" x14ac:dyDescent="0.3">
      <c r="A532" t="s">
        <v>13</v>
      </c>
      <c r="B532" t="s">
        <v>25</v>
      </c>
      <c r="C532" t="s">
        <v>15</v>
      </c>
      <c r="D532">
        <v>0</v>
      </c>
      <c r="E532">
        <v>29</v>
      </c>
      <c r="F532">
        <v>8</v>
      </c>
      <c r="G532">
        <v>20260103</v>
      </c>
      <c r="H532">
        <v>20260208</v>
      </c>
      <c r="I532">
        <v>3025.6707999999999</v>
      </c>
      <c r="J532">
        <f t="shared" si="81"/>
        <v>37</v>
      </c>
      <c r="K532">
        <f t="shared" si="82"/>
        <v>81.77488648648648</v>
      </c>
      <c r="L532">
        <f t="shared" si="83"/>
        <v>0</v>
      </c>
      <c r="M532">
        <f t="shared" si="84"/>
        <v>2371.471708108108</v>
      </c>
      <c r="N532">
        <f t="shared" si="85"/>
        <v>539.3923731979927</v>
      </c>
      <c r="O532">
        <f t="shared" si="86"/>
        <v>2910.8640813061006</v>
      </c>
      <c r="P532">
        <f t="shared" si="87"/>
        <v>0</v>
      </c>
      <c r="Q532">
        <f t="shared" si="88"/>
        <v>2465.0043766486278</v>
      </c>
      <c r="R532">
        <f t="shared" si="89"/>
        <v>560.66642335137215</v>
      </c>
      <c r="S532">
        <f t="shared" si="90"/>
        <v>3025.6707999999999</v>
      </c>
    </row>
    <row r="533" spans="1:19" x14ac:dyDescent="0.3">
      <c r="A533" t="s">
        <v>13</v>
      </c>
      <c r="B533" t="s">
        <v>25</v>
      </c>
      <c r="C533" t="s">
        <v>15</v>
      </c>
      <c r="D533">
        <v>0</v>
      </c>
      <c r="E533">
        <v>29</v>
      </c>
      <c r="F533">
        <v>10</v>
      </c>
      <c r="G533">
        <v>20260103</v>
      </c>
      <c r="H533">
        <v>20260210</v>
      </c>
      <c r="I533">
        <v>1975.4621999999999</v>
      </c>
      <c r="J533">
        <f t="shared" si="81"/>
        <v>39</v>
      </c>
      <c r="K533">
        <f t="shared" si="82"/>
        <v>50.652876923076924</v>
      </c>
      <c r="L533">
        <f t="shared" si="83"/>
        <v>0</v>
      </c>
      <c r="M533">
        <f t="shared" si="84"/>
        <v>1468.9334307692309</v>
      </c>
      <c r="N533">
        <f t="shared" si="85"/>
        <v>417.63701343320264</v>
      </c>
      <c r="O533">
        <f t="shared" si="86"/>
        <v>1886.5704442024335</v>
      </c>
      <c r="P533">
        <f t="shared" si="87"/>
        <v>0</v>
      </c>
      <c r="Q533">
        <f t="shared" si="88"/>
        <v>1538.1468928014015</v>
      </c>
      <c r="R533">
        <f t="shared" si="89"/>
        <v>437.3153071985987</v>
      </c>
      <c r="S533">
        <f t="shared" si="90"/>
        <v>1975.4622000000002</v>
      </c>
    </row>
    <row r="534" spans="1:19" x14ac:dyDescent="0.3">
      <c r="A534" t="s">
        <v>13</v>
      </c>
      <c r="B534" t="s">
        <v>16</v>
      </c>
      <c r="C534" t="s">
        <v>15</v>
      </c>
      <c r="D534">
        <v>31</v>
      </c>
      <c r="E534">
        <v>5</v>
      </c>
      <c r="F534">
        <v>0</v>
      </c>
      <c r="G534">
        <v>20251127</v>
      </c>
      <c r="H534">
        <v>20260105</v>
      </c>
      <c r="I534">
        <v>2584.5486999999998</v>
      </c>
      <c r="J534">
        <f t="shared" si="81"/>
        <v>36</v>
      </c>
      <c r="K534">
        <f t="shared" si="82"/>
        <v>71.79301944444444</v>
      </c>
      <c r="L534">
        <f t="shared" si="83"/>
        <v>1880.0075011415447</v>
      </c>
      <c r="M534">
        <f t="shared" si="84"/>
        <v>358.9650972222222</v>
      </c>
      <c r="N534">
        <f t="shared" si="85"/>
        <v>0</v>
      </c>
      <c r="O534">
        <f t="shared" si="86"/>
        <v>2238.9725983637668</v>
      </c>
      <c r="P534">
        <f t="shared" si="87"/>
        <v>2170.1788340851276</v>
      </c>
      <c r="Q534">
        <f t="shared" si="88"/>
        <v>414.36986591487261</v>
      </c>
      <c r="R534">
        <f t="shared" si="89"/>
        <v>0</v>
      </c>
      <c r="S534">
        <f t="shared" si="90"/>
        <v>2584.5487000000003</v>
      </c>
    </row>
    <row r="535" spans="1:19" x14ac:dyDescent="0.3">
      <c r="A535" t="s">
        <v>13</v>
      </c>
      <c r="B535" t="s">
        <v>25</v>
      </c>
      <c r="C535" t="s">
        <v>15</v>
      </c>
      <c r="D535">
        <v>9</v>
      </c>
      <c r="E535">
        <v>3</v>
      </c>
      <c r="F535">
        <v>0</v>
      </c>
      <c r="G535">
        <v>20251223</v>
      </c>
      <c r="H535">
        <v>20260103</v>
      </c>
      <c r="I535">
        <v>3652.7519000000002</v>
      </c>
      <c r="J535">
        <f t="shared" si="81"/>
        <v>12</v>
      </c>
      <c r="K535">
        <f t="shared" si="82"/>
        <v>304.3959916666667</v>
      </c>
      <c r="L535">
        <f t="shared" si="83"/>
        <v>2314.17985036756</v>
      </c>
      <c r="M535">
        <f t="shared" si="84"/>
        <v>913.18797500000005</v>
      </c>
      <c r="N535">
        <f t="shared" si="85"/>
        <v>0</v>
      </c>
      <c r="O535">
        <f t="shared" si="86"/>
        <v>3227.3678253675598</v>
      </c>
      <c r="P535">
        <f t="shared" si="87"/>
        <v>2619.200941066923</v>
      </c>
      <c r="Q535">
        <f t="shared" si="88"/>
        <v>1033.5509589330777</v>
      </c>
      <c r="R535">
        <f t="shared" si="89"/>
        <v>0</v>
      </c>
      <c r="S535">
        <f t="shared" si="90"/>
        <v>3652.7519000000007</v>
      </c>
    </row>
    <row r="536" spans="1:19" x14ac:dyDescent="0.3">
      <c r="A536" t="s">
        <v>13</v>
      </c>
      <c r="B536" t="s">
        <v>25</v>
      </c>
      <c r="C536" t="s">
        <v>15</v>
      </c>
      <c r="D536">
        <v>3</v>
      </c>
      <c r="E536">
        <v>31</v>
      </c>
      <c r="F536">
        <v>2</v>
      </c>
      <c r="G536">
        <v>20251229</v>
      </c>
      <c r="H536">
        <v>20260202</v>
      </c>
      <c r="I536">
        <v>49765.880499999999</v>
      </c>
      <c r="J536">
        <f t="shared" si="81"/>
        <v>36</v>
      </c>
      <c r="K536">
        <f t="shared" si="82"/>
        <v>1382.3855694444444</v>
      </c>
      <c r="L536">
        <f t="shared" si="83"/>
        <v>3503.2095448335467</v>
      </c>
      <c r="M536">
        <f t="shared" si="84"/>
        <v>42853.952652777778</v>
      </c>
      <c r="N536">
        <f t="shared" si="85"/>
        <v>2279.5758729072577</v>
      </c>
      <c r="O536">
        <f t="shared" si="86"/>
        <v>48636.738070518579</v>
      </c>
      <c r="P536">
        <f t="shared" si="87"/>
        <v>3584.5394755271013</v>
      </c>
      <c r="Q536">
        <f t="shared" si="88"/>
        <v>43848.842896878465</v>
      </c>
      <c r="R536">
        <f t="shared" si="89"/>
        <v>2332.4981275944397</v>
      </c>
      <c r="S536">
        <f t="shared" si="90"/>
        <v>49765.880500000007</v>
      </c>
    </row>
    <row r="537" spans="1:19" x14ac:dyDescent="0.3">
      <c r="A537" t="s">
        <v>13</v>
      </c>
      <c r="B537" t="s">
        <v>25</v>
      </c>
      <c r="C537" t="s">
        <v>14</v>
      </c>
      <c r="D537">
        <v>1</v>
      </c>
      <c r="E537">
        <v>31</v>
      </c>
      <c r="F537">
        <v>3</v>
      </c>
      <c r="G537">
        <v>20251231</v>
      </c>
      <c r="H537">
        <v>20260203</v>
      </c>
      <c r="I537">
        <v>16619.846000000001</v>
      </c>
      <c r="J537">
        <f t="shared" si="81"/>
        <v>35</v>
      </c>
      <c r="K537">
        <f t="shared" si="82"/>
        <v>474.85274285714291</v>
      </c>
      <c r="L537">
        <f t="shared" si="83"/>
        <v>401.12028026933825</v>
      </c>
      <c r="M537">
        <f t="shared" si="84"/>
        <v>14720.43502857143</v>
      </c>
      <c r="N537">
        <f t="shared" si="85"/>
        <v>1174.5596305334691</v>
      </c>
      <c r="O537">
        <f t="shared" si="86"/>
        <v>16296.114939374238</v>
      </c>
      <c r="P537">
        <f t="shared" si="87"/>
        <v>409.08874970227924</v>
      </c>
      <c r="Q537">
        <f t="shared" si="88"/>
        <v>15012.864362949644</v>
      </c>
      <c r="R537">
        <f t="shared" si="89"/>
        <v>1197.8928873480781</v>
      </c>
      <c r="S537">
        <f t="shared" si="90"/>
        <v>16619.846000000001</v>
      </c>
    </row>
    <row r="538" spans="1:19" x14ac:dyDescent="0.3">
      <c r="A538" t="s">
        <v>13</v>
      </c>
      <c r="B538" t="s">
        <v>25</v>
      </c>
      <c r="C538" t="s">
        <v>15</v>
      </c>
      <c r="D538">
        <v>8</v>
      </c>
      <c r="E538">
        <v>27</v>
      </c>
      <c r="F538">
        <v>0</v>
      </c>
      <c r="G538">
        <v>20251224</v>
      </c>
      <c r="H538">
        <v>20260127</v>
      </c>
      <c r="I538">
        <v>209.91839999999999</v>
      </c>
      <c r="J538">
        <f t="shared" si="81"/>
        <v>35</v>
      </c>
      <c r="K538">
        <f t="shared" si="82"/>
        <v>5.9976685714285711</v>
      </c>
      <c r="L538">
        <f t="shared" si="83"/>
        <v>40.531074688268973</v>
      </c>
      <c r="M538">
        <f t="shared" si="84"/>
        <v>161.93705142857141</v>
      </c>
      <c r="N538">
        <f t="shared" si="85"/>
        <v>0</v>
      </c>
      <c r="O538">
        <f t="shared" si="86"/>
        <v>202.46812611684038</v>
      </c>
      <c r="P538">
        <f t="shared" si="87"/>
        <v>42.022507502894534</v>
      </c>
      <c r="Q538">
        <f t="shared" si="88"/>
        <v>167.89589249710545</v>
      </c>
      <c r="R538">
        <f t="shared" si="89"/>
        <v>0</v>
      </c>
      <c r="S538">
        <f t="shared" si="90"/>
        <v>209.91839999999999</v>
      </c>
    </row>
    <row r="539" spans="1:19" x14ac:dyDescent="0.3">
      <c r="A539" t="s">
        <v>13</v>
      </c>
      <c r="B539" t="s">
        <v>25</v>
      </c>
      <c r="C539" t="s">
        <v>14</v>
      </c>
      <c r="D539">
        <v>31</v>
      </c>
      <c r="E539">
        <v>8</v>
      </c>
      <c r="F539">
        <v>0</v>
      </c>
      <c r="G539">
        <v>20251201</v>
      </c>
      <c r="H539">
        <v>20260108</v>
      </c>
      <c r="I539">
        <v>210.0814</v>
      </c>
      <c r="J539">
        <f t="shared" si="81"/>
        <v>39</v>
      </c>
      <c r="K539">
        <f t="shared" si="82"/>
        <v>5.3867025641025643</v>
      </c>
      <c r="L539">
        <f t="shared" si="83"/>
        <v>141.05885649186015</v>
      </c>
      <c r="M539">
        <f t="shared" si="84"/>
        <v>43.093620512820515</v>
      </c>
      <c r="N539">
        <f t="shared" si="85"/>
        <v>0</v>
      </c>
      <c r="O539">
        <f t="shared" si="86"/>
        <v>184.15247700468066</v>
      </c>
      <c r="P539">
        <f t="shared" si="87"/>
        <v>160.92013822575873</v>
      </c>
      <c r="Q539">
        <f t="shared" si="88"/>
        <v>49.161261774241268</v>
      </c>
      <c r="R539">
        <f t="shared" si="89"/>
        <v>0</v>
      </c>
      <c r="S539">
        <f t="shared" si="90"/>
        <v>210.0814</v>
      </c>
    </row>
    <row r="540" spans="1:19" x14ac:dyDescent="0.3">
      <c r="A540" t="s">
        <v>13</v>
      </c>
      <c r="B540" t="s">
        <v>25</v>
      </c>
      <c r="C540" t="s">
        <v>15</v>
      </c>
      <c r="D540">
        <v>10</v>
      </c>
      <c r="E540">
        <v>7</v>
      </c>
      <c r="F540">
        <v>0</v>
      </c>
      <c r="G540">
        <v>20251222</v>
      </c>
      <c r="H540">
        <v>20260107</v>
      </c>
      <c r="I540">
        <v>1972.5361</v>
      </c>
      <c r="J540">
        <f t="shared" si="81"/>
        <v>17</v>
      </c>
      <c r="K540">
        <f t="shared" si="82"/>
        <v>116.03153529411765</v>
      </c>
      <c r="L540">
        <f t="shared" si="83"/>
        <v>980.14811238565801</v>
      </c>
      <c r="M540">
        <f t="shared" si="84"/>
        <v>812.22074705882346</v>
      </c>
      <c r="N540">
        <f t="shared" si="85"/>
        <v>0</v>
      </c>
      <c r="O540">
        <f t="shared" si="86"/>
        <v>1792.3688594444816</v>
      </c>
      <c r="P540">
        <f t="shared" si="87"/>
        <v>1078.6716834763517</v>
      </c>
      <c r="Q540">
        <f t="shared" si="88"/>
        <v>893.86441652364806</v>
      </c>
      <c r="R540">
        <f t="shared" si="89"/>
        <v>0</v>
      </c>
      <c r="S540">
        <f t="shared" si="90"/>
        <v>1972.5360999999998</v>
      </c>
    </row>
    <row r="541" spans="1:19" x14ac:dyDescent="0.3">
      <c r="A541" t="s">
        <v>13</v>
      </c>
      <c r="B541" t="s">
        <v>25</v>
      </c>
      <c r="C541" t="s">
        <v>15</v>
      </c>
      <c r="D541">
        <v>13</v>
      </c>
      <c r="E541">
        <v>5</v>
      </c>
      <c r="F541">
        <v>0</v>
      </c>
      <c r="G541">
        <v>20251219</v>
      </c>
      <c r="H541">
        <v>20260105</v>
      </c>
      <c r="I541">
        <v>3316.3202000000001</v>
      </c>
      <c r="J541">
        <f t="shared" si="81"/>
        <v>18</v>
      </c>
      <c r="K541">
        <f t="shared" si="82"/>
        <v>184.24001111111113</v>
      </c>
      <c r="L541">
        <f t="shared" si="83"/>
        <v>2023.2193623599321</v>
      </c>
      <c r="M541">
        <f t="shared" si="84"/>
        <v>921.20005555555565</v>
      </c>
      <c r="N541">
        <f t="shared" si="85"/>
        <v>0</v>
      </c>
      <c r="O541">
        <f t="shared" si="86"/>
        <v>2944.4194179154879</v>
      </c>
      <c r="P541">
        <f t="shared" si="87"/>
        <v>2278.7661294447917</v>
      </c>
      <c r="Q541">
        <f t="shared" si="88"/>
        <v>1037.5540705552082</v>
      </c>
      <c r="R541">
        <f t="shared" si="89"/>
        <v>0</v>
      </c>
      <c r="S541">
        <f t="shared" si="90"/>
        <v>3316.3202000000001</v>
      </c>
    </row>
    <row r="542" spans="1:19" x14ac:dyDescent="0.3">
      <c r="A542" t="s">
        <v>13</v>
      </c>
      <c r="B542" t="s">
        <v>25</v>
      </c>
      <c r="C542" t="s">
        <v>15</v>
      </c>
      <c r="D542">
        <v>31</v>
      </c>
      <c r="E542">
        <v>1</v>
      </c>
      <c r="F542">
        <v>0</v>
      </c>
      <c r="G542">
        <v>20251201</v>
      </c>
      <c r="H542">
        <v>20260101</v>
      </c>
      <c r="I542">
        <v>462.48349999999999</v>
      </c>
      <c r="J542">
        <f t="shared" si="81"/>
        <v>32</v>
      </c>
      <c r="K542">
        <f t="shared" si="82"/>
        <v>14.452609375</v>
      </c>
      <c r="L542">
        <f t="shared" si="83"/>
        <v>378.4631743632728</v>
      </c>
      <c r="M542">
        <f t="shared" si="84"/>
        <v>14.452609375</v>
      </c>
      <c r="N542">
        <f t="shared" si="85"/>
        <v>0</v>
      </c>
      <c r="O542">
        <f t="shared" si="86"/>
        <v>392.91578373827281</v>
      </c>
      <c r="P542">
        <f t="shared" si="87"/>
        <v>445.47198342438901</v>
      </c>
      <c r="Q542">
        <f t="shared" si="88"/>
        <v>17.011516575610994</v>
      </c>
      <c r="R542">
        <f t="shared" si="89"/>
        <v>0</v>
      </c>
      <c r="S542">
        <f t="shared" si="90"/>
        <v>462.48349999999999</v>
      </c>
    </row>
    <row r="543" spans="1:19" x14ac:dyDescent="0.3">
      <c r="A543" t="s">
        <v>13</v>
      </c>
      <c r="B543" t="s">
        <v>25</v>
      </c>
      <c r="C543" t="s">
        <v>15</v>
      </c>
      <c r="D543">
        <v>22</v>
      </c>
      <c r="E543">
        <v>3</v>
      </c>
      <c r="F543">
        <v>0</v>
      </c>
      <c r="G543">
        <v>20251210</v>
      </c>
      <c r="H543">
        <v>20260103</v>
      </c>
      <c r="I543">
        <v>30450.345300000001</v>
      </c>
      <c r="J543">
        <f t="shared" si="81"/>
        <v>25</v>
      </c>
      <c r="K543">
        <f t="shared" si="82"/>
        <v>1218.0138120000001</v>
      </c>
      <c r="L543">
        <f t="shared" si="83"/>
        <v>22635.524544803309</v>
      </c>
      <c r="M543">
        <f t="shared" si="84"/>
        <v>3654.0414360000004</v>
      </c>
      <c r="N543">
        <f t="shared" si="85"/>
        <v>0</v>
      </c>
      <c r="O543">
        <f t="shared" si="86"/>
        <v>26289.565980803309</v>
      </c>
      <c r="P543">
        <f t="shared" si="87"/>
        <v>26217.988495480859</v>
      </c>
      <c r="Q543">
        <f t="shared" si="88"/>
        <v>4232.3568045191432</v>
      </c>
      <c r="R543">
        <f t="shared" si="89"/>
        <v>0</v>
      </c>
      <c r="S543">
        <f t="shared" si="90"/>
        <v>30450.345300000001</v>
      </c>
    </row>
    <row r="544" spans="1:19" x14ac:dyDescent="0.3">
      <c r="A544" t="s">
        <v>13</v>
      </c>
      <c r="B544" t="s">
        <v>25</v>
      </c>
      <c r="C544" t="s">
        <v>15</v>
      </c>
      <c r="D544">
        <v>20</v>
      </c>
      <c r="E544">
        <v>3</v>
      </c>
      <c r="F544">
        <v>0</v>
      </c>
      <c r="G544">
        <v>20251212</v>
      </c>
      <c r="H544">
        <v>20260103</v>
      </c>
      <c r="I544">
        <v>45061.209499999997</v>
      </c>
      <c r="J544">
        <f t="shared" si="81"/>
        <v>23</v>
      </c>
      <c r="K544">
        <f t="shared" si="82"/>
        <v>1959.1830217391303</v>
      </c>
      <c r="L544">
        <f t="shared" si="83"/>
        <v>33099.442073365193</v>
      </c>
      <c r="M544">
        <f t="shared" si="84"/>
        <v>5877.5490652173903</v>
      </c>
      <c r="N544">
        <f t="shared" si="85"/>
        <v>0</v>
      </c>
      <c r="O544">
        <f t="shared" si="86"/>
        <v>38976.991138582584</v>
      </c>
      <c r="P544">
        <f t="shared" si="87"/>
        <v>38266.188590545535</v>
      </c>
      <c r="Q544">
        <f t="shared" si="88"/>
        <v>6795.0209094544634</v>
      </c>
      <c r="R544">
        <f t="shared" si="89"/>
        <v>0</v>
      </c>
      <c r="S544">
        <f t="shared" si="90"/>
        <v>45061.209499999997</v>
      </c>
    </row>
    <row r="545" spans="1:19" x14ac:dyDescent="0.3">
      <c r="A545" t="s">
        <v>13</v>
      </c>
      <c r="B545" t="s">
        <v>16</v>
      </c>
      <c r="C545" t="s">
        <v>15</v>
      </c>
      <c r="D545">
        <v>31</v>
      </c>
      <c r="E545">
        <v>3</v>
      </c>
      <c r="F545">
        <v>0</v>
      </c>
      <c r="G545">
        <v>20251128</v>
      </c>
      <c r="H545">
        <v>20260103</v>
      </c>
      <c r="I545">
        <v>30.674199999999999</v>
      </c>
      <c r="J545">
        <f t="shared" si="81"/>
        <v>34</v>
      </c>
      <c r="K545">
        <f t="shared" si="82"/>
        <v>0.90218235294117644</v>
      </c>
      <c r="L545">
        <f t="shared" si="83"/>
        <v>23.624993126796124</v>
      </c>
      <c r="M545">
        <f t="shared" si="84"/>
        <v>2.7065470588235292</v>
      </c>
      <c r="N545">
        <f t="shared" si="85"/>
        <v>0</v>
      </c>
      <c r="O545">
        <f t="shared" si="86"/>
        <v>26.331540185619652</v>
      </c>
      <c r="P545">
        <f t="shared" si="87"/>
        <v>27.521282806151053</v>
      </c>
      <c r="Q545">
        <f t="shared" si="88"/>
        <v>3.1529171938489471</v>
      </c>
      <c r="R545">
        <f t="shared" si="89"/>
        <v>0</v>
      </c>
      <c r="S545">
        <f t="shared" si="90"/>
        <v>30.674199999999999</v>
      </c>
    </row>
    <row r="546" spans="1:19" x14ac:dyDescent="0.3">
      <c r="A546" t="s">
        <v>13</v>
      </c>
      <c r="B546" t="s">
        <v>25</v>
      </c>
      <c r="C546" t="s">
        <v>15</v>
      </c>
      <c r="D546">
        <v>9</v>
      </c>
      <c r="E546">
        <v>8</v>
      </c>
      <c r="F546">
        <v>0</v>
      </c>
      <c r="G546">
        <v>20251223</v>
      </c>
      <c r="H546">
        <v>20260108</v>
      </c>
      <c r="I546">
        <v>5538.4539000000004</v>
      </c>
      <c r="J546">
        <f t="shared" si="81"/>
        <v>17</v>
      </c>
      <c r="K546">
        <f t="shared" si="82"/>
        <v>325.79140588235299</v>
      </c>
      <c r="L546">
        <f t="shared" si="83"/>
        <v>2476.8391422889486</v>
      </c>
      <c r="M546">
        <f t="shared" si="84"/>
        <v>2606.3312470588239</v>
      </c>
      <c r="N546">
        <f t="shared" si="85"/>
        <v>0</v>
      </c>
      <c r="O546">
        <f t="shared" si="86"/>
        <v>5083.1703893477725</v>
      </c>
      <c r="P546">
        <f t="shared" si="87"/>
        <v>2698.6817982788566</v>
      </c>
      <c r="Q546">
        <f t="shared" si="88"/>
        <v>2839.7721017211434</v>
      </c>
      <c r="R546">
        <f t="shared" si="89"/>
        <v>0</v>
      </c>
      <c r="S546">
        <f t="shared" si="90"/>
        <v>5538.4539000000004</v>
      </c>
    </row>
    <row r="547" spans="1:19" x14ac:dyDescent="0.3">
      <c r="A547" t="s">
        <v>13</v>
      </c>
      <c r="B547" t="s">
        <v>25</v>
      </c>
      <c r="C547" t="s">
        <v>15</v>
      </c>
      <c r="D547">
        <v>15</v>
      </c>
      <c r="E547">
        <v>6</v>
      </c>
      <c r="F547">
        <v>0</v>
      </c>
      <c r="G547">
        <v>20251217</v>
      </c>
      <c r="H547">
        <v>20260106</v>
      </c>
      <c r="I547">
        <v>13347.0383</v>
      </c>
      <c r="J547">
        <f t="shared" si="81"/>
        <v>21</v>
      </c>
      <c r="K547">
        <f t="shared" si="82"/>
        <v>635.57325238095234</v>
      </c>
      <c r="L547">
        <f t="shared" si="83"/>
        <v>8053.2751983104872</v>
      </c>
      <c r="M547">
        <f t="shared" si="84"/>
        <v>3813.4395142857138</v>
      </c>
      <c r="N547">
        <f t="shared" si="85"/>
        <v>0</v>
      </c>
      <c r="O547">
        <f t="shared" si="86"/>
        <v>11866.7147125962</v>
      </c>
      <c r="P547">
        <f t="shared" si="87"/>
        <v>9057.8879762058496</v>
      </c>
      <c r="Q547">
        <f t="shared" si="88"/>
        <v>4289.1503237941524</v>
      </c>
      <c r="R547">
        <f t="shared" si="89"/>
        <v>0</v>
      </c>
      <c r="S547">
        <f t="shared" si="90"/>
        <v>13347.038300000002</v>
      </c>
    </row>
    <row r="548" spans="1:19" x14ac:dyDescent="0.3">
      <c r="A548" t="s">
        <v>13</v>
      </c>
      <c r="B548" t="s">
        <v>25</v>
      </c>
      <c r="C548" t="s">
        <v>15</v>
      </c>
      <c r="D548">
        <v>0</v>
      </c>
      <c r="E548">
        <v>25</v>
      </c>
      <c r="F548">
        <v>0</v>
      </c>
      <c r="G548">
        <v>20260105</v>
      </c>
      <c r="H548">
        <v>20260129</v>
      </c>
      <c r="I548">
        <v>713.82330000000002</v>
      </c>
      <c r="J548">
        <f t="shared" si="81"/>
        <v>25</v>
      </c>
      <c r="K548">
        <f t="shared" si="82"/>
        <v>28.552932000000002</v>
      </c>
      <c r="L548">
        <f t="shared" si="83"/>
        <v>0</v>
      </c>
      <c r="M548">
        <f t="shared" si="84"/>
        <v>713.82330000000002</v>
      </c>
      <c r="N548">
        <f t="shared" si="85"/>
        <v>0</v>
      </c>
      <c r="O548">
        <f t="shared" si="86"/>
        <v>713.82330000000002</v>
      </c>
      <c r="P548">
        <f t="shared" si="87"/>
        <v>0</v>
      </c>
      <c r="Q548">
        <f t="shared" si="88"/>
        <v>713.82330000000002</v>
      </c>
      <c r="R548">
        <f t="shared" si="89"/>
        <v>0</v>
      </c>
      <c r="S548">
        <f t="shared" si="90"/>
        <v>713.82330000000002</v>
      </c>
    </row>
    <row r="549" spans="1:19" x14ac:dyDescent="0.3">
      <c r="A549" t="s">
        <v>13</v>
      </c>
      <c r="B549" t="s">
        <v>25</v>
      </c>
      <c r="C549" t="s">
        <v>15</v>
      </c>
      <c r="D549">
        <v>8</v>
      </c>
      <c r="E549">
        <v>3</v>
      </c>
      <c r="F549">
        <v>0</v>
      </c>
      <c r="G549">
        <v>20251224</v>
      </c>
      <c r="H549">
        <v>20260103</v>
      </c>
      <c r="I549">
        <v>2225.0825</v>
      </c>
      <c r="J549">
        <f t="shared" si="81"/>
        <v>11</v>
      </c>
      <c r="K549">
        <f t="shared" si="82"/>
        <v>202.28022727272727</v>
      </c>
      <c r="L549">
        <f t="shared" si="83"/>
        <v>1366.9703322066223</v>
      </c>
      <c r="M549">
        <f t="shared" si="84"/>
        <v>606.84068181818179</v>
      </c>
      <c r="N549">
        <f t="shared" si="85"/>
        <v>0</v>
      </c>
      <c r="O549">
        <f t="shared" si="86"/>
        <v>1973.8110140248041</v>
      </c>
      <c r="P549">
        <f t="shared" si="87"/>
        <v>1540.9893564277775</v>
      </c>
      <c r="Q549">
        <f t="shared" si="88"/>
        <v>684.09314357222252</v>
      </c>
      <c r="R549">
        <f t="shared" si="89"/>
        <v>0</v>
      </c>
      <c r="S549">
        <f t="shared" si="90"/>
        <v>2225.0825</v>
      </c>
    </row>
    <row r="550" spans="1:19" x14ac:dyDescent="0.3">
      <c r="A550" t="s">
        <v>13</v>
      </c>
      <c r="B550" t="s">
        <v>25</v>
      </c>
      <c r="C550" t="s">
        <v>15</v>
      </c>
      <c r="D550">
        <v>0</v>
      </c>
      <c r="E550">
        <v>10</v>
      </c>
      <c r="F550">
        <v>1</v>
      </c>
      <c r="G550">
        <v>20260122</v>
      </c>
      <c r="H550">
        <v>20260201</v>
      </c>
      <c r="I550">
        <v>3700.4769999999999</v>
      </c>
      <c r="J550">
        <f t="shared" si="81"/>
        <v>11</v>
      </c>
      <c r="K550">
        <f t="shared" si="82"/>
        <v>336.40699999999998</v>
      </c>
      <c r="L550">
        <f t="shared" si="83"/>
        <v>0</v>
      </c>
      <c r="M550">
        <f t="shared" si="84"/>
        <v>3364.0699999999997</v>
      </c>
      <c r="N550">
        <f t="shared" si="85"/>
        <v>277.3702567603122</v>
      </c>
      <c r="O550">
        <f t="shared" si="86"/>
        <v>3641.440256760312</v>
      </c>
      <c r="P550">
        <f t="shared" si="87"/>
        <v>0</v>
      </c>
      <c r="Q550">
        <f t="shared" si="88"/>
        <v>3418.6098860963407</v>
      </c>
      <c r="R550">
        <f t="shared" si="89"/>
        <v>281.86711390365946</v>
      </c>
      <c r="S550">
        <f t="shared" si="90"/>
        <v>3700.4770000000003</v>
      </c>
    </row>
    <row r="551" spans="1:19" x14ac:dyDescent="0.3">
      <c r="A551" t="s">
        <v>13</v>
      </c>
      <c r="B551" t="s">
        <v>25</v>
      </c>
      <c r="C551" t="s">
        <v>15</v>
      </c>
      <c r="D551">
        <v>0</v>
      </c>
      <c r="E551">
        <v>13</v>
      </c>
      <c r="F551">
        <v>5</v>
      </c>
      <c r="G551">
        <v>20260119</v>
      </c>
      <c r="H551">
        <v>20260205</v>
      </c>
      <c r="I551">
        <v>32525.186900000001</v>
      </c>
      <c r="J551">
        <f t="shared" si="81"/>
        <v>18</v>
      </c>
      <c r="K551">
        <f t="shared" si="82"/>
        <v>1806.9548277777778</v>
      </c>
      <c r="L551">
        <f t="shared" si="83"/>
        <v>0</v>
      </c>
      <c r="M551">
        <f t="shared" si="84"/>
        <v>23490.412761111111</v>
      </c>
      <c r="N551">
        <f t="shared" si="85"/>
        <v>7449.2433946827505</v>
      </c>
      <c r="O551">
        <f t="shared" si="86"/>
        <v>30939.656155793862</v>
      </c>
      <c r="P551">
        <f t="shared" si="87"/>
        <v>0</v>
      </c>
      <c r="Q551">
        <f t="shared" si="88"/>
        <v>24694.200270555015</v>
      </c>
      <c r="R551">
        <f t="shared" si="89"/>
        <v>7830.9866294449839</v>
      </c>
      <c r="S551">
        <f t="shared" si="90"/>
        <v>32525.186900000001</v>
      </c>
    </row>
    <row r="552" spans="1:19" x14ac:dyDescent="0.3">
      <c r="A552" t="s">
        <v>13</v>
      </c>
      <c r="B552" t="s">
        <v>25</v>
      </c>
      <c r="C552" t="s">
        <v>15</v>
      </c>
      <c r="D552">
        <v>0</v>
      </c>
      <c r="E552">
        <v>13</v>
      </c>
      <c r="F552">
        <v>6</v>
      </c>
      <c r="G552">
        <v>20260119</v>
      </c>
      <c r="H552">
        <v>20260206</v>
      </c>
      <c r="I552">
        <v>13127.272499999999</v>
      </c>
      <c r="J552">
        <f t="shared" si="81"/>
        <v>19</v>
      </c>
      <c r="K552">
        <f t="shared" si="82"/>
        <v>690.90907894736836</v>
      </c>
      <c r="L552">
        <f t="shared" si="83"/>
        <v>0</v>
      </c>
      <c r="M552">
        <f t="shared" si="84"/>
        <v>8981.8180263157883</v>
      </c>
      <c r="N552">
        <f t="shared" si="85"/>
        <v>3417.9603033051458</v>
      </c>
      <c r="O552">
        <f t="shared" si="86"/>
        <v>12399.778329620935</v>
      </c>
      <c r="P552">
        <f t="shared" si="87"/>
        <v>0</v>
      </c>
      <c r="Q552">
        <f t="shared" si="88"/>
        <v>9508.7806928935606</v>
      </c>
      <c r="R552">
        <f t="shared" si="89"/>
        <v>3618.4918071064376</v>
      </c>
      <c r="S552">
        <f t="shared" si="90"/>
        <v>13127.272499999999</v>
      </c>
    </row>
    <row r="553" spans="1:19" x14ac:dyDescent="0.3">
      <c r="A553" t="s">
        <v>13</v>
      </c>
      <c r="B553" t="s">
        <v>25</v>
      </c>
      <c r="C553" t="s">
        <v>15</v>
      </c>
      <c r="D553">
        <v>0</v>
      </c>
      <c r="E553">
        <v>22</v>
      </c>
      <c r="F553">
        <v>3</v>
      </c>
      <c r="G553">
        <v>20260110</v>
      </c>
      <c r="H553">
        <v>20260203</v>
      </c>
      <c r="I553">
        <v>6894.7227999999996</v>
      </c>
      <c r="J553">
        <f t="shared" si="81"/>
        <v>25</v>
      </c>
      <c r="K553">
        <f t="shared" si="82"/>
        <v>275.78891199999998</v>
      </c>
      <c r="L553">
        <f t="shared" si="83"/>
        <v>0</v>
      </c>
      <c r="M553">
        <f t="shared" si="84"/>
        <v>6067.3560639999996</v>
      </c>
      <c r="N553">
        <f t="shared" si="85"/>
        <v>682.17047801996227</v>
      </c>
      <c r="O553">
        <f t="shared" si="86"/>
        <v>6749.5265420199621</v>
      </c>
      <c r="P553">
        <f t="shared" si="87"/>
        <v>0</v>
      </c>
      <c r="Q553">
        <f t="shared" si="88"/>
        <v>6197.8774258823159</v>
      </c>
      <c r="R553">
        <f t="shared" si="89"/>
        <v>696.84537411768315</v>
      </c>
      <c r="S553">
        <f t="shared" si="90"/>
        <v>6894.7227999999996</v>
      </c>
    </row>
    <row r="554" spans="1:19" x14ac:dyDescent="0.3">
      <c r="A554" t="s">
        <v>13</v>
      </c>
      <c r="B554" t="s">
        <v>25</v>
      </c>
      <c r="C554" t="s">
        <v>15</v>
      </c>
      <c r="D554">
        <v>0</v>
      </c>
      <c r="E554">
        <v>20</v>
      </c>
      <c r="F554">
        <v>3</v>
      </c>
      <c r="G554">
        <v>20260112</v>
      </c>
      <c r="H554">
        <v>20260203</v>
      </c>
      <c r="I554">
        <v>8954.3104000000003</v>
      </c>
      <c r="J554">
        <f t="shared" si="81"/>
        <v>23</v>
      </c>
      <c r="K554">
        <f t="shared" si="82"/>
        <v>389.3178434782609</v>
      </c>
      <c r="L554">
        <f t="shared" si="83"/>
        <v>0</v>
      </c>
      <c r="M554">
        <f t="shared" si="84"/>
        <v>7786.3568695652175</v>
      </c>
      <c r="N554">
        <f t="shared" si="85"/>
        <v>962.98700865561307</v>
      </c>
      <c r="O554">
        <f t="shared" si="86"/>
        <v>8749.3438782208304</v>
      </c>
      <c r="P554">
        <f t="shared" si="87"/>
        <v>0</v>
      </c>
      <c r="Q554">
        <f t="shared" si="88"/>
        <v>7968.76397426924</v>
      </c>
      <c r="R554">
        <f t="shared" si="89"/>
        <v>985.54642573076012</v>
      </c>
      <c r="S554">
        <f t="shared" si="90"/>
        <v>8954.3104000000003</v>
      </c>
    </row>
    <row r="555" spans="1:19" x14ac:dyDescent="0.3">
      <c r="A555" t="s">
        <v>13</v>
      </c>
      <c r="B555" t="s">
        <v>25</v>
      </c>
      <c r="C555" t="s">
        <v>15</v>
      </c>
      <c r="D555">
        <v>0</v>
      </c>
      <c r="E555">
        <v>2</v>
      </c>
      <c r="F555">
        <v>3</v>
      </c>
      <c r="G555">
        <v>20260130</v>
      </c>
      <c r="H555">
        <v>20260203</v>
      </c>
      <c r="I555">
        <v>50414.580399999999</v>
      </c>
      <c r="J555">
        <f t="shared" si="81"/>
        <v>5</v>
      </c>
      <c r="K555">
        <f t="shared" si="82"/>
        <v>10082.916079999999</v>
      </c>
      <c r="L555">
        <f t="shared" si="83"/>
        <v>0</v>
      </c>
      <c r="M555">
        <f t="shared" si="84"/>
        <v>20165.832159999998</v>
      </c>
      <c r="N555">
        <f t="shared" si="85"/>
        <v>24940.334374750946</v>
      </c>
      <c r="O555">
        <f t="shared" si="86"/>
        <v>45106.166534750941</v>
      </c>
      <c r="P555">
        <f t="shared" si="87"/>
        <v>0</v>
      </c>
      <c r="Q555">
        <f t="shared" si="88"/>
        <v>22539.090436336923</v>
      </c>
      <c r="R555">
        <f t="shared" si="89"/>
        <v>27875.48996366308</v>
      </c>
      <c r="S555">
        <f t="shared" si="90"/>
        <v>50414.580400000006</v>
      </c>
    </row>
    <row r="556" spans="1:19" x14ac:dyDescent="0.3">
      <c r="A556" t="s">
        <v>13</v>
      </c>
      <c r="B556" t="s">
        <v>25</v>
      </c>
      <c r="C556" t="s">
        <v>15</v>
      </c>
      <c r="D556">
        <v>0</v>
      </c>
      <c r="E556">
        <v>20</v>
      </c>
      <c r="F556">
        <v>4</v>
      </c>
      <c r="G556">
        <v>20260112</v>
      </c>
      <c r="H556">
        <v>20260204</v>
      </c>
      <c r="I556">
        <v>16313.822200000001</v>
      </c>
      <c r="J556">
        <f t="shared" si="81"/>
        <v>24</v>
      </c>
      <c r="K556">
        <f t="shared" si="82"/>
        <v>679.74259166666673</v>
      </c>
      <c r="L556">
        <f t="shared" si="83"/>
        <v>0</v>
      </c>
      <c r="M556">
        <f t="shared" si="84"/>
        <v>13594.851833333334</v>
      </c>
      <c r="N556">
        <f t="shared" si="85"/>
        <v>2241.8127706201526</v>
      </c>
      <c r="O556">
        <f t="shared" si="86"/>
        <v>15836.664603953486</v>
      </c>
      <c r="P556">
        <f t="shared" si="87"/>
        <v>0</v>
      </c>
      <c r="Q556">
        <f t="shared" si="88"/>
        <v>14004.463767514379</v>
      </c>
      <c r="R556">
        <f t="shared" si="89"/>
        <v>2309.358432485622</v>
      </c>
      <c r="S556">
        <f t="shared" si="90"/>
        <v>16313.822200000001</v>
      </c>
    </row>
    <row r="557" spans="1:19" x14ac:dyDescent="0.3">
      <c r="A557" t="s">
        <v>13</v>
      </c>
      <c r="B557" t="s">
        <v>25</v>
      </c>
      <c r="C557" t="s">
        <v>15</v>
      </c>
      <c r="D557">
        <v>0</v>
      </c>
      <c r="E557">
        <v>18</v>
      </c>
      <c r="F557">
        <v>3</v>
      </c>
      <c r="G557">
        <v>20260114</v>
      </c>
      <c r="H557">
        <v>20260203</v>
      </c>
      <c r="I557">
        <v>4666.9889000000003</v>
      </c>
      <c r="J557">
        <f t="shared" si="81"/>
        <v>21</v>
      </c>
      <c r="K557">
        <f t="shared" si="82"/>
        <v>222.23756666666668</v>
      </c>
      <c r="L557">
        <f t="shared" si="83"/>
        <v>0</v>
      </c>
      <c r="M557">
        <f t="shared" si="84"/>
        <v>4000.2762000000002</v>
      </c>
      <c r="N557">
        <f t="shared" si="85"/>
        <v>549.70994296896617</v>
      </c>
      <c r="O557">
        <f t="shared" si="86"/>
        <v>4549.9861429689663</v>
      </c>
      <c r="P557">
        <f t="shared" si="87"/>
        <v>0</v>
      </c>
      <c r="Q557">
        <f t="shared" si="88"/>
        <v>4103.1431823552957</v>
      </c>
      <c r="R557">
        <f t="shared" si="89"/>
        <v>563.84571764470456</v>
      </c>
      <c r="S557">
        <f t="shared" si="90"/>
        <v>4666.9889000000003</v>
      </c>
    </row>
    <row r="558" spans="1:19" x14ac:dyDescent="0.3">
      <c r="A558" t="s">
        <v>13</v>
      </c>
      <c r="B558" t="s">
        <v>25</v>
      </c>
      <c r="C558" t="s">
        <v>15</v>
      </c>
      <c r="D558">
        <v>0</v>
      </c>
      <c r="E558">
        <v>26</v>
      </c>
      <c r="F558">
        <v>4</v>
      </c>
      <c r="G558">
        <v>20260106</v>
      </c>
      <c r="H558">
        <v>20260204</v>
      </c>
      <c r="I558">
        <v>4365275.8152999999</v>
      </c>
      <c r="J558">
        <f t="shared" si="81"/>
        <v>30</v>
      </c>
      <c r="K558">
        <f t="shared" si="82"/>
        <v>145509.19384333334</v>
      </c>
      <c r="L558">
        <f t="shared" si="83"/>
        <v>0</v>
      </c>
      <c r="M558">
        <f t="shared" si="84"/>
        <v>3783239.0399266668</v>
      </c>
      <c r="N558">
        <f t="shared" si="85"/>
        <v>479893.96721603785</v>
      </c>
      <c r="O558">
        <f t="shared" si="86"/>
        <v>4263133.0071427049</v>
      </c>
      <c r="P558">
        <f t="shared" si="87"/>
        <v>0</v>
      </c>
      <c r="Q558">
        <f t="shared" si="88"/>
        <v>3873883.7978596161</v>
      </c>
      <c r="R558">
        <f t="shared" si="89"/>
        <v>491392.01744038315</v>
      </c>
      <c r="S558">
        <f t="shared" si="90"/>
        <v>4365275.815299999</v>
      </c>
    </row>
    <row r="559" spans="1:19" x14ac:dyDescent="0.3">
      <c r="A559" t="s">
        <v>13</v>
      </c>
      <c r="B559" t="s">
        <v>25</v>
      </c>
      <c r="C559" t="s">
        <v>14</v>
      </c>
      <c r="D559">
        <v>0</v>
      </c>
      <c r="E559">
        <v>26</v>
      </c>
      <c r="F559">
        <v>4</v>
      </c>
      <c r="G559">
        <v>20260106</v>
      </c>
      <c r="H559">
        <v>20260204</v>
      </c>
      <c r="I559">
        <v>1036046.0596</v>
      </c>
      <c r="J559">
        <f t="shared" si="81"/>
        <v>30</v>
      </c>
      <c r="K559">
        <f t="shared" si="82"/>
        <v>34534.868653333331</v>
      </c>
      <c r="L559">
        <f t="shared" si="83"/>
        <v>0</v>
      </c>
      <c r="M559">
        <f t="shared" si="84"/>
        <v>897906.58498666657</v>
      </c>
      <c r="N559">
        <f t="shared" si="85"/>
        <v>113897.09947246905</v>
      </c>
      <c r="O559">
        <f t="shared" si="86"/>
        <v>1011803.6844591356</v>
      </c>
      <c r="P559">
        <f t="shared" si="87"/>
        <v>0</v>
      </c>
      <c r="Q559">
        <f t="shared" si="88"/>
        <v>919420.03528244712</v>
      </c>
      <c r="R559">
        <f t="shared" si="89"/>
        <v>116626.02431755293</v>
      </c>
      <c r="S559">
        <f t="shared" si="90"/>
        <v>1036046.0596</v>
      </c>
    </row>
    <row r="560" spans="1:19" x14ac:dyDescent="0.3">
      <c r="A560" t="s">
        <v>13</v>
      </c>
      <c r="B560" t="s">
        <v>25</v>
      </c>
      <c r="C560" t="s">
        <v>14</v>
      </c>
      <c r="D560">
        <v>16</v>
      </c>
      <c r="E560">
        <v>15</v>
      </c>
      <c r="F560">
        <v>0</v>
      </c>
      <c r="G560">
        <v>20251216</v>
      </c>
      <c r="H560">
        <v>20260115</v>
      </c>
      <c r="I560">
        <v>25134121.494899999</v>
      </c>
      <c r="J560">
        <f t="shared" si="81"/>
        <v>31</v>
      </c>
      <c r="K560">
        <f t="shared" si="82"/>
        <v>810778.11273870966</v>
      </c>
      <c r="L560">
        <f t="shared" si="83"/>
        <v>10958160.77586266</v>
      </c>
      <c r="M560">
        <f t="shared" si="84"/>
        <v>12161671.691080645</v>
      </c>
      <c r="N560">
        <f t="shared" si="85"/>
        <v>0</v>
      </c>
      <c r="O560">
        <f t="shared" si="86"/>
        <v>23119832.466943305</v>
      </c>
      <c r="P560">
        <f t="shared" si="87"/>
        <v>11912878.032095609</v>
      </c>
      <c r="Q560">
        <f t="shared" si="88"/>
        <v>13221243.46280439</v>
      </c>
      <c r="R560">
        <f t="shared" si="89"/>
        <v>0</v>
      </c>
      <c r="S560">
        <f t="shared" si="90"/>
        <v>25134121.494899999</v>
      </c>
    </row>
    <row r="561" spans="1:19" x14ac:dyDescent="0.3">
      <c r="A561" t="s">
        <v>13</v>
      </c>
      <c r="B561" t="s">
        <v>25</v>
      </c>
      <c r="C561" t="s">
        <v>15</v>
      </c>
      <c r="D561">
        <v>28</v>
      </c>
      <c r="E561">
        <v>5</v>
      </c>
      <c r="F561">
        <v>0</v>
      </c>
      <c r="G561">
        <v>20251204</v>
      </c>
      <c r="H561">
        <v>20260105</v>
      </c>
      <c r="I561">
        <v>5494496.4453999996</v>
      </c>
      <c r="J561">
        <f t="shared" si="81"/>
        <v>33</v>
      </c>
      <c r="K561">
        <f t="shared" si="82"/>
        <v>166499.89228484847</v>
      </c>
      <c r="L561">
        <f t="shared" si="83"/>
        <v>3938108.3187504127</v>
      </c>
      <c r="M561">
        <f t="shared" si="84"/>
        <v>832499.46142424236</v>
      </c>
      <c r="N561">
        <f t="shared" si="85"/>
        <v>0</v>
      </c>
      <c r="O561">
        <f t="shared" si="86"/>
        <v>4770607.7801746549</v>
      </c>
      <c r="P561">
        <f t="shared" si="87"/>
        <v>4535674.101923788</v>
      </c>
      <c r="Q561">
        <f t="shared" si="88"/>
        <v>958822.34347621223</v>
      </c>
      <c r="R561">
        <f t="shared" si="89"/>
        <v>0</v>
      </c>
      <c r="S561">
        <f t="shared" si="90"/>
        <v>5494496.4454000005</v>
      </c>
    </row>
    <row r="562" spans="1:19" x14ac:dyDescent="0.3">
      <c r="A562" t="s">
        <v>13</v>
      </c>
      <c r="B562" t="s">
        <v>25</v>
      </c>
      <c r="C562" t="s">
        <v>15</v>
      </c>
      <c r="D562">
        <v>0</v>
      </c>
      <c r="E562">
        <v>23</v>
      </c>
      <c r="F562">
        <v>3</v>
      </c>
      <c r="G562">
        <v>20260109</v>
      </c>
      <c r="H562">
        <v>20260203</v>
      </c>
      <c r="I562">
        <v>405437.71759999997</v>
      </c>
      <c r="J562">
        <f t="shared" si="81"/>
        <v>26</v>
      </c>
      <c r="K562">
        <f t="shared" si="82"/>
        <v>15593.758369230769</v>
      </c>
      <c r="L562">
        <f t="shared" si="83"/>
        <v>0</v>
      </c>
      <c r="M562">
        <f t="shared" si="84"/>
        <v>358656.44249230769</v>
      </c>
      <c r="N562">
        <f t="shared" si="85"/>
        <v>38571.534742723597</v>
      </c>
      <c r="O562">
        <f t="shared" si="86"/>
        <v>397227.97723503131</v>
      </c>
      <c r="P562">
        <f t="shared" si="87"/>
        <v>0</v>
      </c>
      <c r="Q562">
        <f t="shared" si="88"/>
        <v>366069.00263870182</v>
      </c>
      <c r="R562">
        <f t="shared" si="89"/>
        <v>39368.714961298101</v>
      </c>
      <c r="S562">
        <f t="shared" si="90"/>
        <v>405437.71759999992</v>
      </c>
    </row>
    <row r="563" spans="1:19" x14ac:dyDescent="0.3">
      <c r="A563" t="s">
        <v>13</v>
      </c>
      <c r="B563" t="s">
        <v>25</v>
      </c>
      <c r="C563" t="s">
        <v>15</v>
      </c>
      <c r="D563">
        <v>29</v>
      </c>
      <c r="E563">
        <v>3</v>
      </c>
      <c r="F563">
        <v>0</v>
      </c>
      <c r="G563">
        <v>20251203</v>
      </c>
      <c r="H563">
        <v>20260103</v>
      </c>
      <c r="I563">
        <v>5937932.2271999996</v>
      </c>
      <c r="J563">
        <f t="shared" si="81"/>
        <v>32</v>
      </c>
      <c r="K563">
        <f t="shared" si="82"/>
        <v>185560.38209999999</v>
      </c>
      <c r="L563">
        <f t="shared" si="83"/>
        <v>4545680.6857271744</v>
      </c>
      <c r="M563">
        <f t="shared" si="84"/>
        <v>556681.14629999991</v>
      </c>
      <c r="N563">
        <f t="shared" si="85"/>
        <v>0</v>
      </c>
      <c r="O563">
        <f t="shared" si="86"/>
        <v>5102361.8320271745</v>
      </c>
      <c r="P563">
        <f t="shared" si="87"/>
        <v>5290088.1448495882</v>
      </c>
      <c r="Q563">
        <f t="shared" si="88"/>
        <v>647844.0823504111</v>
      </c>
      <c r="R563">
        <f t="shared" si="89"/>
        <v>0</v>
      </c>
      <c r="S563">
        <f t="shared" si="90"/>
        <v>5937932.2271999996</v>
      </c>
    </row>
    <row r="564" spans="1:19" x14ac:dyDescent="0.3">
      <c r="A564" t="s">
        <v>13</v>
      </c>
      <c r="B564" t="s">
        <v>25</v>
      </c>
      <c r="C564" t="s">
        <v>15</v>
      </c>
      <c r="D564">
        <v>26</v>
      </c>
      <c r="E564">
        <v>5</v>
      </c>
      <c r="F564">
        <v>0</v>
      </c>
      <c r="G564">
        <v>20251206</v>
      </c>
      <c r="H564">
        <v>20260105</v>
      </c>
      <c r="I564">
        <v>1501297.3822000001</v>
      </c>
      <c r="J564">
        <f t="shared" si="81"/>
        <v>31</v>
      </c>
      <c r="K564">
        <f t="shared" si="82"/>
        <v>48428.947812903229</v>
      </c>
      <c r="L564">
        <f t="shared" si="83"/>
        <v>1063638.5041758758</v>
      </c>
      <c r="M564">
        <f t="shared" si="84"/>
        <v>242144.73906451615</v>
      </c>
      <c r="N564">
        <f t="shared" si="85"/>
        <v>0</v>
      </c>
      <c r="O564">
        <f t="shared" si="86"/>
        <v>1305783.2432403918</v>
      </c>
      <c r="P564">
        <f t="shared" si="87"/>
        <v>1222896.4571207871</v>
      </c>
      <c r="Q564">
        <f t="shared" si="88"/>
        <v>278400.92507921311</v>
      </c>
      <c r="R564">
        <f t="shared" si="89"/>
        <v>0</v>
      </c>
      <c r="S564">
        <f t="shared" si="90"/>
        <v>1501297.3822000003</v>
      </c>
    </row>
    <row r="565" spans="1:19" x14ac:dyDescent="0.3">
      <c r="A565" t="s">
        <v>13</v>
      </c>
      <c r="B565" t="s">
        <v>25</v>
      </c>
      <c r="C565" t="s">
        <v>15</v>
      </c>
      <c r="D565">
        <v>0</v>
      </c>
      <c r="E565">
        <v>30</v>
      </c>
      <c r="F565">
        <v>2</v>
      </c>
      <c r="G565">
        <v>20260102</v>
      </c>
      <c r="H565">
        <v>20260202</v>
      </c>
      <c r="I565">
        <v>7786849.1771</v>
      </c>
      <c r="J565">
        <f t="shared" si="81"/>
        <v>32</v>
      </c>
      <c r="K565">
        <f t="shared" si="82"/>
        <v>243339.036784375</v>
      </c>
      <c r="L565">
        <f t="shared" si="83"/>
        <v>0</v>
      </c>
      <c r="M565">
        <f t="shared" si="84"/>
        <v>7300171.1035312498</v>
      </c>
      <c r="N565">
        <f t="shared" si="85"/>
        <v>401269.95640809584</v>
      </c>
      <c r="O565">
        <f t="shared" si="86"/>
        <v>7701441.0599393453</v>
      </c>
      <c r="P565">
        <f t="shared" si="87"/>
        <v>0</v>
      </c>
      <c r="Q565">
        <f t="shared" si="88"/>
        <v>7381129.1819026414</v>
      </c>
      <c r="R565">
        <f t="shared" si="89"/>
        <v>405719.99519735895</v>
      </c>
      <c r="S565">
        <f t="shared" si="90"/>
        <v>7786849.1771</v>
      </c>
    </row>
    <row r="566" spans="1:19" x14ac:dyDescent="0.3">
      <c r="A566" t="s">
        <v>13</v>
      </c>
      <c r="B566" t="s">
        <v>25</v>
      </c>
      <c r="C566" t="s">
        <v>14</v>
      </c>
      <c r="D566">
        <v>0</v>
      </c>
      <c r="E566">
        <v>30</v>
      </c>
      <c r="F566">
        <v>1</v>
      </c>
      <c r="G566">
        <v>20260102</v>
      </c>
      <c r="H566">
        <v>20260201</v>
      </c>
      <c r="I566">
        <v>3907925.8026000001</v>
      </c>
      <c r="J566">
        <f t="shared" si="81"/>
        <v>31</v>
      </c>
      <c r="K566">
        <f t="shared" si="82"/>
        <v>126062.12266451614</v>
      </c>
      <c r="L566">
        <f t="shared" si="83"/>
        <v>0</v>
      </c>
      <c r="M566">
        <f t="shared" si="84"/>
        <v>3781863.6799354842</v>
      </c>
      <c r="N566">
        <f t="shared" si="85"/>
        <v>103939.22638710495</v>
      </c>
      <c r="O566">
        <f t="shared" si="86"/>
        <v>3885802.9063225891</v>
      </c>
      <c r="P566">
        <f t="shared" si="87"/>
        <v>0</v>
      </c>
      <c r="Q566">
        <f t="shared" si="88"/>
        <v>3803394.8229047759</v>
      </c>
      <c r="R566">
        <f t="shared" si="89"/>
        <v>104530.97969522432</v>
      </c>
      <c r="S566">
        <f t="shared" si="90"/>
        <v>3907925.8026000001</v>
      </c>
    </row>
    <row r="567" spans="1:19" x14ac:dyDescent="0.3">
      <c r="A567" t="s">
        <v>13</v>
      </c>
      <c r="B567" t="s">
        <v>25</v>
      </c>
      <c r="C567" t="s">
        <v>15</v>
      </c>
      <c r="D567">
        <v>27</v>
      </c>
      <c r="E567">
        <v>6</v>
      </c>
      <c r="F567">
        <v>0</v>
      </c>
      <c r="G567">
        <v>20251205</v>
      </c>
      <c r="H567">
        <v>20260106</v>
      </c>
      <c r="I567">
        <v>3086698.5501000001</v>
      </c>
      <c r="J567">
        <f t="shared" si="81"/>
        <v>33</v>
      </c>
      <c r="K567">
        <f t="shared" si="82"/>
        <v>93536.319700000007</v>
      </c>
      <c r="L567">
        <f t="shared" si="83"/>
        <v>2133338.2066770038</v>
      </c>
      <c r="M567">
        <f t="shared" si="84"/>
        <v>561217.91820000007</v>
      </c>
      <c r="N567">
        <f t="shared" si="85"/>
        <v>0</v>
      </c>
      <c r="O567">
        <f t="shared" si="86"/>
        <v>2694556.124877004</v>
      </c>
      <c r="P567">
        <f t="shared" si="87"/>
        <v>2443805.8233889709</v>
      </c>
      <c r="Q567">
        <f t="shared" si="88"/>
        <v>642892.72671102884</v>
      </c>
      <c r="R567">
        <f t="shared" si="89"/>
        <v>0</v>
      </c>
      <c r="S567">
        <f t="shared" si="90"/>
        <v>3086698.5500999996</v>
      </c>
    </row>
    <row r="568" spans="1:19" x14ac:dyDescent="0.3">
      <c r="A568" t="s">
        <v>13</v>
      </c>
      <c r="B568" t="s">
        <v>25</v>
      </c>
      <c r="C568" t="s">
        <v>14</v>
      </c>
      <c r="D568">
        <v>0</v>
      </c>
      <c r="E568">
        <v>28</v>
      </c>
      <c r="F568">
        <v>2</v>
      </c>
      <c r="G568">
        <v>20260104</v>
      </c>
      <c r="H568">
        <v>20260202</v>
      </c>
      <c r="I568">
        <v>538272.72140000004</v>
      </c>
      <c r="J568">
        <f t="shared" si="81"/>
        <v>30</v>
      </c>
      <c r="K568">
        <f t="shared" si="82"/>
        <v>17942.424046666667</v>
      </c>
      <c r="L568">
        <f t="shared" si="83"/>
        <v>0</v>
      </c>
      <c r="M568">
        <f t="shared" si="84"/>
        <v>502387.87330666668</v>
      </c>
      <c r="N568">
        <f t="shared" si="85"/>
        <v>29587.343692172479</v>
      </c>
      <c r="O568">
        <f t="shared" si="86"/>
        <v>531975.21699883917</v>
      </c>
      <c r="P568">
        <f t="shared" si="87"/>
        <v>0</v>
      </c>
      <c r="Q568">
        <f t="shared" si="88"/>
        <v>508335.12374642817</v>
      </c>
      <c r="R568">
        <f t="shared" si="89"/>
        <v>29937.597653571815</v>
      </c>
      <c r="S568">
        <f t="shared" si="90"/>
        <v>538272.72140000004</v>
      </c>
    </row>
    <row r="569" spans="1:19" x14ac:dyDescent="0.3">
      <c r="A569" t="s">
        <v>13</v>
      </c>
      <c r="B569" t="s">
        <v>25</v>
      </c>
      <c r="C569" t="s">
        <v>15</v>
      </c>
      <c r="D569">
        <v>0</v>
      </c>
      <c r="E569">
        <v>26</v>
      </c>
      <c r="F569">
        <v>3</v>
      </c>
      <c r="G569">
        <v>20260106</v>
      </c>
      <c r="H569">
        <v>20260203</v>
      </c>
      <c r="I569">
        <v>5859641.3982999995</v>
      </c>
      <c r="J569">
        <f t="shared" si="81"/>
        <v>29</v>
      </c>
      <c r="K569">
        <f t="shared" si="82"/>
        <v>202056.5999413793</v>
      </c>
      <c r="L569">
        <f t="shared" si="83"/>
        <v>0</v>
      </c>
      <c r="M569">
        <f t="shared" si="84"/>
        <v>5253471.5984758623</v>
      </c>
      <c r="N569">
        <f t="shared" si="85"/>
        <v>499791.83850980568</v>
      </c>
      <c r="O569">
        <f t="shared" si="86"/>
        <v>5753263.4369856678</v>
      </c>
      <c r="P569">
        <f t="shared" si="87"/>
        <v>0</v>
      </c>
      <c r="Q569">
        <f t="shared" si="88"/>
        <v>5350608.3982399646</v>
      </c>
      <c r="R569">
        <f t="shared" si="89"/>
        <v>509033.00006003544</v>
      </c>
      <c r="S569">
        <f t="shared" si="90"/>
        <v>5859641.3983000005</v>
      </c>
    </row>
    <row r="570" spans="1:19" x14ac:dyDescent="0.3">
      <c r="A570" t="s">
        <v>13</v>
      </c>
      <c r="B570" t="s">
        <v>25</v>
      </c>
      <c r="C570" t="s">
        <v>15</v>
      </c>
      <c r="D570">
        <v>29</v>
      </c>
      <c r="E570">
        <v>1</v>
      </c>
      <c r="F570">
        <v>0</v>
      </c>
      <c r="G570">
        <v>20251203</v>
      </c>
      <c r="H570">
        <v>20260101</v>
      </c>
      <c r="I570">
        <v>7489852.6793</v>
      </c>
      <c r="J570">
        <f t="shared" si="81"/>
        <v>30</v>
      </c>
      <c r="K570">
        <f t="shared" si="82"/>
        <v>249661.75597666667</v>
      </c>
      <c r="L570">
        <f t="shared" si="83"/>
        <v>6115974.8070375677</v>
      </c>
      <c r="M570">
        <f t="shared" si="84"/>
        <v>249661.75597666667</v>
      </c>
      <c r="N570">
        <f t="shared" si="85"/>
        <v>0</v>
      </c>
      <c r="O570">
        <f t="shared" si="86"/>
        <v>6365636.5630142344</v>
      </c>
      <c r="P570">
        <f t="shared" si="87"/>
        <v>7196098.9041025145</v>
      </c>
      <c r="Q570">
        <f t="shared" si="88"/>
        <v>293753.77519748581</v>
      </c>
      <c r="R570">
        <f t="shared" si="89"/>
        <v>0</v>
      </c>
      <c r="S570">
        <f t="shared" si="90"/>
        <v>7489852.6793</v>
      </c>
    </row>
    <row r="571" spans="1:19" x14ac:dyDescent="0.3">
      <c r="A571" t="s">
        <v>13</v>
      </c>
      <c r="B571" t="s">
        <v>25</v>
      </c>
      <c r="C571" t="s">
        <v>15</v>
      </c>
      <c r="D571">
        <v>0</v>
      </c>
      <c r="E571">
        <v>27</v>
      </c>
      <c r="F571">
        <v>2</v>
      </c>
      <c r="G571">
        <v>20260105</v>
      </c>
      <c r="H571">
        <v>20260202</v>
      </c>
      <c r="I571">
        <v>923029.88190000004</v>
      </c>
      <c r="J571">
        <f t="shared" si="81"/>
        <v>29</v>
      </c>
      <c r="K571">
        <f t="shared" si="82"/>
        <v>31828.61661724138</v>
      </c>
      <c r="L571">
        <f t="shared" si="83"/>
        <v>0</v>
      </c>
      <c r="M571">
        <f t="shared" si="84"/>
        <v>859372.64866551722</v>
      </c>
      <c r="N571">
        <f t="shared" si="85"/>
        <v>52485.896925151865</v>
      </c>
      <c r="O571">
        <f t="shared" si="86"/>
        <v>911858.54559066903</v>
      </c>
      <c r="P571">
        <f t="shared" si="87"/>
        <v>0</v>
      </c>
      <c r="Q571">
        <f t="shared" si="88"/>
        <v>869900.97119942994</v>
      </c>
      <c r="R571">
        <f t="shared" si="89"/>
        <v>53128.910700570224</v>
      </c>
      <c r="S571">
        <f t="shared" si="90"/>
        <v>923029.88190000015</v>
      </c>
    </row>
    <row r="572" spans="1:19" x14ac:dyDescent="0.3">
      <c r="A572" t="s">
        <v>13</v>
      </c>
      <c r="B572" t="s">
        <v>25</v>
      </c>
      <c r="C572" t="s">
        <v>14</v>
      </c>
      <c r="D572">
        <v>0</v>
      </c>
      <c r="E572">
        <v>29</v>
      </c>
      <c r="F572">
        <v>3</v>
      </c>
      <c r="G572">
        <v>20260103</v>
      </c>
      <c r="H572">
        <v>20260203</v>
      </c>
      <c r="I572">
        <v>1382005.3940000001</v>
      </c>
      <c r="J572">
        <f t="shared" si="81"/>
        <v>32</v>
      </c>
      <c r="K572">
        <f t="shared" si="82"/>
        <v>43187.668562500003</v>
      </c>
      <c r="L572">
        <f t="shared" si="83"/>
        <v>0</v>
      </c>
      <c r="M572">
        <f t="shared" si="84"/>
        <v>1252442.3883125</v>
      </c>
      <c r="N572">
        <f t="shared" si="85"/>
        <v>106825.73238422407</v>
      </c>
      <c r="O572">
        <f t="shared" si="86"/>
        <v>1359268.1206967239</v>
      </c>
      <c r="P572">
        <f t="shared" si="87"/>
        <v>0</v>
      </c>
      <c r="Q572">
        <f t="shared" si="88"/>
        <v>1273392.725075399</v>
      </c>
      <c r="R572">
        <f t="shared" si="89"/>
        <v>108612.66892460122</v>
      </c>
      <c r="S572">
        <f t="shared" si="90"/>
        <v>1382005.3940000003</v>
      </c>
    </row>
    <row r="573" spans="1:19" x14ac:dyDescent="0.3">
      <c r="A573" t="s">
        <v>13</v>
      </c>
      <c r="B573" t="s">
        <v>25</v>
      </c>
      <c r="C573" t="s">
        <v>14</v>
      </c>
      <c r="D573">
        <v>16</v>
      </c>
      <c r="E573">
        <v>16</v>
      </c>
      <c r="F573">
        <v>0</v>
      </c>
      <c r="G573">
        <v>20251216</v>
      </c>
      <c r="H573">
        <v>20260116</v>
      </c>
      <c r="I573">
        <v>3090631.9426000002</v>
      </c>
      <c r="J573">
        <f t="shared" si="81"/>
        <v>32</v>
      </c>
      <c r="K573">
        <f t="shared" si="82"/>
        <v>96582.248206250006</v>
      </c>
      <c r="L573">
        <f t="shared" si="83"/>
        <v>1305368.0005782798</v>
      </c>
      <c r="M573">
        <f t="shared" si="84"/>
        <v>1545315.9713000001</v>
      </c>
      <c r="N573">
        <f t="shared" si="85"/>
        <v>0</v>
      </c>
      <c r="O573">
        <f t="shared" si="86"/>
        <v>2850683.9718782799</v>
      </c>
      <c r="P573">
        <f t="shared" si="87"/>
        <v>1415243.5272496741</v>
      </c>
      <c r="Q573">
        <f t="shared" si="88"/>
        <v>1675388.4153503261</v>
      </c>
      <c r="R573">
        <f t="shared" si="89"/>
        <v>0</v>
      </c>
      <c r="S573">
        <f t="shared" si="90"/>
        <v>3090631.9426000002</v>
      </c>
    </row>
    <row r="574" spans="1:19" x14ac:dyDescent="0.3">
      <c r="A574" t="s">
        <v>13</v>
      </c>
      <c r="B574" t="s">
        <v>25</v>
      </c>
      <c r="C574" t="s">
        <v>14</v>
      </c>
      <c r="D574">
        <v>29</v>
      </c>
      <c r="E574">
        <v>5</v>
      </c>
      <c r="F574">
        <v>0</v>
      </c>
      <c r="G574">
        <v>20251203</v>
      </c>
      <c r="H574">
        <v>20260105</v>
      </c>
      <c r="I574">
        <v>1232529.8928</v>
      </c>
      <c r="J574">
        <f t="shared" si="81"/>
        <v>34</v>
      </c>
      <c r="K574">
        <f t="shared" si="82"/>
        <v>36250.879200000003</v>
      </c>
      <c r="L574">
        <f t="shared" si="83"/>
        <v>888039.35169342917</v>
      </c>
      <c r="M574">
        <f t="shared" si="84"/>
        <v>181254.39600000001</v>
      </c>
      <c r="N574">
        <f t="shared" si="85"/>
        <v>0</v>
      </c>
      <c r="O574">
        <f t="shared" si="86"/>
        <v>1069293.7476934292</v>
      </c>
      <c r="P574">
        <f t="shared" si="87"/>
        <v>1023605.5801372658</v>
      </c>
      <c r="Q574">
        <f t="shared" si="88"/>
        <v>208924.31266273413</v>
      </c>
      <c r="R574">
        <f t="shared" si="89"/>
        <v>0</v>
      </c>
      <c r="S574">
        <f t="shared" si="90"/>
        <v>1232529.8928</v>
      </c>
    </row>
    <row r="575" spans="1:19" x14ac:dyDescent="0.3">
      <c r="A575" t="s">
        <v>13</v>
      </c>
      <c r="B575" t="s">
        <v>25</v>
      </c>
      <c r="C575" t="s">
        <v>15</v>
      </c>
      <c r="D575">
        <v>29</v>
      </c>
      <c r="E575">
        <v>4</v>
      </c>
      <c r="F575">
        <v>0</v>
      </c>
      <c r="G575">
        <v>20251203</v>
      </c>
      <c r="H575">
        <v>20260104</v>
      </c>
      <c r="I575">
        <v>1847222.4772000001</v>
      </c>
      <c r="J575">
        <f t="shared" si="81"/>
        <v>33</v>
      </c>
      <c r="K575">
        <f t="shared" si="82"/>
        <v>55976.438703030304</v>
      </c>
      <c r="L575">
        <f t="shared" si="83"/>
        <v>1371257.2338368557</v>
      </c>
      <c r="M575">
        <f t="shared" si="84"/>
        <v>223905.75481212122</v>
      </c>
      <c r="N575">
        <f t="shared" si="85"/>
        <v>0</v>
      </c>
      <c r="O575">
        <f t="shared" si="86"/>
        <v>1595162.9886489769</v>
      </c>
      <c r="P575">
        <f t="shared" si="87"/>
        <v>1587936.2813651257</v>
      </c>
      <c r="Q575">
        <f t="shared" si="88"/>
        <v>259286.19583487455</v>
      </c>
      <c r="R575">
        <f t="shared" si="89"/>
        <v>0</v>
      </c>
      <c r="S575">
        <f t="shared" si="90"/>
        <v>1847222.4772000003</v>
      </c>
    </row>
    <row r="576" spans="1:19" x14ac:dyDescent="0.3">
      <c r="A576" t="s">
        <v>13</v>
      </c>
      <c r="B576" t="s">
        <v>25</v>
      </c>
      <c r="C576" t="s">
        <v>15</v>
      </c>
      <c r="D576">
        <v>0</v>
      </c>
      <c r="E576">
        <v>16</v>
      </c>
      <c r="F576">
        <v>0</v>
      </c>
      <c r="G576">
        <v>20260104</v>
      </c>
      <c r="H576">
        <v>20260119</v>
      </c>
      <c r="I576">
        <v>3272.1831999999999</v>
      </c>
      <c r="J576">
        <f t="shared" si="81"/>
        <v>16</v>
      </c>
      <c r="K576">
        <f t="shared" si="82"/>
        <v>204.51145</v>
      </c>
      <c r="L576">
        <f t="shared" si="83"/>
        <v>0</v>
      </c>
      <c r="M576">
        <f t="shared" si="84"/>
        <v>3272.1831999999999</v>
      </c>
      <c r="N576">
        <f t="shared" si="85"/>
        <v>0</v>
      </c>
      <c r="O576">
        <f t="shared" si="86"/>
        <v>3272.1831999999999</v>
      </c>
      <c r="P576">
        <f t="shared" si="87"/>
        <v>0</v>
      </c>
      <c r="Q576">
        <f t="shared" si="88"/>
        <v>3272.1831999999999</v>
      </c>
      <c r="R576">
        <f t="shared" si="89"/>
        <v>0</v>
      </c>
      <c r="S576">
        <f t="shared" si="90"/>
        <v>3272.1831999999999</v>
      </c>
    </row>
    <row r="577" spans="1:19" x14ac:dyDescent="0.3">
      <c r="A577" t="s">
        <v>13</v>
      </c>
      <c r="B577" t="s">
        <v>25</v>
      </c>
      <c r="C577" t="s">
        <v>15</v>
      </c>
      <c r="D577">
        <v>27</v>
      </c>
      <c r="E577">
        <v>3</v>
      </c>
      <c r="F577">
        <v>0</v>
      </c>
      <c r="G577">
        <v>20251205</v>
      </c>
      <c r="H577">
        <v>20260103</v>
      </c>
      <c r="I577">
        <v>2130246.6667999998</v>
      </c>
      <c r="J577">
        <f t="shared" si="81"/>
        <v>30</v>
      </c>
      <c r="K577">
        <f t="shared" si="82"/>
        <v>71008.222226666665</v>
      </c>
      <c r="L577">
        <f t="shared" si="83"/>
        <v>1619526.5534309791</v>
      </c>
      <c r="M577">
        <f t="shared" si="84"/>
        <v>213024.66667999999</v>
      </c>
      <c r="N577">
        <f t="shared" si="85"/>
        <v>0</v>
      </c>
      <c r="O577">
        <f t="shared" si="86"/>
        <v>1832551.2201109792</v>
      </c>
      <c r="P577">
        <f t="shared" si="87"/>
        <v>1882616.4335158411</v>
      </c>
      <c r="Q577">
        <f t="shared" si="88"/>
        <v>247630.23328415846</v>
      </c>
      <c r="R577">
        <f t="shared" si="89"/>
        <v>0</v>
      </c>
      <c r="S577">
        <f t="shared" si="90"/>
        <v>2130246.6667999998</v>
      </c>
    </row>
    <row r="578" spans="1:19" x14ac:dyDescent="0.3">
      <c r="A578" t="s">
        <v>13</v>
      </c>
      <c r="B578" t="s">
        <v>25</v>
      </c>
      <c r="C578" t="s">
        <v>15</v>
      </c>
      <c r="D578">
        <v>0</v>
      </c>
      <c r="E578">
        <v>15</v>
      </c>
      <c r="F578">
        <v>19</v>
      </c>
      <c r="G578">
        <v>20260117</v>
      </c>
      <c r="H578">
        <v>20260219</v>
      </c>
      <c r="I578">
        <v>1991238.5669</v>
      </c>
      <c r="J578">
        <f t="shared" si="81"/>
        <v>34</v>
      </c>
      <c r="K578">
        <f t="shared" si="82"/>
        <v>58565.840202941174</v>
      </c>
      <c r="L578">
        <f t="shared" si="83"/>
        <v>0</v>
      </c>
      <c r="M578">
        <f t="shared" si="84"/>
        <v>878487.60304411757</v>
      </c>
      <c r="N578">
        <f t="shared" si="85"/>
        <v>917472.05187463702</v>
      </c>
      <c r="O578">
        <f t="shared" si="86"/>
        <v>1795959.6549187545</v>
      </c>
      <c r="P578">
        <f t="shared" si="87"/>
        <v>0</v>
      </c>
      <c r="Q578">
        <f t="shared" si="88"/>
        <v>974007.62368691317</v>
      </c>
      <c r="R578">
        <f t="shared" si="89"/>
        <v>1017230.9432130869</v>
      </c>
      <c r="S578">
        <f t="shared" si="90"/>
        <v>1991238.5669</v>
      </c>
    </row>
    <row r="579" spans="1:19" x14ac:dyDescent="0.3">
      <c r="A579" t="s">
        <v>13</v>
      </c>
      <c r="B579" t="s">
        <v>25</v>
      </c>
      <c r="C579" t="s">
        <v>14</v>
      </c>
      <c r="D579">
        <v>0</v>
      </c>
      <c r="E579">
        <v>24</v>
      </c>
      <c r="F579">
        <v>4</v>
      </c>
      <c r="G579">
        <v>20260108</v>
      </c>
      <c r="H579">
        <v>20260204</v>
      </c>
      <c r="I579">
        <v>208622.52919999999</v>
      </c>
      <c r="J579">
        <f t="shared" si="81"/>
        <v>28</v>
      </c>
      <c r="K579">
        <f t="shared" si="82"/>
        <v>7450.8046142857138</v>
      </c>
      <c r="L579">
        <f t="shared" si="83"/>
        <v>0</v>
      </c>
      <c r="M579">
        <f t="shared" si="84"/>
        <v>178819.31074285714</v>
      </c>
      <c r="N579">
        <f t="shared" si="85"/>
        <v>24572.991512487522</v>
      </c>
      <c r="O579">
        <f t="shared" si="86"/>
        <v>203392.30225534466</v>
      </c>
      <c r="P579">
        <f t="shared" si="87"/>
        <v>0</v>
      </c>
      <c r="Q579">
        <f t="shared" si="88"/>
        <v>183417.64394869216</v>
      </c>
      <c r="R579">
        <f t="shared" si="89"/>
        <v>25204.885251307824</v>
      </c>
      <c r="S579">
        <f t="shared" si="90"/>
        <v>208622.52919999999</v>
      </c>
    </row>
    <row r="580" spans="1:19" x14ac:dyDescent="0.3">
      <c r="A580" t="s">
        <v>13</v>
      </c>
      <c r="B580" t="s">
        <v>25</v>
      </c>
      <c r="C580" t="s">
        <v>15</v>
      </c>
      <c r="D580">
        <v>24</v>
      </c>
      <c r="E580">
        <v>1</v>
      </c>
      <c r="F580">
        <v>0</v>
      </c>
      <c r="G580">
        <v>20251208</v>
      </c>
      <c r="H580">
        <v>20260101</v>
      </c>
      <c r="I580">
        <v>187472.266</v>
      </c>
      <c r="J580">
        <f t="shared" si="81"/>
        <v>25</v>
      </c>
      <c r="K580">
        <f t="shared" si="82"/>
        <v>7498.8906400000005</v>
      </c>
      <c r="L580">
        <f t="shared" si="83"/>
        <v>152028.12208908374</v>
      </c>
      <c r="M580">
        <f t="shared" si="84"/>
        <v>7498.8906400000005</v>
      </c>
      <c r="N580">
        <f t="shared" si="85"/>
        <v>0</v>
      </c>
      <c r="O580">
        <f t="shared" si="86"/>
        <v>159527.01272908374</v>
      </c>
      <c r="P580">
        <f t="shared" si="87"/>
        <v>178659.75207701669</v>
      </c>
      <c r="Q580">
        <f t="shared" si="88"/>
        <v>8812.5139229833367</v>
      </c>
      <c r="R580">
        <f t="shared" si="89"/>
        <v>0</v>
      </c>
      <c r="S580">
        <f t="shared" si="90"/>
        <v>187472.26600000003</v>
      </c>
    </row>
    <row r="581" spans="1:19" x14ac:dyDescent="0.3">
      <c r="A581" t="s">
        <v>13</v>
      </c>
      <c r="B581" t="s">
        <v>25</v>
      </c>
      <c r="C581" t="s">
        <v>14</v>
      </c>
      <c r="D581">
        <v>26</v>
      </c>
      <c r="E581">
        <v>7</v>
      </c>
      <c r="F581">
        <v>0</v>
      </c>
      <c r="G581">
        <v>20251206</v>
      </c>
      <c r="H581">
        <v>20260107</v>
      </c>
      <c r="I581">
        <v>246287.10939999999</v>
      </c>
      <c r="J581">
        <f t="shared" si="81"/>
        <v>33</v>
      </c>
      <c r="K581">
        <f t="shared" si="82"/>
        <v>7463.2457393939394</v>
      </c>
      <c r="L581">
        <f t="shared" si="83"/>
        <v>163914.26807812921</v>
      </c>
      <c r="M581">
        <f t="shared" si="84"/>
        <v>52242.720175757575</v>
      </c>
      <c r="N581">
        <f t="shared" si="85"/>
        <v>0</v>
      </c>
      <c r="O581">
        <f t="shared" si="86"/>
        <v>216156.98825388678</v>
      </c>
      <c r="P581">
        <f t="shared" si="87"/>
        <v>186762.27680856962</v>
      </c>
      <c r="Q581">
        <f t="shared" si="88"/>
        <v>59524.832591430379</v>
      </c>
      <c r="R581">
        <f t="shared" si="89"/>
        <v>0</v>
      </c>
      <c r="S581">
        <f t="shared" si="90"/>
        <v>246287.10939999999</v>
      </c>
    </row>
    <row r="582" spans="1:19" x14ac:dyDescent="0.3">
      <c r="A582" t="s">
        <v>13</v>
      </c>
      <c r="B582" t="s">
        <v>25</v>
      </c>
      <c r="C582" t="s">
        <v>14</v>
      </c>
      <c r="D582">
        <v>0</v>
      </c>
      <c r="E582">
        <v>25</v>
      </c>
      <c r="F582">
        <v>6</v>
      </c>
      <c r="G582">
        <v>20260107</v>
      </c>
      <c r="H582">
        <v>20260206</v>
      </c>
      <c r="I582">
        <v>198713.63519999999</v>
      </c>
      <c r="J582">
        <f t="shared" si="81"/>
        <v>31</v>
      </c>
      <c r="K582">
        <f t="shared" si="82"/>
        <v>6410.1172645161287</v>
      </c>
      <c r="L582">
        <f t="shared" si="83"/>
        <v>0</v>
      </c>
      <c r="M582">
        <f t="shared" si="84"/>
        <v>160252.93161290322</v>
      </c>
      <c r="N582">
        <f t="shared" si="85"/>
        <v>31711.157107715633</v>
      </c>
      <c r="O582">
        <f t="shared" si="86"/>
        <v>191964.08872061886</v>
      </c>
      <c r="P582">
        <f t="shared" si="87"/>
        <v>0</v>
      </c>
      <c r="Q582">
        <f t="shared" si="88"/>
        <v>165887.49908636732</v>
      </c>
      <c r="R582">
        <f t="shared" si="89"/>
        <v>32826.13611363266</v>
      </c>
      <c r="S582">
        <f t="shared" si="90"/>
        <v>198713.63519999996</v>
      </c>
    </row>
    <row r="583" spans="1:19" x14ac:dyDescent="0.3">
      <c r="A583" t="s">
        <v>13</v>
      </c>
      <c r="B583" t="s">
        <v>25</v>
      </c>
      <c r="C583" t="s">
        <v>14</v>
      </c>
      <c r="D583">
        <v>25</v>
      </c>
      <c r="E583">
        <v>7</v>
      </c>
      <c r="F583">
        <v>0</v>
      </c>
      <c r="G583">
        <v>20251207</v>
      </c>
      <c r="H583">
        <v>20260107</v>
      </c>
      <c r="I583">
        <v>81718.544399999999</v>
      </c>
      <c r="J583">
        <f t="shared" si="81"/>
        <v>32</v>
      </c>
      <c r="K583">
        <f t="shared" si="82"/>
        <v>2553.7045125</v>
      </c>
      <c r="L583">
        <f t="shared" si="83"/>
        <v>53929.49104682976</v>
      </c>
      <c r="M583">
        <f t="shared" si="84"/>
        <v>17875.931587499999</v>
      </c>
      <c r="N583">
        <f t="shared" si="85"/>
        <v>0</v>
      </c>
      <c r="O583">
        <f t="shared" si="86"/>
        <v>71805.422634329763</v>
      </c>
      <c r="P583">
        <f t="shared" si="87"/>
        <v>61374.745066576346</v>
      </c>
      <c r="Q583">
        <f t="shared" si="88"/>
        <v>20343.799333423649</v>
      </c>
      <c r="R583">
        <f t="shared" si="89"/>
        <v>0</v>
      </c>
      <c r="S583">
        <f t="shared" si="90"/>
        <v>81718.544399999999</v>
      </c>
    </row>
    <row r="584" spans="1:19" x14ac:dyDescent="0.3">
      <c r="A584" t="s">
        <v>13</v>
      </c>
      <c r="B584" t="s">
        <v>25</v>
      </c>
      <c r="C584" t="s">
        <v>14</v>
      </c>
      <c r="D584">
        <v>16</v>
      </c>
      <c r="E584">
        <v>17</v>
      </c>
      <c r="F584">
        <v>0</v>
      </c>
      <c r="G584">
        <v>20251216</v>
      </c>
      <c r="H584">
        <v>20260117</v>
      </c>
      <c r="I584">
        <v>2434.2509</v>
      </c>
      <c r="J584">
        <f t="shared" si="81"/>
        <v>33</v>
      </c>
      <c r="K584">
        <f t="shared" si="82"/>
        <v>73.765178787878781</v>
      </c>
      <c r="L584">
        <f t="shared" si="83"/>
        <v>996.9813887641676</v>
      </c>
      <c r="M584">
        <f t="shared" si="84"/>
        <v>1254.0080393939393</v>
      </c>
      <c r="N584">
        <f t="shared" si="85"/>
        <v>0</v>
      </c>
      <c r="O584">
        <f t="shared" si="86"/>
        <v>2250.9894281581069</v>
      </c>
      <c r="P584">
        <f t="shared" si="87"/>
        <v>1078.1493740147241</v>
      </c>
      <c r="Q584">
        <f t="shared" si="88"/>
        <v>1356.1015259852759</v>
      </c>
      <c r="R584">
        <f t="shared" si="89"/>
        <v>0</v>
      </c>
      <c r="S584">
        <f t="shared" si="90"/>
        <v>2434.2509</v>
      </c>
    </row>
    <row r="585" spans="1:19" x14ac:dyDescent="0.3">
      <c r="A585" t="s">
        <v>13</v>
      </c>
      <c r="B585" t="s">
        <v>25</v>
      </c>
      <c r="C585" t="s">
        <v>15</v>
      </c>
      <c r="D585">
        <v>0</v>
      </c>
      <c r="E585">
        <v>28</v>
      </c>
      <c r="F585">
        <v>8</v>
      </c>
      <c r="G585">
        <v>20260104</v>
      </c>
      <c r="H585">
        <v>20260208</v>
      </c>
      <c r="I585">
        <v>8363.0110999999997</v>
      </c>
      <c r="J585">
        <f t="shared" si="81"/>
        <v>36</v>
      </c>
      <c r="K585">
        <f t="shared" si="82"/>
        <v>232.30586388888889</v>
      </c>
      <c r="L585">
        <f t="shared" si="83"/>
        <v>0</v>
      </c>
      <c r="M585">
        <f t="shared" si="84"/>
        <v>6504.5641888888895</v>
      </c>
      <c r="N585">
        <f t="shared" si="85"/>
        <v>1532.3043126638211</v>
      </c>
      <c r="O585">
        <f t="shared" si="86"/>
        <v>8036.8685015527108</v>
      </c>
      <c r="P585">
        <f t="shared" si="87"/>
        <v>0</v>
      </c>
      <c r="Q585">
        <f t="shared" si="88"/>
        <v>6768.5246438747527</v>
      </c>
      <c r="R585">
        <f t="shared" si="89"/>
        <v>1594.4864561252471</v>
      </c>
      <c r="S585">
        <f t="shared" si="90"/>
        <v>8363.0110999999997</v>
      </c>
    </row>
    <row r="586" spans="1:19" x14ac:dyDescent="0.3">
      <c r="A586" t="s">
        <v>13</v>
      </c>
      <c r="B586" t="s">
        <v>25</v>
      </c>
      <c r="C586" t="s">
        <v>15</v>
      </c>
      <c r="D586">
        <v>27</v>
      </c>
      <c r="E586">
        <v>4</v>
      </c>
      <c r="F586">
        <v>0</v>
      </c>
      <c r="G586">
        <v>20251205</v>
      </c>
      <c r="H586">
        <v>20260104</v>
      </c>
      <c r="I586">
        <v>1150958.6037999999</v>
      </c>
      <c r="J586">
        <f t="shared" si="81"/>
        <v>31</v>
      </c>
      <c r="K586">
        <f t="shared" si="82"/>
        <v>37127.696896774192</v>
      </c>
      <c r="L586">
        <f t="shared" si="83"/>
        <v>846793.35866377479</v>
      </c>
      <c r="M586">
        <f t="shared" si="84"/>
        <v>148510.78758709677</v>
      </c>
      <c r="N586">
        <f t="shared" si="85"/>
        <v>0</v>
      </c>
      <c r="O586">
        <f t="shared" si="86"/>
        <v>995304.14625087159</v>
      </c>
      <c r="P586">
        <f t="shared" si="87"/>
        <v>979222.38691157999</v>
      </c>
      <c r="Q586">
        <f t="shared" si="88"/>
        <v>171736.21688841988</v>
      </c>
      <c r="R586">
        <f t="shared" si="89"/>
        <v>0</v>
      </c>
      <c r="S586">
        <f t="shared" si="90"/>
        <v>1150958.6037999999</v>
      </c>
    </row>
    <row r="587" spans="1:19" x14ac:dyDescent="0.3">
      <c r="A587" t="s">
        <v>13</v>
      </c>
      <c r="B587" t="s">
        <v>25</v>
      </c>
      <c r="C587" t="s">
        <v>15</v>
      </c>
      <c r="D587">
        <v>0</v>
      </c>
      <c r="E587">
        <v>19</v>
      </c>
      <c r="F587">
        <v>0</v>
      </c>
      <c r="G587">
        <v>20260104</v>
      </c>
      <c r="H587">
        <v>20260122</v>
      </c>
      <c r="I587">
        <v>167.8398</v>
      </c>
      <c r="J587">
        <f t="shared" ref="J587:J639" si="91">IF(D587&lt;0,0,D587)+E587+F587</f>
        <v>19</v>
      </c>
      <c r="K587">
        <f t="shared" ref="K587:K639" si="92">I587/J587</f>
        <v>8.8336736842105257</v>
      </c>
      <c r="L587">
        <f t="shared" ref="L587:L639" si="93">IF(D587&lt;0,0,D587)*$K587*$B$6</f>
        <v>0</v>
      </c>
      <c r="M587">
        <f t="shared" ref="M587:M639" si="94">IF(E587&lt;0,0,E587)*$K587*$C$6</f>
        <v>167.8398</v>
      </c>
      <c r="N587">
        <f t="shared" ref="N587:N639" si="95">IF(F587&lt;0,0,F587)*$K587*$D$6</f>
        <v>0</v>
      </c>
      <c r="O587">
        <f t="shared" ref="O587:O639" si="96">L587+M587+N587</f>
        <v>167.8398</v>
      </c>
      <c r="P587">
        <f t="shared" ref="P587:P639" si="97">L587/$O587*$I587</f>
        <v>0</v>
      </c>
      <c r="Q587">
        <f t="shared" ref="Q587:Q639" si="98">M587/$O587*$I587</f>
        <v>167.8398</v>
      </c>
      <c r="R587">
        <f t="shared" ref="R587:R639" si="99">N587/$O587*$I587</f>
        <v>0</v>
      </c>
      <c r="S587">
        <f t="shared" ref="S587:S639" si="100">P587+Q587+R587</f>
        <v>167.8398</v>
      </c>
    </row>
    <row r="588" spans="1:19" x14ac:dyDescent="0.3">
      <c r="A588" t="s">
        <v>13</v>
      </c>
      <c r="B588" t="s">
        <v>25</v>
      </c>
      <c r="C588" t="s">
        <v>15</v>
      </c>
      <c r="D588">
        <v>23</v>
      </c>
      <c r="E588">
        <v>5</v>
      </c>
      <c r="F588">
        <v>0</v>
      </c>
      <c r="G588">
        <v>20251209</v>
      </c>
      <c r="H588">
        <v>20260105</v>
      </c>
      <c r="I588">
        <v>57031.2791</v>
      </c>
      <c r="J588">
        <f t="shared" si="91"/>
        <v>28</v>
      </c>
      <c r="K588">
        <f t="shared" si="92"/>
        <v>2036.8313964285715</v>
      </c>
      <c r="L588">
        <f t="shared" si="93"/>
        <v>39572.964537724176</v>
      </c>
      <c r="M588">
        <f t="shared" si="94"/>
        <v>10184.156982142857</v>
      </c>
      <c r="N588">
        <f t="shared" si="95"/>
        <v>0</v>
      </c>
      <c r="O588">
        <f t="shared" si="96"/>
        <v>49757.121519867032</v>
      </c>
      <c r="P588">
        <f t="shared" si="97"/>
        <v>45358.266644589072</v>
      </c>
      <c r="Q588">
        <f t="shared" si="98"/>
        <v>11673.012455410928</v>
      </c>
      <c r="R588">
        <f t="shared" si="99"/>
        <v>0</v>
      </c>
      <c r="S588">
        <f t="shared" si="100"/>
        <v>57031.2791</v>
      </c>
    </row>
    <row r="589" spans="1:19" x14ac:dyDescent="0.3">
      <c r="A589" t="s">
        <v>13</v>
      </c>
      <c r="B589" t="s">
        <v>25</v>
      </c>
      <c r="C589" t="s">
        <v>14</v>
      </c>
      <c r="D589">
        <v>0</v>
      </c>
      <c r="E589">
        <v>24</v>
      </c>
      <c r="F589">
        <v>2</v>
      </c>
      <c r="G589">
        <v>20260108</v>
      </c>
      <c r="H589">
        <v>20260202</v>
      </c>
      <c r="I589">
        <v>27706.144499999999</v>
      </c>
      <c r="J589">
        <f t="shared" si="91"/>
        <v>26</v>
      </c>
      <c r="K589">
        <f t="shared" si="92"/>
        <v>1065.6209423076923</v>
      </c>
      <c r="L589">
        <f t="shared" si="93"/>
        <v>0</v>
      </c>
      <c r="M589">
        <f t="shared" si="94"/>
        <v>25574.902615384613</v>
      </c>
      <c r="N589">
        <f t="shared" si="95"/>
        <v>1757.225945815934</v>
      </c>
      <c r="O589">
        <f t="shared" si="96"/>
        <v>27332.128561200549</v>
      </c>
      <c r="P589">
        <f t="shared" si="97"/>
        <v>0</v>
      </c>
      <c r="Q589">
        <f t="shared" si="98"/>
        <v>25924.872475579705</v>
      </c>
      <c r="R589">
        <f t="shared" si="99"/>
        <v>1781.2720244202937</v>
      </c>
      <c r="S589">
        <f t="shared" si="100"/>
        <v>27706.144499999999</v>
      </c>
    </row>
    <row r="590" spans="1:19" x14ac:dyDescent="0.3">
      <c r="A590" t="s">
        <v>13</v>
      </c>
      <c r="B590" t="s">
        <v>25</v>
      </c>
      <c r="C590" t="s">
        <v>14</v>
      </c>
      <c r="D590">
        <v>0</v>
      </c>
      <c r="E590">
        <v>29</v>
      </c>
      <c r="F590">
        <v>6</v>
      </c>
      <c r="G590">
        <v>20260103</v>
      </c>
      <c r="H590">
        <v>20260206</v>
      </c>
      <c r="I590">
        <v>80957.0671</v>
      </c>
      <c r="J590">
        <f t="shared" si="91"/>
        <v>35</v>
      </c>
      <c r="K590">
        <f t="shared" si="92"/>
        <v>2313.05906</v>
      </c>
      <c r="L590">
        <f t="shared" si="93"/>
        <v>0</v>
      </c>
      <c r="M590">
        <f t="shared" si="94"/>
        <v>67078.712740000003</v>
      </c>
      <c r="N590">
        <f t="shared" si="95"/>
        <v>11442.813949304857</v>
      </c>
      <c r="O590">
        <f t="shared" si="96"/>
        <v>78521.526689304854</v>
      </c>
      <c r="P590">
        <f t="shared" si="97"/>
        <v>0</v>
      </c>
      <c r="Q590">
        <f t="shared" si="98"/>
        <v>69159.325821074162</v>
      </c>
      <c r="R590">
        <f t="shared" si="99"/>
        <v>11797.741278925843</v>
      </c>
      <c r="S590">
        <f t="shared" si="100"/>
        <v>80957.0671</v>
      </c>
    </row>
    <row r="591" spans="1:19" x14ac:dyDescent="0.3">
      <c r="A591" t="s">
        <v>13</v>
      </c>
      <c r="B591" t="s">
        <v>25</v>
      </c>
      <c r="C591" t="s">
        <v>15</v>
      </c>
      <c r="D591">
        <v>0</v>
      </c>
      <c r="E591">
        <v>25</v>
      </c>
      <c r="F591">
        <v>0</v>
      </c>
      <c r="G591">
        <v>20260104</v>
      </c>
      <c r="H591">
        <v>20260128</v>
      </c>
      <c r="I591">
        <v>18976.621999999999</v>
      </c>
      <c r="J591">
        <f t="shared" si="91"/>
        <v>25</v>
      </c>
      <c r="K591">
        <f t="shared" si="92"/>
        <v>759.06488000000002</v>
      </c>
      <c r="L591">
        <f t="shared" si="93"/>
        <v>0</v>
      </c>
      <c r="M591">
        <f t="shared" si="94"/>
        <v>18976.621999999999</v>
      </c>
      <c r="N591">
        <f t="shared" si="95"/>
        <v>0</v>
      </c>
      <c r="O591">
        <f t="shared" si="96"/>
        <v>18976.621999999999</v>
      </c>
      <c r="P591">
        <f t="shared" si="97"/>
        <v>0</v>
      </c>
      <c r="Q591">
        <f t="shared" si="98"/>
        <v>18976.621999999999</v>
      </c>
      <c r="R591">
        <f t="shared" si="99"/>
        <v>0</v>
      </c>
      <c r="S591">
        <f t="shared" si="100"/>
        <v>18976.621999999999</v>
      </c>
    </row>
    <row r="592" spans="1:19" x14ac:dyDescent="0.3">
      <c r="A592" t="s">
        <v>13</v>
      </c>
      <c r="B592" t="s">
        <v>25</v>
      </c>
      <c r="C592" t="s">
        <v>15</v>
      </c>
      <c r="D592">
        <v>0</v>
      </c>
      <c r="E592">
        <v>25</v>
      </c>
      <c r="F592">
        <v>0</v>
      </c>
      <c r="G592">
        <v>20260102</v>
      </c>
      <c r="H592">
        <v>20260126</v>
      </c>
      <c r="I592">
        <v>923.57569999999998</v>
      </c>
      <c r="J592">
        <f t="shared" si="91"/>
        <v>25</v>
      </c>
      <c r="K592">
        <f t="shared" si="92"/>
        <v>36.943027999999998</v>
      </c>
      <c r="L592">
        <f t="shared" si="93"/>
        <v>0</v>
      </c>
      <c r="M592">
        <f t="shared" si="94"/>
        <v>923.57569999999998</v>
      </c>
      <c r="N592">
        <f t="shared" si="95"/>
        <v>0</v>
      </c>
      <c r="O592">
        <f t="shared" si="96"/>
        <v>923.57569999999998</v>
      </c>
      <c r="P592">
        <f t="shared" si="97"/>
        <v>0</v>
      </c>
      <c r="Q592">
        <f t="shared" si="98"/>
        <v>923.57569999999998</v>
      </c>
      <c r="R592">
        <f t="shared" si="99"/>
        <v>0</v>
      </c>
      <c r="S592">
        <f t="shared" si="100"/>
        <v>923.57569999999998</v>
      </c>
    </row>
    <row r="593" spans="1:19" x14ac:dyDescent="0.3">
      <c r="A593" t="s">
        <v>13</v>
      </c>
      <c r="B593" t="s">
        <v>25</v>
      </c>
      <c r="C593" t="s">
        <v>15</v>
      </c>
      <c r="D593">
        <v>0</v>
      </c>
      <c r="E593">
        <v>29</v>
      </c>
      <c r="F593">
        <v>7</v>
      </c>
      <c r="G593">
        <v>20260103</v>
      </c>
      <c r="H593">
        <v>20260207</v>
      </c>
      <c r="I593">
        <v>48155.195500000002</v>
      </c>
      <c r="J593">
        <f t="shared" si="91"/>
        <v>36</v>
      </c>
      <c r="K593">
        <f t="shared" si="92"/>
        <v>1337.6443194444446</v>
      </c>
      <c r="L593">
        <f t="shared" si="93"/>
        <v>0</v>
      </c>
      <c r="M593">
        <f t="shared" si="94"/>
        <v>38791.685263888896</v>
      </c>
      <c r="N593">
        <f t="shared" si="95"/>
        <v>7720.2889308722797</v>
      </c>
      <c r="O593">
        <f t="shared" si="96"/>
        <v>46511.974194761176</v>
      </c>
      <c r="P593">
        <f t="shared" si="97"/>
        <v>0</v>
      </c>
      <c r="Q593">
        <f t="shared" si="98"/>
        <v>40162.156519846052</v>
      </c>
      <c r="R593">
        <f t="shared" si="99"/>
        <v>7993.0389801539477</v>
      </c>
      <c r="S593">
        <f t="shared" si="100"/>
        <v>48155.195500000002</v>
      </c>
    </row>
    <row r="594" spans="1:19" x14ac:dyDescent="0.3">
      <c r="A594" t="s">
        <v>13</v>
      </c>
      <c r="B594" t="s">
        <v>25</v>
      </c>
      <c r="C594" t="s">
        <v>14</v>
      </c>
      <c r="D594">
        <v>0</v>
      </c>
      <c r="E594">
        <v>25</v>
      </c>
      <c r="F594">
        <v>7</v>
      </c>
      <c r="G594">
        <v>20260107</v>
      </c>
      <c r="H594">
        <v>20260207</v>
      </c>
      <c r="I594">
        <v>12736.0255</v>
      </c>
      <c r="J594">
        <f t="shared" si="91"/>
        <v>32</v>
      </c>
      <c r="K594">
        <f t="shared" si="92"/>
        <v>398.00079687499999</v>
      </c>
      <c r="L594">
        <f t="shared" si="93"/>
        <v>0</v>
      </c>
      <c r="M594">
        <f t="shared" si="94"/>
        <v>9950.0199218750004</v>
      </c>
      <c r="N594">
        <f t="shared" si="95"/>
        <v>2297.0838375544899</v>
      </c>
      <c r="O594">
        <f t="shared" si="96"/>
        <v>12247.10375942949</v>
      </c>
      <c r="P594">
        <f t="shared" si="97"/>
        <v>0</v>
      </c>
      <c r="Q594">
        <f t="shared" si="98"/>
        <v>10347.238819867009</v>
      </c>
      <c r="R594">
        <f t="shared" si="99"/>
        <v>2388.786680132991</v>
      </c>
      <c r="S594">
        <f t="shared" si="100"/>
        <v>12736.0255</v>
      </c>
    </row>
    <row r="595" spans="1:19" x14ac:dyDescent="0.3">
      <c r="A595" t="s">
        <v>13</v>
      </c>
      <c r="B595" t="s">
        <v>25</v>
      </c>
      <c r="C595" t="s">
        <v>14</v>
      </c>
      <c r="D595">
        <v>0</v>
      </c>
      <c r="E595">
        <v>12</v>
      </c>
      <c r="F595">
        <v>15</v>
      </c>
      <c r="G595">
        <v>20260120</v>
      </c>
      <c r="H595">
        <v>20260215</v>
      </c>
      <c r="I595">
        <v>54342.7716</v>
      </c>
      <c r="J595">
        <f t="shared" si="91"/>
        <v>27</v>
      </c>
      <c r="K595">
        <f t="shared" si="92"/>
        <v>2012.6952444444444</v>
      </c>
      <c r="L595">
        <f t="shared" si="93"/>
        <v>0</v>
      </c>
      <c r="M595">
        <f t="shared" si="94"/>
        <v>24152.342933333333</v>
      </c>
      <c r="N595">
        <f t="shared" si="95"/>
        <v>24892.249421020442</v>
      </c>
      <c r="O595">
        <f t="shared" si="96"/>
        <v>49044.592354353779</v>
      </c>
      <c r="P595">
        <f t="shared" si="97"/>
        <v>0</v>
      </c>
      <c r="Q595">
        <f t="shared" si="98"/>
        <v>26761.467322390617</v>
      </c>
      <c r="R595">
        <f t="shared" si="99"/>
        <v>27581.304277609383</v>
      </c>
      <c r="S595">
        <f t="shared" si="100"/>
        <v>54342.7716</v>
      </c>
    </row>
    <row r="596" spans="1:19" x14ac:dyDescent="0.3">
      <c r="A596" t="s">
        <v>13</v>
      </c>
      <c r="B596" t="s">
        <v>25</v>
      </c>
      <c r="C596" t="s">
        <v>15</v>
      </c>
      <c r="D596">
        <v>0</v>
      </c>
      <c r="E596">
        <v>14</v>
      </c>
      <c r="F596">
        <v>0</v>
      </c>
      <c r="G596">
        <v>20260102</v>
      </c>
      <c r="H596">
        <v>20260115</v>
      </c>
      <c r="I596">
        <v>1384.4177999999999</v>
      </c>
      <c r="J596">
        <f t="shared" si="91"/>
        <v>14</v>
      </c>
      <c r="K596">
        <f t="shared" si="92"/>
        <v>98.886985714285714</v>
      </c>
      <c r="L596">
        <f t="shared" si="93"/>
        <v>0</v>
      </c>
      <c r="M596">
        <f t="shared" si="94"/>
        <v>1384.4177999999999</v>
      </c>
      <c r="N596">
        <f t="shared" si="95"/>
        <v>0</v>
      </c>
      <c r="O596">
        <f t="shared" si="96"/>
        <v>1384.4177999999999</v>
      </c>
      <c r="P596">
        <f t="shared" si="97"/>
        <v>0</v>
      </c>
      <c r="Q596">
        <f t="shared" si="98"/>
        <v>1384.4177999999999</v>
      </c>
      <c r="R596">
        <f t="shared" si="99"/>
        <v>0</v>
      </c>
      <c r="S596">
        <f t="shared" si="100"/>
        <v>1384.4177999999999</v>
      </c>
    </row>
    <row r="597" spans="1:19" x14ac:dyDescent="0.3">
      <c r="A597" t="s">
        <v>13</v>
      </c>
      <c r="B597" t="s">
        <v>25</v>
      </c>
      <c r="C597" t="s">
        <v>15</v>
      </c>
      <c r="D597">
        <v>0</v>
      </c>
      <c r="E597">
        <v>23</v>
      </c>
      <c r="F597">
        <v>1</v>
      </c>
      <c r="G597">
        <v>20260109</v>
      </c>
      <c r="H597">
        <v>20260201</v>
      </c>
      <c r="I597">
        <v>76767.368400000007</v>
      </c>
      <c r="J597">
        <f t="shared" si="91"/>
        <v>24</v>
      </c>
      <c r="K597">
        <f t="shared" si="92"/>
        <v>3198.6403500000001</v>
      </c>
      <c r="L597">
        <f t="shared" si="93"/>
        <v>0</v>
      </c>
      <c r="M597">
        <f t="shared" si="94"/>
        <v>73568.728050000005</v>
      </c>
      <c r="N597">
        <f t="shared" si="95"/>
        <v>2637.3045006893285</v>
      </c>
      <c r="O597">
        <f t="shared" si="96"/>
        <v>76206.032550689328</v>
      </c>
      <c r="P597">
        <f t="shared" si="97"/>
        <v>0</v>
      </c>
      <c r="Q597">
        <f t="shared" si="98"/>
        <v>74110.637437753321</v>
      </c>
      <c r="R597">
        <f t="shared" si="99"/>
        <v>2656.7309622466942</v>
      </c>
      <c r="S597">
        <f t="shared" si="100"/>
        <v>76767.368400000021</v>
      </c>
    </row>
    <row r="598" spans="1:19" x14ac:dyDescent="0.3">
      <c r="A598" t="s">
        <v>13</v>
      </c>
      <c r="B598" t="s">
        <v>25</v>
      </c>
      <c r="C598" t="s">
        <v>14</v>
      </c>
      <c r="D598">
        <v>24</v>
      </c>
      <c r="E598">
        <v>1</v>
      </c>
      <c r="F598">
        <v>0</v>
      </c>
      <c r="G598">
        <v>20251208</v>
      </c>
      <c r="H598">
        <v>20260101</v>
      </c>
      <c r="I598">
        <v>12268.467500000001</v>
      </c>
      <c r="J598">
        <f t="shared" si="91"/>
        <v>25</v>
      </c>
      <c r="K598">
        <f t="shared" si="92"/>
        <v>490.73870000000005</v>
      </c>
      <c r="L598">
        <f t="shared" si="93"/>
        <v>9948.9493285153767</v>
      </c>
      <c r="M598">
        <f t="shared" si="94"/>
        <v>490.73870000000005</v>
      </c>
      <c r="N598">
        <f t="shared" si="95"/>
        <v>0</v>
      </c>
      <c r="O598">
        <f t="shared" si="96"/>
        <v>10439.688028515377</v>
      </c>
      <c r="P598">
        <f t="shared" si="97"/>
        <v>11691.763313486255</v>
      </c>
      <c r="Q598">
        <f t="shared" si="98"/>
        <v>576.70418651374575</v>
      </c>
      <c r="R598">
        <f t="shared" si="99"/>
        <v>0</v>
      </c>
      <c r="S598">
        <f t="shared" si="100"/>
        <v>12268.467500000001</v>
      </c>
    </row>
    <row r="599" spans="1:19" x14ac:dyDescent="0.3">
      <c r="A599" t="s">
        <v>13</v>
      </c>
      <c r="B599" t="s">
        <v>25</v>
      </c>
      <c r="C599" t="s">
        <v>14</v>
      </c>
      <c r="D599">
        <v>0</v>
      </c>
      <c r="E599">
        <v>23</v>
      </c>
      <c r="F599">
        <v>3</v>
      </c>
      <c r="G599">
        <v>20260109</v>
      </c>
      <c r="H599">
        <v>20260203</v>
      </c>
      <c r="I599">
        <v>181007.2383</v>
      </c>
      <c r="J599">
        <f t="shared" si="91"/>
        <v>26</v>
      </c>
      <c r="K599">
        <f t="shared" si="92"/>
        <v>6961.8168576923072</v>
      </c>
      <c r="L599">
        <f t="shared" si="93"/>
        <v>0</v>
      </c>
      <c r="M599">
        <f t="shared" si="94"/>
        <v>160121.78772692307</v>
      </c>
      <c r="N599">
        <f t="shared" si="95"/>
        <v>17220.220708870969</v>
      </c>
      <c r="O599">
        <f t="shared" si="96"/>
        <v>177342.00843579404</v>
      </c>
      <c r="P599">
        <f t="shared" si="97"/>
        <v>0</v>
      </c>
      <c r="Q599">
        <f t="shared" si="98"/>
        <v>163431.11732944218</v>
      </c>
      <c r="R599">
        <f t="shared" si="99"/>
        <v>17576.120970557826</v>
      </c>
      <c r="S599">
        <f t="shared" si="100"/>
        <v>181007.2383</v>
      </c>
    </row>
    <row r="600" spans="1:19" x14ac:dyDescent="0.3">
      <c r="A600" t="s">
        <v>13</v>
      </c>
      <c r="B600" t="s">
        <v>25</v>
      </c>
      <c r="C600" t="s">
        <v>15</v>
      </c>
      <c r="D600">
        <v>0</v>
      </c>
      <c r="E600">
        <v>24</v>
      </c>
      <c r="F600">
        <v>0</v>
      </c>
      <c r="G600">
        <v>20260104</v>
      </c>
      <c r="H600">
        <v>20260127</v>
      </c>
      <c r="I600">
        <v>10873.772300000001</v>
      </c>
      <c r="J600">
        <f t="shared" si="91"/>
        <v>24</v>
      </c>
      <c r="K600">
        <f t="shared" si="92"/>
        <v>453.07384583333334</v>
      </c>
      <c r="L600">
        <f t="shared" si="93"/>
        <v>0</v>
      </c>
      <c r="M600">
        <f t="shared" si="94"/>
        <v>10873.772300000001</v>
      </c>
      <c r="N600">
        <f t="shared" si="95"/>
        <v>0</v>
      </c>
      <c r="O600">
        <f t="shared" si="96"/>
        <v>10873.772300000001</v>
      </c>
      <c r="P600">
        <f t="shared" si="97"/>
        <v>0</v>
      </c>
      <c r="Q600">
        <f t="shared" si="98"/>
        <v>10873.772300000001</v>
      </c>
      <c r="R600">
        <f t="shared" si="99"/>
        <v>0</v>
      </c>
      <c r="S600">
        <f t="shared" si="100"/>
        <v>10873.772300000001</v>
      </c>
    </row>
    <row r="601" spans="1:19" x14ac:dyDescent="0.3">
      <c r="A601" t="s">
        <v>13</v>
      </c>
      <c r="B601" t="s">
        <v>25</v>
      </c>
      <c r="C601" t="s">
        <v>15</v>
      </c>
      <c r="D601">
        <v>30</v>
      </c>
      <c r="E601">
        <v>14</v>
      </c>
      <c r="F601">
        <v>0</v>
      </c>
      <c r="G601">
        <v>20251202</v>
      </c>
      <c r="H601">
        <v>20260114</v>
      </c>
      <c r="I601">
        <v>6553.77</v>
      </c>
      <c r="J601">
        <f t="shared" si="91"/>
        <v>44</v>
      </c>
      <c r="K601">
        <f t="shared" si="92"/>
        <v>148.9493181818182</v>
      </c>
      <c r="L601">
        <f t="shared" si="93"/>
        <v>3774.6391794345527</v>
      </c>
      <c r="M601">
        <f t="shared" si="94"/>
        <v>2085.2904545454548</v>
      </c>
      <c r="N601">
        <f t="shared" si="95"/>
        <v>0</v>
      </c>
      <c r="O601">
        <f t="shared" si="96"/>
        <v>5859.9296339800076</v>
      </c>
      <c r="P601">
        <f t="shared" si="97"/>
        <v>4221.5723669365798</v>
      </c>
      <c r="Q601">
        <f t="shared" si="98"/>
        <v>2332.1976330634197</v>
      </c>
      <c r="R601">
        <f t="shared" si="99"/>
        <v>0</v>
      </c>
      <c r="S601">
        <f t="shared" si="100"/>
        <v>6553.7699999999995</v>
      </c>
    </row>
    <row r="602" spans="1:19" x14ac:dyDescent="0.3">
      <c r="A602" t="s">
        <v>13</v>
      </c>
      <c r="B602" t="s">
        <v>25</v>
      </c>
      <c r="C602" t="s">
        <v>14</v>
      </c>
      <c r="D602">
        <v>0</v>
      </c>
      <c r="E602">
        <v>24</v>
      </c>
      <c r="F602">
        <v>10</v>
      </c>
      <c r="G602">
        <v>20260108</v>
      </c>
      <c r="H602">
        <v>20260210</v>
      </c>
      <c r="I602">
        <v>10638.3712</v>
      </c>
      <c r="J602">
        <f t="shared" si="91"/>
        <v>34</v>
      </c>
      <c r="K602">
        <f t="shared" si="92"/>
        <v>312.89327058823528</v>
      </c>
      <c r="L602">
        <f t="shared" si="93"/>
        <v>0</v>
      </c>
      <c r="M602">
        <f t="shared" si="94"/>
        <v>7509.4384941176468</v>
      </c>
      <c r="N602">
        <f t="shared" si="95"/>
        <v>2579.8299916955552</v>
      </c>
      <c r="O602">
        <f t="shared" si="96"/>
        <v>10089.268485813202</v>
      </c>
      <c r="P602">
        <f t="shared" si="97"/>
        <v>0</v>
      </c>
      <c r="Q602">
        <f t="shared" si="98"/>
        <v>7918.1354244190779</v>
      </c>
      <c r="R602">
        <f t="shared" si="99"/>
        <v>2720.2357755809226</v>
      </c>
      <c r="S602">
        <f t="shared" si="100"/>
        <v>10638.371200000001</v>
      </c>
    </row>
    <row r="603" spans="1:19" x14ac:dyDescent="0.3">
      <c r="A603" t="s">
        <v>13</v>
      </c>
      <c r="B603" t="s">
        <v>25</v>
      </c>
      <c r="C603" t="s">
        <v>15</v>
      </c>
      <c r="D603">
        <v>0</v>
      </c>
      <c r="E603">
        <v>24</v>
      </c>
      <c r="F603">
        <v>10</v>
      </c>
      <c r="G603">
        <v>20260108</v>
      </c>
      <c r="H603">
        <v>20260210</v>
      </c>
      <c r="I603">
        <v>31662.820299999999</v>
      </c>
      <c r="J603">
        <f t="shared" si="91"/>
        <v>34</v>
      </c>
      <c r="K603">
        <f t="shared" si="92"/>
        <v>931.25942058823523</v>
      </c>
      <c r="L603">
        <f t="shared" si="93"/>
        <v>0</v>
      </c>
      <c r="M603">
        <f t="shared" si="94"/>
        <v>22350.226094117646</v>
      </c>
      <c r="N603">
        <f t="shared" si="95"/>
        <v>7678.3082575278877</v>
      </c>
      <c r="O603">
        <f t="shared" si="96"/>
        <v>30028.534351645532</v>
      </c>
      <c r="P603">
        <f t="shared" si="97"/>
        <v>0</v>
      </c>
      <c r="Q603">
        <f t="shared" si="98"/>
        <v>23566.624471088722</v>
      </c>
      <c r="R603">
        <f t="shared" si="99"/>
        <v>8096.1958289112799</v>
      </c>
      <c r="S603">
        <f t="shared" si="100"/>
        <v>31662.820300000003</v>
      </c>
    </row>
    <row r="604" spans="1:19" x14ac:dyDescent="0.3">
      <c r="A604" t="s">
        <v>13</v>
      </c>
      <c r="B604" t="s">
        <v>25</v>
      </c>
      <c r="C604" t="s">
        <v>15</v>
      </c>
      <c r="D604">
        <v>0</v>
      </c>
      <c r="E604">
        <v>15</v>
      </c>
      <c r="F604">
        <v>0</v>
      </c>
      <c r="G604">
        <v>20260103</v>
      </c>
      <c r="H604">
        <v>20260117</v>
      </c>
      <c r="I604">
        <v>880.97239999999999</v>
      </c>
      <c r="J604">
        <f t="shared" si="91"/>
        <v>15</v>
      </c>
      <c r="K604">
        <f t="shared" si="92"/>
        <v>58.731493333333333</v>
      </c>
      <c r="L604">
        <f t="shared" si="93"/>
        <v>0</v>
      </c>
      <c r="M604">
        <f t="shared" si="94"/>
        <v>880.97239999999999</v>
      </c>
      <c r="N604">
        <f t="shared" si="95"/>
        <v>0</v>
      </c>
      <c r="O604">
        <f t="shared" si="96"/>
        <v>880.97239999999999</v>
      </c>
      <c r="P604">
        <f t="shared" si="97"/>
        <v>0</v>
      </c>
      <c r="Q604">
        <f t="shared" si="98"/>
        <v>880.97239999999999</v>
      </c>
      <c r="R604">
        <f t="shared" si="99"/>
        <v>0</v>
      </c>
      <c r="S604">
        <f t="shared" si="100"/>
        <v>880.97239999999999</v>
      </c>
    </row>
    <row r="605" spans="1:19" x14ac:dyDescent="0.3">
      <c r="A605" t="s">
        <v>13</v>
      </c>
      <c r="B605" t="s">
        <v>25</v>
      </c>
      <c r="C605" t="s">
        <v>14</v>
      </c>
      <c r="D605">
        <v>0</v>
      </c>
      <c r="E605">
        <v>30</v>
      </c>
      <c r="F605">
        <v>10</v>
      </c>
      <c r="G605">
        <v>20260102</v>
      </c>
      <c r="H605">
        <v>20260210</v>
      </c>
      <c r="I605">
        <v>129155.5294</v>
      </c>
      <c r="J605">
        <f t="shared" si="91"/>
        <v>40</v>
      </c>
      <c r="K605">
        <f t="shared" si="92"/>
        <v>3228.8882349999999</v>
      </c>
      <c r="L605">
        <f t="shared" si="93"/>
        <v>0</v>
      </c>
      <c r="M605">
        <f t="shared" si="94"/>
        <v>96866.64705</v>
      </c>
      <c r="N605">
        <f t="shared" si="95"/>
        <v>26622.44123315809</v>
      </c>
      <c r="O605">
        <f t="shared" si="96"/>
        <v>123489.08828315808</v>
      </c>
      <c r="P605">
        <f t="shared" si="97"/>
        <v>0</v>
      </c>
      <c r="Q605">
        <f t="shared" si="98"/>
        <v>101311.48634168011</v>
      </c>
      <c r="R605">
        <f t="shared" si="99"/>
        <v>27844.043058319909</v>
      </c>
      <c r="S605">
        <f t="shared" si="100"/>
        <v>129155.52940000001</v>
      </c>
    </row>
    <row r="606" spans="1:19" x14ac:dyDescent="0.3">
      <c r="A606" t="s">
        <v>13</v>
      </c>
      <c r="B606" t="s">
        <v>25</v>
      </c>
      <c r="C606" t="s">
        <v>15</v>
      </c>
      <c r="D606">
        <v>0</v>
      </c>
      <c r="E606">
        <v>28</v>
      </c>
      <c r="F606">
        <v>11</v>
      </c>
      <c r="G606">
        <v>20260104</v>
      </c>
      <c r="H606">
        <v>20260211</v>
      </c>
      <c r="I606">
        <v>8954.1</v>
      </c>
      <c r="J606">
        <f t="shared" si="91"/>
        <v>39</v>
      </c>
      <c r="K606">
        <f t="shared" si="92"/>
        <v>229.59230769230771</v>
      </c>
      <c r="L606">
        <f t="shared" si="93"/>
        <v>0</v>
      </c>
      <c r="M606">
        <f t="shared" si="94"/>
        <v>6428.584615384616</v>
      </c>
      <c r="N606">
        <f t="shared" si="95"/>
        <v>2082.3075937269082</v>
      </c>
      <c r="O606">
        <f t="shared" si="96"/>
        <v>8510.8922091115237</v>
      </c>
      <c r="P606">
        <f t="shared" si="97"/>
        <v>0</v>
      </c>
      <c r="Q606">
        <f t="shared" si="98"/>
        <v>6763.3554849855709</v>
      </c>
      <c r="R606">
        <f t="shared" si="99"/>
        <v>2190.7445150144295</v>
      </c>
      <c r="S606">
        <f t="shared" si="100"/>
        <v>8954.1</v>
      </c>
    </row>
    <row r="607" spans="1:19" x14ac:dyDescent="0.3">
      <c r="A607" t="s">
        <v>13</v>
      </c>
      <c r="B607" t="s">
        <v>25</v>
      </c>
      <c r="C607" t="s">
        <v>14</v>
      </c>
      <c r="D607">
        <v>0</v>
      </c>
      <c r="E607">
        <v>15</v>
      </c>
      <c r="F607">
        <v>0</v>
      </c>
      <c r="G607">
        <v>20260117</v>
      </c>
      <c r="H607">
        <v>20260131</v>
      </c>
      <c r="I607">
        <v>6176325.3746999996</v>
      </c>
      <c r="J607">
        <f t="shared" si="91"/>
        <v>15</v>
      </c>
      <c r="K607">
        <f t="shared" si="92"/>
        <v>411755.02497999999</v>
      </c>
      <c r="L607">
        <f t="shared" si="93"/>
        <v>0</v>
      </c>
      <c r="M607">
        <f t="shared" si="94"/>
        <v>6176325.3746999996</v>
      </c>
      <c r="N607">
        <f t="shared" si="95"/>
        <v>0</v>
      </c>
      <c r="O607">
        <f t="shared" si="96"/>
        <v>6176325.3746999996</v>
      </c>
      <c r="P607">
        <f t="shared" si="97"/>
        <v>0</v>
      </c>
      <c r="Q607">
        <f t="shared" si="98"/>
        <v>6176325.3746999996</v>
      </c>
      <c r="R607">
        <f t="shared" si="99"/>
        <v>0</v>
      </c>
      <c r="S607">
        <f t="shared" si="100"/>
        <v>6176325.3746999996</v>
      </c>
    </row>
    <row r="608" spans="1:19" x14ac:dyDescent="0.3">
      <c r="A608" t="s">
        <v>13</v>
      </c>
      <c r="B608" t="s">
        <v>25</v>
      </c>
      <c r="C608" t="s">
        <v>15</v>
      </c>
      <c r="D608">
        <v>0</v>
      </c>
      <c r="E608">
        <v>25</v>
      </c>
      <c r="F608">
        <v>10</v>
      </c>
      <c r="G608">
        <v>20260107</v>
      </c>
      <c r="H608">
        <v>20260210</v>
      </c>
      <c r="I608">
        <v>8451.0339999999997</v>
      </c>
      <c r="J608">
        <f t="shared" si="91"/>
        <v>35</v>
      </c>
      <c r="K608">
        <f t="shared" si="92"/>
        <v>241.45811428571429</v>
      </c>
      <c r="L608">
        <f t="shared" si="93"/>
        <v>0</v>
      </c>
      <c r="M608">
        <f t="shared" si="94"/>
        <v>6036.4528571428573</v>
      </c>
      <c r="N608">
        <f t="shared" si="95"/>
        <v>1990.8414259004533</v>
      </c>
      <c r="O608">
        <f t="shared" si="96"/>
        <v>8027.2942830433103</v>
      </c>
      <c r="P608">
        <f t="shared" si="97"/>
        <v>0</v>
      </c>
      <c r="Q608">
        <f t="shared" si="98"/>
        <v>6355.1013001819192</v>
      </c>
      <c r="R608">
        <f t="shared" si="99"/>
        <v>2095.9326998180809</v>
      </c>
      <c r="S608">
        <f t="shared" si="100"/>
        <v>8451.0339999999997</v>
      </c>
    </row>
    <row r="609" spans="1:19" x14ac:dyDescent="0.3">
      <c r="A609" t="s">
        <v>13</v>
      </c>
      <c r="B609" t="s">
        <v>25</v>
      </c>
      <c r="C609" t="s">
        <v>14</v>
      </c>
      <c r="D609">
        <v>0</v>
      </c>
      <c r="E609">
        <v>27</v>
      </c>
      <c r="F609">
        <v>7</v>
      </c>
      <c r="G609">
        <v>20260105</v>
      </c>
      <c r="H609">
        <v>20260207</v>
      </c>
      <c r="I609">
        <v>12481.772300000001</v>
      </c>
      <c r="J609">
        <f t="shared" si="91"/>
        <v>34</v>
      </c>
      <c r="K609">
        <f t="shared" si="92"/>
        <v>367.11095</v>
      </c>
      <c r="L609">
        <f t="shared" si="93"/>
        <v>0</v>
      </c>
      <c r="M609">
        <f t="shared" si="94"/>
        <v>9911.9956500000008</v>
      </c>
      <c r="N609">
        <f t="shared" si="95"/>
        <v>2118.8013603377899</v>
      </c>
      <c r="O609">
        <f t="shared" si="96"/>
        <v>12030.79701033779</v>
      </c>
      <c r="P609">
        <f t="shared" si="97"/>
        <v>0</v>
      </c>
      <c r="Q609">
        <f t="shared" si="98"/>
        <v>10283.547518554369</v>
      </c>
      <c r="R609">
        <f t="shared" si="99"/>
        <v>2198.2247814456314</v>
      </c>
      <c r="S609">
        <f t="shared" si="100"/>
        <v>12481.772300000001</v>
      </c>
    </row>
    <row r="610" spans="1:19" x14ac:dyDescent="0.3">
      <c r="A610" t="s">
        <v>13</v>
      </c>
      <c r="B610" t="s">
        <v>25</v>
      </c>
      <c r="C610" t="s">
        <v>15</v>
      </c>
      <c r="D610">
        <v>0</v>
      </c>
      <c r="E610">
        <v>15</v>
      </c>
      <c r="F610">
        <v>0</v>
      </c>
      <c r="G610">
        <v>20260105</v>
      </c>
      <c r="H610">
        <v>20260119</v>
      </c>
      <c r="I610">
        <v>293.68509999999998</v>
      </c>
      <c r="J610">
        <f t="shared" si="91"/>
        <v>15</v>
      </c>
      <c r="K610">
        <f t="shared" si="92"/>
        <v>19.579006666666665</v>
      </c>
      <c r="L610">
        <f t="shared" si="93"/>
        <v>0</v>
      </c>
      <c r="M610">
        <f t="shared" si="94"/>
        <v>293.68509999999998</v>
      </c>
      <c r="N610">
        <f t="shared" si="95"/>
        <v>0</v>
      </c>
      <c r="O610">
        <f t="shared" si="96"/>
        <v>293.68509999999998</v>
      </c>
      <c r="P610">
        <f t="shared" si="97"/>
        <v>0</v>
      </c>
      <c r="Q610">
        <f t="shared" si="98"/>
        <v>293.68509999999998</v>
      </c>
      <c r="R610">
        <f t="shared" si="99"/>
        <v>0</v>
      </c>
      <c r="S610">
        <f t="shared" si="100"/>
        <v>293.68509999999998</v>
      </c>
    </row>
    <row r="611" spans="1:19" x14ac:dyDescent="0.3">
      <c r="A611" t="s">
        <v>13</v>
      </c>
      <c r="B611" t="s">
        <v>25</v>
      </c>
      <c r="C611" t="s">
        <v>15</v>
      </c>
      <c r="D611">
        <v>0</v>
      </c>
      <c r="E611">
        <v>29</v>
      </c>
      <c r="F611">
        <v>11</v>
      </c>
      <c r="G611">
        <v>20260103</v>
      </c>
      <c r="H611">
        <v>20260211</v>
      </c>
      <c r="I611">
        <v>5926.9440000000004</v>
      </c>
      <c r="J611">
        <f t="shared" si="91"/>
        <v>40</v>
      </c>
      <c r="K611">
        <f t="shared" si="92"/>
        <v>148.17360000000002</v>
      </c>
      <c r="L611">
        <f t="shared" si="93"/>
        <v>0</v>
      </c>
      <c r="M611">
        <f t="shared" si="94"/>
        <v>4297.0344000000005</v>
      </c>
      <c r="N611">
        <f t="shared" si="95"/>
        <v>1343.8734754273776</v>
      </c>
      <c r="O611">
        <f t="shared" si="96"/>
        <v>5640.9078754273778</v>
      </c>
      <c r="P611">
        <f t="shared" si="97"/>
        <v>0</v>
      </c>
      <c r="Q611">
        <f t="shared" si="98"/>
        <v>4514.9261107094444</v>
      </c>
      <c r="R611">
        <f t="shared" si="99"/>
        <v>1412.0178892905565</v>
      </c>
      <c r="S611">
        <f t="shared" si="100"/>
        <v>5926.9440000000013</v>
      </c>
    </row>
    <row r="612" spans="1:19" x14ac:dyDescent="0.3">
      <c r="A612" t="s">
        <v>13</v>
      </c>
      <c r="B612" t="s">
        <v>25</v>
      </c>
      <c r="C612" t="s">
        <v>15</v>
      </c>
      <c r="D612">
        <v>0</v>
      </c>
      <c r="E612">
        <v>18</v>
      </c>
      <c r="F612">
        <v>0</v>
      </c>
      <c r="G612">
        <v>20260109</v>
      </c>
      <c r="H612">
        <v>20260126</v>
      </c>
      <c r="I612">
        <v>2688.5997000000002</v>
      </c>
      <c r="J612">
        <f t="shared" si="91"/>
        <v>18</v>
      </c>
      <c r="K612">
        <f t="shared" si="92"/>
        <v>149.36665000000002</v>
      </c>
      <c r="L612">
        <f t="shared" si="93"/>
        <v>0</v>
      </c>
      <c r="M612">
        <f t="shared" si="94"/>
        <v>2688.5997000000002</v>
      </c>
      <c r="N612">
        <f t="shared" si="95"/>
        <v>0</v>
      </c>
      <c r="O612">
        <f t="shared" si="96"/>
        <v>2688.5997000000002</v>
      </c>
      <c r="P612">
        <f t="shared" si="97"/>
        <v>0</v>
      </c>
      <c r="Q612">
        <f t="shared" si="98"/>
        <v>2688.5997000000002</v>
      </c>
      <c r="R612">
        <f t="shared" si="99"/>
        <v>0</v>
      </c>
      <c r="S612">
        <f t="shared" si="100"/>
        <v>2688.5997000000002</v>
      </c>
    </row>
    <row r="613" spans="1:19" x14ac:dyDescent="0.3">
      <c r="A613" t="s">
        <v>13</v>
      </c>
      <c r="B613" t="s">
        <v>25</v>
      </c>
      <c r="C613" t="s">
        <v>15</v>
      </c>
      <c r="D613">
        <v>0</v>
      </c>
      <c r="E613">
        <v>16</v>
      </c>
      <c r="F613">
        <v>2</v>
      </c>
      <c r="G613">
        <v>20260116</v>
      </c>
      <c r="H613">
        <v>20260202</v>
      </c>
      <c r="I613">
        <v>18414.387599999998</v>
      </c>
      <c r="J613">
        <f t="shared" si="91"/>
        <v>18</v>
      </c>
      <c r="K613">
        <f t="shared" si="92"/>
        <v>1023.0215333333332</v>
      </c>
      <c r="L613">
        <f t="shared" si="93"/>
        <v>0</v>
      </c>
      <c r="M613">
        <f t="shared" si="94"/>
        <v>16368.344533333331</v>
      </c>
      <c r="N613">
        <f t="shared" si="95"/>
        <v>1686.9788403451469</v>
      </c>
      <c r="O613">
        <f t="shared" si="96"/>
        <v>18055.323373678479</v>
      </c>
      <c r="P613">
        <f t="shared" si="97"/>
        <v>0</v>
      </c>
      <c r="Q613">
        <f t="shared" si="98"/>
        <v>16693.859997353957</v>
      </c>
      <c r="R613">
        <f t="shared" si="99"/>
        <v>1720.5276026460404</v>
      </c>
      <c r="S613">
        <f t="shared" si="100"/>
        <v>18414.387599999998</v>
      </c>
    </row>
    <row r="614" spans="1:19" x14ac:dyDescent="0.3">
      <c r="A614" t="s">
        <v>13</v>
      </c>
      <c r="B614" t="s">
        <v>25</v>
      </c>
      <c r="C614" t="s">
        <v>15</v>
      </c>
      <c r="D614">
        <v>0</v>
      </c>
      <c r="E614">
        <v>24</v>
      </c>
      <c r="F614">
        <v>0</v>
      </c>
      <c r="G614">
        <v>20260107</v>
      </c>
      <c r="H614">
        <v>20260130</v>
      </c>
      <c r="I614">
        <v>503.9701</v>
      </c>
      <c r="J614">
        <f t="shared" si="91"/>
        <v>24</v>
      </c>
      <c r="K614">
        <f t="shared" si="92"/>
        <v>20.998754166666668</v>
      </c>
      <c r="L614">
        <f t="shared" si="93"/>
        <v>0</v>
      </c>
      <c r="M614">
        <f t="shared" si="94"/>
        <v>503.9701</v>
      </c>
      <c r="N614">
        <f t="shared" si="95"/>
        <v>0</v>
      </c>
      <c r="O614">
        <f t="shared" si="96"/>
        <v>503.9701</v>
      </c>
      <c r="P614">
        <f t="shared" si="97"/>
        <v>0</v>
      </c>
      <c r="Q614">
        <f t="shared" si="98"/>
        <v>503.9701</v>
      </c>
      <c r="R614">
        <f t="shared" si="99"/>
        <v>0</v>
      </c>
      <c r="S614">
        <f t="shared" si="100"/>
        <v>503.9701</v>
      </c>
    </row>
    <row r="615" spans="1:19" x14ac:dyDescent="0.3">
      <c r="A615" t="s">
        <v>13</v>
      </c>
      <c r="B615" t="s">
        <v>25</v>
      </c>
      <c r="C615" t="s">
        <v>15</v>
      </c>
      <c r="D615">
        <v>0</v>
      </c>
      <c r="E615">
        <v>25</v>
      </c>
      <c r="F615">
        <v>0</v>
      </c>
      <c r="G615">
        <v>20260106</v>
      </c>
      <c r="H615">
        <v>20260130</v>
      </c>
      <c r="I615">
        <v>3821.5038</v>
      </c>
      <c r="J615">
        <f t="shared" si="91"/>
        <v>25</v>
      </c>
      <c r="K615">
        <f t="shared" si="92"/>
        <v>152.860152</v>
      </c>
      <c r="L615">
        <f t="shared" si="93"/>
        <v>0</v>
      </c>
      <c r="M615">
        <f t="shared" si="94"/>
        <v>3821.5038</v>
      </c>
      <c r="N615">
        <f t="shared" si="95"/>
        <v>0</v>
      </c>
      <c r="O615">
        <f t="shared" si="96"/>
        <v>3821.5038</v>
      </c>
      <c r="P615">
        <f t="shared" si="97"/>
        <v>0</v>
      </c>
      <c r="Q615">
        <f t="shared" si="98"/>
        <v>3821.5038</v>
      </c>
      <c r="R615">
        <f t="shared" si="99"/>
        <v>0</v>
      </c>
      <c r="S615">
        <f t="shared" si="100"/>
        <v>3821.5038</v>
      </c>
    </row>
    <row r="616" spans="1:19" x14ac:dyDescent="0.3">
      <c r="A616" t="s">
        <v>13</v>
      </c>
      <c r="B616" t="s">
        <v>25</v>
      </c>
      <c r="C616" t="s">
        <v>15</v>
      </c>
      <c r="D616">
        <v>0</v>
      </c>
      <c r="E616">
        <v>15</v>
      </c>
      <c r="F616">
        <v>24</v>
      </c>
      <c r="G616">
        <v>20260117</v>
      </c>
      <c r="H616">
        <v>20260224</v>
      </c>
      <c r="I616">
        <v>125852.5193</v>
      </c>
      <c r="J616">
        <f t="shared" si="91"/>
        <v>39</v>
      </c>
      <c r="K616">
        <f t="shared" si="92"/>
        <v>3226.9876743589743</v>
      </c>
      <c r="L616">
        <f t="shared" si="93"/>
        <v>0</v>
      </c>
      <c r="M616">
        <f t="shared" si="94"/>
        <v>48404.815115384612</v>
      </c>
      <c r="N616">
        <f t="shared" si="95"/>
        <v>63856.250301520115</v>
      </c>
      <c r="O616">
        <f t="shared" si="96"/>
        <v>112261.06541690472</v>
      </c>
      <c r="P616">
        <f t="shared" si="97"/>
        <v>0</v>
      </c>
      <c r="Q616">
        <f t="shared" si="98"/>
        <v>54265.188967327726</v>
      </c>
      <c r="R616">
        <f t="shared" si="99"/>
        <v>71587.330332672282</v>
      </c>
      <c r="S616">
        <f t="shared" si="100"/>
        <v>125852.51930000001</v>
      </c>
    </row>
    <row r="617" spans="1:19" x14ac:dyDescent="0.3">
      <c r="A617" t="s">
        <v>13</v>
      </c>
      <c r="B617" t="s">
        <v>25</v>
      </c>
      <c r="C617" t="s">
        <v>14</v>
      </c>
      <c r="D617">
        <v>29</v>
      </c>
      <c r="E617">
        <v>8</v>
      </c>
      <c r="F617">
        <v>0</v>
      </c>
      <c r="G617">
        <v>20251203</v>
      </c>
      <c r="H617">
        <v>20260108</v>
      </c>
      <c r="I617">
        <v>3949.1595000000002</v>
      </c>
      <c r="J617">
        <f t="shared" si="91"/>
        <v>37</v>
      </c>
      <c r="K617">
        <f t="shared" si="92"/>
        <v>106.73404054054055</v>
      </c>
      <c r="L617">
        <f t="shared" si="93"/>
        <v>2614.6683958286399</v>
      </c>
      <c r="M617">
        <f t="shared" si="94"/>
        <v>853.87232432432438</v>
      </c>
      <c r="N617">
        <f t="shared" si="95"/>
        <v>0</v>
      </c>
      <c r="O617">
        <f t="shared" si="96"/>
        <v>3468.5407201529642</v>
      </c>
      <c r="P617">
        <f t="shared" si="97"/>
        <v>2976.9702499790933</v>
      </c>
      <c r="Q617">
        <f t="shared" si="98"/>
        <v>972.18925002090691</v>
      </c>
      <c r="R617">
        <f t="shared" si="99"/>
        <v>0</v>
      </c>
      <c r="S617">
        <f t="shared" si="100"/>
        <v>3949.1595000000002</v>
      </c>
    </row>
    <row r="618" spans="1:19" x14ac:dyDescent="0.3">
      <c r="A618" t="s">
        <v>13</v>
      </c>
      <c r="B618" t="s">
        <v>25</v>
      </c>
      <c r="C618" t="s">
        <v>15</v>
      </c>
      <c r="D618">
        <v>6</v>
      </c>
      <c r="E618">
        <v>31</v>
      </c>
      <c r="F618">
        <v>4</v>
      </c>
      <c r="G618">
        <v>20251226</v>
      </c>
      <c r="H618">
        <v>20260204</v>
      </c>
      <c r="I618">
        <v>28902.4467</v>
      </c>
      <c r="J618">
        <f t="shared" si="91"/>
        <v>41</v>
      </c>
      <c r="K618">
        <f t="shared" si="92"/>
        <v>704.93772439024394</v>
      </c>
      <c r="L618">
        <f t="shared" si="93"/>
        <v>3572.8737613914873</v>
      </c>
      <c r="M618">
        <f t="shared" si="94"/>
        <v>21853.069456097561</v>
      </c>
      <c r="N618">
        <f t="shared" si="95"/>
        <v>2324.9071227905742</v>
      </c>
      <c r="O618">
        <f t="shared" si="96"/>
        <v>27750.85034027962</v>
      </c>
      <c r="P618">
        <f t="shared" si="97"/>
        <v>3721.1397916899105</v>
      </c>
      <c r="Q618">
        <f t="shared" si="98"/>
        <v>22759.921495792751</v>
      </c>
      <c r="R618">
        <f t="shared" si="99"/>
        <v>2421.3854125173398</v>
      </c>
      <c r="S618">
        <f t="shared" si="100"/>
        <v>28902.4467</v>
      </c>
    </row>
    <row r="619" spans="1:19" x14ac:dyDescent="0.3">
      <c r="A619" t="s">
        <v>13</v>
      </c>
      <c r="B619" t="s">
        <v>16</v>
      </c>
      <c r="C619" t="s">
        <v>15</v>
      </c>
      <c r="D619">
        <v>31</v>
      </c>
      <c r="E619">
        <v>2</v>
      </c>
      <c r="F619">
        <v>0</v>
      </c>
      <c r="G619">
        <v>20251127</v>
      </c>
      <c r="H619">
        <v>20260102</v>
      </c>
      <c r="I619">
        <v>1086.1206999999999</v>
      </c>
      <c r="J619">
        <f t="shared" si="91"/>
        <v>33</v>
      </c>
      <c r="K619">
        <f t="shared" si="92"/>
        <v>32.912748484848485</v>
      </c>
      <c r="L619">
        <f t="shared" si="93"/>
        <v>861.86950365810708</v>
      </c>
      <c r="M619">
        <f t="shared" si="94"/>
        <v>65.825496969696971</v>
      </c>
      <c r="N619">
        <f t="shared" si="95"/>
        <v>0</v>
      </c>
      <c r="O619">
        <f t="shared" si="96"/>
        <v>927.69500062780401</v>
      </c>
      <c r="P619">
        <f t="shared" si="97"/>
        <v>1009.0539541425875</v>
      </c>
      <c r="Q619">
        <f t="shared" si="98"/>
        <v>77.066745857412556</v>
      </c>
      <c r="R619">
        <f t="shared" si="99"/>
        <v>0</v>
      </c>
      <c r="S619">
        <f t="shared" si="100"/>
        <v>1086.1206999999999</v>
      </c>
    </row>
    <row r="620" spans="1:19" x14ac:dyDescent="0.3">
      <c r="A620" t="s">
        <v>13</v>
      </c>
      <c r="B620" t="s">
        <v>25</v>
      </c>
      <c r="C620" t="s">
        <v>14</v>
      </c>
      <c r="D620">
        <v>10</v>
      </c>
      <c r="E620">
        <v>15</v>
      </c>
      <c r="F620">
        <v>0</v>
      </c>
      <c r="G620">
        <v>20251222</v>
      </c>
      <c r="H620">
        <v>20260115</v>
      </c>
      <c r="I620">
        <v>546.08330000000001</v>
      </c>
      <c r="J620">
        <f t="shared" si="91"/>
        <v>25</v>
      </c>
      <c r="K620">
        <f t="shared" si="92"/>
        <v>21.843332</v>
      </c>
      <c r="L620">
        <f t="shared" si="93"/>
        <v>184.51622288495761</v>
      </c>
      <c r="M620">
        <f t="shared" si="94"/>
        <v>327.64998000000003</v>
      </c>
      <c r="N620">
        <f t="shared" si="95"/>
        <v>0</v>
      </c>
      <c r="O620">
        <f t="shared" si="96"/>
        <v>512.16620288495767</v>
      </c>
      <c r="P620">
        <f t="shared" si="97"/>
        <v>196.73540996844355</v>
      </c>
      <c r="Q620">
        <f t="shared" si="98"/>
        <v>349.34789003155646</v>
      </c>
      <c r="R620">
        <f t="shared" si="99"/>
        <v>0</v>
      </c>
      <c r="S620">
        <f t="shared" si="100"/>
        <v>546.08330000000001</v>
      </c>
    </row>
    <row r="621" spans="1:19" x14ac:dyDescent="0.3">
      <c r="A621" t="s">
        <v>13</v>
      </c>
      <c r="B621" t="s">
        <v>25</v>
      </c>
      <c r="C621" t="s">
        <v>15</v>
      </c>
      <c r="D621">
        <v>9</v>
      </c>
      <c r="E621">
        <v>5</v>
      </c>
      <c r="F621">
        <v>0</v>
      </c>
      <c r="G621">
        <v>20251223</v>
      </c>
      <c r="H621">
        <v>20260105</v>
      </c>
      <c r="I621">
        <v>22455.4516</v>
      </c>
      <c r="J621">
        <f t="shared" si="91"/>
        <v>14</v>
      </c>
      <c r="K621">
        <f t="shared" si="92"/>
        <v>1603.9608285714287</v>
      </c>
      <c r="L621">
        <f t="shared" si="93"/>
        <v>12194.161328916502</v>
      </c>
      <c r="M621">
        <f t="shared" si="94"/>
        <v>8019.8041428571432</v>
      </c>
      <c r="N621">
        <f t="shared" si="95"/>
        <v>0</v>
      </c>
      <c r="O621">
        <f t="shared" si="96"/>
        <v>20213.965471773645</v>
      </c>
      <c r="P621">
        <f t="shared" si="97"/>
        <v>13546.347445108691</v>
      </c>
      <c r="Q621">
        <f t="shared" si="98"/>
        <v>8909.1041548913108</v>
      </c>
      <c r="R621">
        <f t="shared" si="99"/>
        <v>0</v>
      </c>
      <c r="S621">
        <f t="shared" si="100"/>
        <v>22455.4516</v>
      </c>
    </row>
    <row r="622" spans="1:19" x14ac:dyDescent="0.3">
      <c r="A622" t="s">
        <v>13</v>
      </c>
      <c r="B622" t="s">
        <v>16</v>
      </c>
      <c r="C622" t="s">
        <v>15</v>
      </c>
      <c r="D622">
        <v>31</v>
      </c>
      <c r="E622">
        <v>5</v>
      </c>
      <c r="F622">
        <v>0</v>
      </c>
      <c r="G622">
        <v>20251129</v>
      </c>
      <c r="H622">
        <v>20260105</v>
      </c>
      <c r="I622">
        <v>86.270300000000006</v>
      </c>
      <c r="J622">
        <f t="shared" si="91"/>
        <v>36</v>
      </c>
      <c r="K622">
        <f t="shared" si="92"/>
        <v>2.3963972222222223</v>
      </c>
      <c r="L622">
        <f t="shared" si="93"/>
        <v>62.753242423225153</v>
      </c>
      <c r="M622">
        <f t="shared" si="94"/>
        <v>11.981986111111112</v>
      </c>
      <c r="N622">
        <f t="shared" si="95"/>
        <v>0</v>
      </c>
      <c r="O622">
        <f t="shared" si="96"/>
        <v>74.735228534336272</v>
      </c>
      <c r="P622">
        <f t="shared" si="97"/>
        <v>72.438944203362908</v>
      </c>
      <c r="Q622">
        <f t="shared" si="98"/>
        <v>13.831355796637082</v>
      </c>
      <c r="R622">
        <f t="shared" si="99"/>
        <v>0</v>
      </c>
      <c r="S622">
        <f t="shared" si="100"/>
        <v>86.270299999999992</v>
      </c>
    </row>
    <row r="623" spans="1:19" x14ac:dyDescent="0.3">
      <c r="A623" t="s">
        <v>13</v>
      </c>
      <c r="B623" t="s">
        <v>25</v>
      </c>
      <c r="C623" t="s">
        <v>15</v>
      </c>
      <c r="D623">
        <v>9</v>
      </c>
      <c r="E623">
        <v>2</v>
      </c>
      <c r="F623">
        <v>0</v>
      </c>
      <c r="G623">
        <v>20251223</v>
      </c>
      <c r="H623">
        <v>20260102</v>
      </c>
      <c r="I623">
        <v>251.9376</v>
      </c>
      <c r="J623">
        <f t="shared" si="91"/>
        <v>11</v>
      </c>
      <c r="K623">
        <f t="shared" si="92"/>
        <v>22.903418181818182</v>
      </c>
      <c r="L623">
        <f t="shared" si="93"/>
        <v>174.12393826442681</v>
      </c>
      <c r="M623">
        <f t="shared" si="94"/>
        <v>45.806836363636364</v>
      </c>
      <c r="N623">
        <f t="shared" si="95"/>
        <v>0</v>
      </c>
      <c r="O623">
        <f t="shared" si="96"/>
        <v>219.93077462806318</v>
      </c>
      <c r="P623">
        <f t="shared" si="97"/>
        <v>199.46443231092158</v>
      </c>
      <c r="Q623">
        <f t="shared" si="98"/>
        <v>52.473167689078423</v>
      </c>
      <c r="R623">
        <f t="shared" si="99"/>
        <v>0</v>
      </c>
      <c r="S623">
        <f t="shared" si="100"/>
        <v>251.9376</v>
      </c>
    </row>
    <row r="624" spans="1:19" x14ac:dyDescent="0.3">
      <c r="A624" t="s">
        <v>13</v>
      </c>
      <c r="B624" t="s">
        <v>16</v>
      </c>
      <c r="C624" t="s">
        <v>15</v>
      </c>
      <c r="D624">
        <v>31</v>
      </c>
      <c r="E624">
        <v>6</v>
      </c>
      <c r="F624">
        <v>0</v>
      </c>
      <c r="G624">
        <v>20251126</v>
      </c>
      <c r="H624">
        <v>20260106</v>
      </c>
      <c r="I624">
        <v>90.041200000000003</v>
      </c>
      <c r="J624">
        <f t="shared" si="91"/>
        <v>37</v>
      </c>
      <c r="K624">
        <f t="shared" si="92"/>
        <v>2.4335459459459461</v>
      </c>
      <c r="L624">
        <f t="shared" si="93"/>
        <v>63.726037268725129</v>
      </c>
      <c r="M624">
        <f t="shared" si="94"/>
        <v>14.601275675675677</v>
      </c>
      <c r="N624">
        <f t="shared" si="95"/>
        <v>0</v>
      </c>
      <c r="O624">
        <f t="shared" si="96"/>
        <v>78.327312944400802</v>
      </c>
      <c r="P624">
        <f t="shared" si="97"/>
        <v>73.25629657427065</v>
      </c>
      <c r="Q624">
        <f t="shared" si="98"/>
        <v>16.784903425729361</v>
      </c>
      <c r="R624">
        <f t="shared" si="99"/>
        <v>0</v>
      </c>
      <c r="S624">
        <f t="shared" si="100"/>
        <v>90.041200000000003</v>
      </c>
    </row>
    <row r="625" spans="1:19" x14ac:dyDescent="0.3">
      <c r="A625" t="s">
        <v>13</v>
      </c>
      <c r="B625" t="s">
        <v>25</v>
      </c>
      <c r="C625" t="s">
        <v>15</v>
      </c>
      <c r="D625">
        <v>10</v>
      </c>
      <c r="E625">
        <v>6</v>
      </c>
      <c r="F625">
        <v>0</v>
      </c>
      <c r="G625">
        <v>20251222</v>
      </c>
      <c r="H625">
        <v>20260106</v>
      </c>
      <c r="I625">
        <v>587.60550000000001</v>
      </c>
      <c r="J625">
        <f t="shared" si="91"/>
        <v>16</v>
      </c>
      <c r="K625">
        <f t="shared" si="92"/>
        <v>36.72534375</v>
      </c>
      <c r="L625">
        <f t="shared" si="93"/>
        <v>310.22838973933489</v>
      </c>
      <c r="M625">
        <f t="shared" si="94"/>
        <v>220.35206249999999</v>
      </c>
      <c r="N625">
        <f t="shared" si="95"/>
        <v>0</v>
      </c>
      <c r="O625">
        <f t="shared" si="96"/>
        <v>530.58045223933482</v>
      </c>
      <c r="P625">
        <f t="shared" si="97"/>
        <v>343.57072013792981</v>
      </c>
      <c r="Q625">
        <f t="shared" si="98"/>
        <v>244.03477986207022</v>
      </c>
      <c r="R625">
        <f t="shared" si="99"/>
        <v>0</v>
      </c>
      <c r="S625">
        <f t="shared" si="100"/>
        <v>587.60550000000001</v>
      </c>
    </row>
    <row r="626" spans="1:19" x14ac:dyDescent="0.3">
      <c r="A626" t="s">
        <v>13</v>
      </c>
      <c r="B626" t="s">
        <v>25</v>
      </c>
      <c r="C626" t="s">
        <v>15</v>
      </c>
      <c r="D626">
        <v>31</v>
      </c>
      <c r="E626">
        <v>3</v>
      </c>
      <c r="F626">
        <v>0</v>
      </c>
      <c r="G626">
        <v>20251126</v>
      </c>
      <c r="H626">
        <v>20260103</v>
      </c>
      <c r="I626">
        <v>89845.313899999994</v>
      </c>
      <c r="J626">
        <f t="shared" si="91"/>
        <v>34</v>
      </c>
      <c r="K626">
        <f t="shared" si="92"/>
        <v>2642.5092323529411</v>
      </c>
      <c r="L626">
        <f t="shared" si="93"/>
        <v>69198.053196573674</v>
      </c>
      <c r="M626">
        <f t="shared" si="94"/>
        <v>7927.5276970588238</v>
      </c>
      <c r="N626">
        <f t="shared" si="95"/>
        <v>0</v>
      </c>
      <c r="O626">
        <f t="shared" si="96"/>
        <v>77125.58089363249</v>
      </c>
      <c r="P626">
        <f t="shared" si="97"/>
        <v>80610.359606748156</v>
      </c>
      <c r="Q626">
        <f t="shared" si="98"/>
        <v>9234.9542932518489</v>
      </c>
      <c r="R626">
        <f t="shared" si="99"/>
        <v>0</v>
      </c>
      <c r="S626">
        <f t="shared" si="100"/>
        <v>89845.313900000008</v>
      </c>
    </row>
    <row r="627" spans="1:19" x14ac:dyDescent="0.3">
      <c r="A627" t="s">
        <v>13</v>
      </c>
      <c r="B627" t="s">
        <v>16</v>
      </c>
      <c r="C627" t="s">
        <v>15</v>
      </c>
      <c r="D627">
        <v>31</v>
      </c>
      <c r="E627">
        <v>3</v>
      </c>
      <c r="F627">
        <v>0</v>
      </c>
      <c r="G627">
        <v>20251126</v>
      </c>
      <c r="H627">
        <v>20260103</v>
      </c>
      <c r="I627">
        <v>13212.546200000001</v>
      </c>
      <c r="J627">
        <f t="shared" si="91"/>
        <v>34</v>
      </c>
      <c r="K627">
        <f t="shared" si="92"/>
        <v>388.60430000000002</v>
      </c>
      <c r="L627">
        <f t="shared" si="93"/>
        <v>10176.184323062254</v>
      </c>
      <c r="M627">
        <f t="shared" si="94"/>
        <v>1165.8129000000001</v>
      </c>
      <c r="N627">
        <f t="shared" si="95"/>
        <v>0</v>
      </c>
      <c r="O627">
        <f t="shared" si="96"/>
        <v>11341.997223062255</v>
      </c>
      <c r="P627">
        <f t="shared" si="97"/>
        <v>11854.464682356391</v>
      </c>
      <c r="Q627">
        <f t="shared" si="98"/>
        <v>1358.0815176436088</v>
      </c>
      <c r="R627">
        <f t="shared" si="99"/>
        <v>0</v>
      </c>
      <c r="S627">
        <f t="shared" si="100"/>
        <v>13212.546199999999</v>
      </c>
    </row>
    <row r="628" spans="1:19" x14ac:dyDescent="0.3">
      <c r="A628" t="s">
        <v>13</v>
      </c>
      <c r="B628" t="s">
        <v>25</v>
      </c>
      <c r="C628" t="s">
        <v>15</v>
      </c>
      <c r="D628">
        <v>15</v>
      </c>
      <c r="E628">
        <v>5</v>
      </c>
      <c r="F628">
        <v>0</v>
      </c>
      <c r="G628">
        <v>20251217</v>
      </c>
      <c r="H628">
        <v>20260105</v>
      </c>
      <c r="I628">
        <v>1595.0418</v>
      </c>
      <c r="J628">
        <f t="shared" si="91"/>
        <v>20</v>
      </c>
      <c r="K628">
        <f t="shared" si="92"/>
        <v>79.752089999999995</v>
      </c>
      <c r="L628">
        <f t="shared" si="93"/>
        <v>1010.5295117508537</v>
      </c>
      <c r="M628">
        <f t="shared" si="94"/>
        <v>398.76044999999999</v>
      </c>
      <c r="N628">
        <f t="shared" si="95"/>
        <v>0</v>
      </c>
      <c r="O628">
        <f t="shared" si="96"/>
        <v>1409.2899617508538</v>
      </c>
      <c r="P628">
        <f t="shared" si="97"/>
        <v>1143.7226228261156</v>
      </c>
      <c r="Q628">
        <f t="shared" si="98"/>
        <v>451.3191771738841</v>
      </c>
      <c r="R628">
        <f t="shared" si="99"/>
        <v>0</v>
      </c>
      <c r="S628">
        <f t="shared" si="100"/>
        <v>1595.0417999999997</v>
      </c>
    </row>
    <row r="629" spans="1:19" x14ac:dyDescent="0.3">
      <c r="A629" t="s">
        <v>13</v>
      </c>
      <c r="B629" t="s">
        <v>16</v>
      </c>
      <c r="C629" t="s">
        <v>15</v>
      </c>
      <c r="D629">
        <v>31</v>
      </c>
      <c r="E629">
        <v>4</v>
      </c>
      <c r="F629">
        <v>0</v>
      </c>
      <c r="G629">
        <v>20251128</v>
      </c>
      <c r="H629">
        <v>20260104</v>
      </c>
      <c r="I629">
        <v>129.41159999999999</v>
      </c>
      <c r="J629">
        <f t="shared" si="91"/>
        <v>35</v>
      </c>
      <c r="K629">
        <f t="shared" si="92"/>
        <v>3.6974742857142857</v>
      </c>
      <c r="L629">
        <f t="shared" si="93"/>
        <v>96.823889651276431</v>
      </c>
      <c r="M629">
        <f t="shared" si="94"/>
        <v>14.789897142857143</v>
      </c>
      <c r="N629">
        <f t="shared" si="95"/>
        <v>0</v>
      </c>
      <c r="O629">
        <f t="shared" si="96"/>
        <v>111.61378679413357</v>
      </c>
      <c r="P629">
        <f t="shared" si="97"/>
        <v>112.26332192371873</v>
      </c>
      <c r="Q629">
        <f t="shared" si="98"/>
        <v>17.148278076281258</v>
      </c>
      <c r="R629">
        <f t="shared" si="99"/>
        <v>0</v>
      </c>
      <c r="S629">
        <f t="shared" si="100"/>
        <v>129.41159999999999</v>
      </c>
    </row>
    <row r="630" spans="1:19" x14ac:dyDescent="0.3">
      <c r="A630" t="s">
        <v>13</v>
      </c>
      <c r="B630" t="s">
        <v>25</v>
      </c>
      <c r="C630" t="s">
        <v>15</v>
      </c>
      <c r="D630">
        <v>17</v>
      </c>
      <c r="E630">
        <v>7</v>
      </c>
      <c r="F630">
        <v>0</v>
      </c>
      <c r="G630">
        <v>20251215</v>
      </c>
      <c r="H630">
        <v>20260107</v>
      </c>
      <c r="I630">
        <v>2224.7159000000001</v>
      </c>
      <c r="J630">
        <f t="shared" si="91"/>
        <v>24</v>
      </c>
      <c r="K630">
        <f t="shared" si="92"/>
        <v>92.696495833333344</v>
      </c>
      <c r="L630">
        <f t="shared" si="93"/>
        <v>1331.1527923452518</v>
      </c>
      <c r="M630">
        <f t="shared" si="94"/>
        <v>648.87547083333345</v>
      </c>
      <c r="N630">
        <f t="shared" si="95"/>
        <v>0</v>
      </c>
      <c r="O630">
        <f t="shared" si="96"/>
        <v>1980.0282631785853</v>
      </c>
      <c r="P630">
        <f t="shared" si="97"/>
        <v>1495.6537931967782</v>
      </c>
      <c r="Q630">
        <f t="shared" si="98"/>
        <v>729.06210680322158</v>
      </c>
      <c r="R630">
        <f t="shared" si="99"/>
        <v>0</v>
      </c>
      <c r="S630">
        <f t="shared" si="100"/>
        <v>2224.7158999999997</v>
      </c>
    </row>
    <row r="631" spans="1:19" x14ac:dyDescent="0.3">
      <c r="A631" t="s">
        <v>13</v>
      </c>
      <c r="B631" t="s">
        <v>25</v>
      </c>
      <c r="C631" t="s">
        <v>15</v>
      </c>
      <c r="D631">
        <v>14</v>
      </c>
      <c r="E631">
        <v>5</v>
      </c>
      <c r="F631">
        <v>0</v>
      </c>
      <c r="G631">
        <v>20251218</v>
      </c>
      <c r="H631">
        <v>20260105</v>
      </c>
      <c r="I631">
        <v>8353.3750999999993</v>
      </c>
      <c r="J631">
        <f t="shared" si="91"/>
        <v>19</v>
      </c>
      <c r="K631">
        <f t="shared" si="92"/>
        <v>439.65132105263154</v>
      </c>
      <c r="L631">
        <f t="shared" si="93"/>
        <v>5199.3863209980418</v>
      </c>
      <c r="M631">
        <f t="shared" si="94"/>
        <v>2198.2566052631578</v>
      </c>
      <c r="N631">
        <f t="shared" si="95"/>
        <v>0</v>
      </c>
      <c r="O631">
        <f t="shared" si="96"/>
        <v>7397.6429262612</v>
      </c>
      <c r="P631">
        <f t="shared" si="97"/>
        <v>5871.1166059290426</v>
      </c>
      <c r="Q631">
        <f t="shared" si="98"/>
        <v>2482.2584940709567</v>
      </c>
      <c r="R631">
        <f t="shared" si="99"/>
        <v>0</v>
      </c>
      <c r="S631">
        <f t="shared" si="100"/>
        <v>8353.3750999999993</v>
      </c>
    </row>
    <row r="632" spans="1:19" x14ac:dyDescent="0.3">
      <c r="A632" t="s">
        <v>13</v>
      </c>
      <c r="B632" t="s">
        <v>25</v>
      </c>
      <c r="C632" t="s">
        <v>15</v>
      </c>
      <c r="D632">
        <v>23</v>
      </c>
      <c r="E632">
        <v>14</v>
      </c>
      <c r="F632">
        <v>0</v>
      </c>
      <c r="G632">
        <v>20251209</v>
      </c>
      <c r="H632">
        <v>20260114</v>
      </c>
      <c r="I632">
        <v>41.985700000000001</v>
      </c>
      <c r="J632">
        <f t="shared" si="91"/>
        <v>37</v>
      </c>
      <c r="K632">
        <f t="shared" si="92"/>
        <v>1.1347486486486487</v>
      </c>
      <c r="L632">
        <f t="shared" si="93"/>
        <v>22.046679028485883</v>
      </c>
      <c r="M632">
        <f t="shared" si="94"/>
        <v>15.886481081081081</v>
      </c>
      <c r="N632">
        <f t="shared" si="95"/>
        <v>0</v>
      </c>
      <c r="O632">
        <f t="shared" si="96"/>
        <v>37.933160109566963</v>
      </c>
      <c r="P632">
        <f t="shared" si="97"/>
        <v>24.402007346939879</v>
      </c>
      <c r="Q632">
        <f t="shared" si="98"/>
        <v>17.583692653060123</v>
      </c>
      <c r="R632">
        <f t="shared" si="99"/>
        <v>0</v>
      </c>
      <c r="S632">
        <f t="shared" si="100"/>
        <v>41.985700000000001</v>
      </c>
    </row>
    <row r="633" spans="1:19" x14ac:dyDescent="0.3">
      <c r="A633" t="s">
        <v>13</v>
      </c>
      <c r="B633" t="s">
        <v>25</v>
      </c>
      <c r="C633" t="s">
        <v>14</v>
      </c>
      <c r="D633">
        <v>10</v>
      </c>
      <c r="E633">
        <v>16</v>
      </c>
      <c r="F633">
        <v>0</v>
      </c>
      <c r="G633">
        <v>20251222</v>
      </c>
      <c r="H633">
        <v>20260116</v>
      </c>
      <c r="I633">
        <v>377.72859999999997</v>
      </c>
      <c r="J633">
        <f t="shared" si="91"/>
        <v>26</v>
      </c>
      <c r="K633">
        <f t="shared" si="92"/>
        <v>14.528023076923075</v>
      </c>
      <c r="L633">
        <f t="shared" si="93"/>
        <v>122.72193382123871</v>
      </c>
      <c r="M633">
        <f t="shared" si="94"/>
        <v>232.4483692307692</v>
      </c>
      <c r="N633">
        <f t="shared" si="95"/>
        <v>0</v>
      </c>
      <c r="O633">
        <f t="shared" si="96"/>
        <v>355.17030305200791</v>
      </c>
      <c r="P633">
        <f t="shared" si="97"/>
        <v>130.51649829181031</v>
      </c>
      <c r="Q633">
        <f t="shared" si="98"/>
        <v>247.21210170818966</v>
      </c>
      <c r="R633">
        <f t="shared" si="99"/>
        <v>0</v>
      </c>
      <c r="S633">
        <f t="shared" si="100"/>
        <v>377.72859999999997</v>
      </c>
    </row>
    <row r="634" spans="1:19" x14ac:dyDescent="0.3">
      <c r="A634" t="s">
        <v>13</v>
      </c>
      <c r="B634" t="s">
        <v>25</v>
      </c>
      <c r="C634" t="s">
        <v>15</v>
      </c>
      <c r="D634">
        <v>0</v>
      </c>
      <c r="E634">
        <v>4</v>
      </c>
      <c r="F634">
        <v>0</v>
      </c>
      <c r="G634">
        <v>20260103</v>
      </c>
      <c r="H634">
        <v>20260106</v>
      </c>
      <c r="I634">
        <v>111076.0517</v>
      </c>
      <c r="J634">
        <f t="shared" si="91"/>
        <v>4</v>
      </c>
      <c r="K634">
        <f t="shared" si="92"/>
        <v>27769.012924999999</v>
      </c>
      <c r="L634">
        <f t="shared" si="93"/>
        <v>0</v>
      </c>
      <c r="M634">
        <f t="shared" si="94"/>
        <v>111076.0517</v>
      </c>
      <c r="N634">
        <f t="shared" si="95"/>
        <v>0</v>
      </c>
      <c r="O634">
        <f t="shared" si="96"/>
        <v>111076.0517</v>
      </c>
      <c r="P634">
        <f t="shared" si="97"/>
        <v>0</v>
      </c>
      <c r="Q634">
        <f t="shared" si="98"/>
        <v>111076.0517</v>
      </c>
      <c r="R634">
        <f t="shared" si="99"/>
        <v>0</v>
      </c>
      <c r="S634">
        <f t="shared" si="100"/>
        <v>111076.0517</v>
      </c>
    </row>
    <row r="635" spans="1:19" x14ac:dyDescent="0.3">
      <c r="A635" t="s">
        <v>13</v>
      </c>
      <c r="B635" t="s">
        <v>25</v>
      </c>
      <c r="C635" t="s">
        <v>15</v>
      </c>
      <c r="D635">
        <v>8</v>
      </c>
      <c r="E635">
        <v>1</v>
      </c>
      <c r="F635">
        <v>0</v>
      </c>
      <c r="G635">
        <v>20251224</v>
      </c>
      <c r="H635">
        <v>20260101</v>
      </c>
      <c r="I635">
        <v>335.9248</v>
      </c>
      <c r="J635">
        <f t="shared" si="91"/>
        <v>9</v>
      </c>
      <c r="K635">
        <f t="shared" si="92"/>
        <v>37.324977777777775</v>
      </c>
      <c r="L635">
        <f t="shared" si="93"/>
        <v>252.23492162534669</v>
      </c>
      <c r="M635">
        <f t="shared" si="94"/>
        <v>37.324977777777775</v>
      </c>
      <c r="N635">
        <f t="shared" si="95"/>
        <v>0</v>
      </c>
      <c r="O635">
        <f t="shared" si="96"/>
        <v>289.55989940312446</v>
      </c>
      <c r="P635">
        <f t="shared" si="97"/>
        <v>292.62327336993121</v>
      </c>
      <c r="Q635">
        <f t="shared" si="98"/>
        <v>43.301526630068828</v>
      </c>
      <c r="R635">
        <f t="shared" si="99"/>
        <v>0</v>
      </c>
      <c r="S635">
        <f t="shared" si="100"/>
        <v>335.92480000000006</v>
      </c>
    </row>
    <row r="636" spans="1:19" x14ac:dyDescent="0.3">
      <c r="A636" t="s">
        <v>13</v>
      </c>
      <c r="B636" t="s">
        <v>25</v>
      </c>
      <c r="C636" t="s">
        <v>15</v>
      </c>
      <c r="D636">
        <v>12</v>
      </c>
      <c r="E636">
        <v>3</v>
      </c>
      <c r="F636">
        <v>0</v>
      </c>
      <c r="G636">
        <v>20251220</v>
      </c>
      <c r="H636">
        <v>20260103</v>
      </c>
      <c r="I636">
        <v>293.96179999999998</v>
      </c>
      <c r="J636">
        <f t="shared" si="91"/>
        <v>15</v>
      </c>
      <c r="K636">
        <f t="shared" si="92"/>
        <v>19.597453333333331</v>
      </c>
      <c r="L636">
        <f t="shared" si="93"/>
        <v>198.65365232177334</v>
      </c>
      <c r="M636">
        <f t="shared" si="94"/>
        <v>58.792359999999988</v>
      </c>
      <c r="N636">
        <f t="shared" si="95"/>
        <v>0</v>
      </c>
      <c r="O636">
        <f t="shared" si="96"/>
        <v>257.44601232177331</v>
      </c>
      <c r="P636">
        <f t="shared" si="97"/>
        <v>226.83041266179993</v>
      </c>
      <c r="Q636">
        <f t="shared" si="98"/>
        <v>67.131387338200085</v>
      </c>
      <c r="R636">
        <f t="shared" si="99"/>
        <v>0</v>
      </c>
      <c r="S636">
        <f t="shared" si="100"/>
        <v>293.96180000000004</v>
      </c>
    </row>
    <row r="637" spans="1:19" x14ac:dyDescent="0.3">
      <c r="A637" t="s">
        <v>13</v>
      </c>
      <c r="B637" t="s">
        <v>25</v>
      </c>
      <c r="C637" t="s">
        <v>14</v>
      </c>
      <c r="D637">
        <v>0</v>
      </c>
      <c r="E637">
        <v>17</v>
      </c>
      <c r="F637">
        <v>4</v>
      </c>
      <c r="G637">
        <v>20260115</v>
      </c>
      <c r="H637">
        <v>20260204</v>
      </c>
      <c r="I637">
        <v>14215.5337</v>
      </c>
      <c r="J637">
        <f t="shared" si="91"/>
        <v>21</v>
      </c>
      <c r="K637">
        <f t="shared" si="92"/>
        <v>676.93017619047623</v>
      </c>
      <c r="L637">
        <f t="shared" si="93"/>
        <v>0</v>
      </c>
      <c r="M637">
        <f t="shared" si="94"/>
        <v>11507.812995238095</v>
      </c>
      <c r="N637">
        <f t="shared" si="95"/>
        <v>2232.5373345828807</v>
      </c>
      <c r="O637">
        <f t="shared" si="96"/>
        <v>13740.350329820976</v>
      </c>
      <c r="P637">
        <f t="shared" si="97"/>
        <v>0</v>
      </c>
      <c r="Q637">
        <f t="shared" si="98"/>
        <v>11905.788391149159</v>
      </c>
      <c r="R637">
        <f t="shared" si="99"/>
        <v>2309.7453088508419</v>
      </c>
      <c r="S637">
        <f t="shared" si="100"/>
        <v>14215.5337</v>
      </c>
    </row>
    <row r="638" spans="1:19" x14ac:dyDescent="0.3">
      <c r="A638" t="s">
        <v>13</v>
      </c>
      <c r="B638" t="s">
        <v>25</v>
      </c>
      <c r="C638" t="s">
        <v>14</v>
      </c>
      <c r="D638">
        <v>0</v>
      </c>
      <c r="E638">
        <v>13</v>
      </c>
      <c r="F638">
        <v>1</v>
      </c>
      <c r="G638">
        <v>20260119</v>
      </c>
      <c r="H638">
        <v>20260201</v>
      </c>
      <c r="I638">
        <v>168.17189999999999</v>
      </c>
      <c r="J638">
        <f t="shared" si="91"/>
        <v>14</v>
      </c>
      <c r="K638">
        <f t="shared" si="92"/>
        <v>12.01227857142857</v>
      </c>
      <c r="L638">
        <f t="shared" si="93"/>
        <v>0</v>
      </c>
      <c r="M638">
        <f t="shared" si="94"/>
        <v>156.15962142857143</v>
      </c>
      <c r="N638">
        <f t="shared" si="95"/>
        <v>9.9042195662799504</v>
      </c>
      <c r="O638">
        <f t="shared" si="96"/>
        <v>166.06384099485138</v>
      </c>
      <c r="P638">
        <f t="shared" si="97"/>
        <v>0</v>
      </c>
      <c r="Q638">
        <f t="shared" si="98"/>
        <v>158.14195361010459</v>
      </c>
      <c r="R638">
        <f t="shared" si="99"/>
        <v>10.029946389895411</v>
      </c>
      <c r="S638">
        <f t="shared" si="100"/>
        <v>168.17189999999999</v>
      </c>
    </row>
    <row r="639" spans="1:19" x14ac:dyDescent="0.3">
      <c r="A639" t="s">
        <v>13</v>
      </c>
      <c r="B639" t="s">
        <v>25</v>
      </c>
      <c r="C639" t="s">
        <v>15</v>
      </c>
      <c r="D639">
        <v>0</v>
      </c>
      <c r="E639">
        <v>18</v>
      </c>
      <c r="F639">
        <v>4</v>
      </c>
      <c r="G639">
        <v>20260114</v>
      </c>
      <c r="H639">
        <v>20260204</v>
      </c>
      <c r="I639">
        <v>588.72609999999997</v>
      </c>
      <c r="J639">
        <f t="shared" si="91"/>
        <v>22</v>
      </c>
      <c r="K639">
        <f t="shared" si="92"/>
        <v>26.760277272727272</v>
      </c>
      <c r="L639">
        <f t="shared" si="93"/>
        <v>0</v>
      </c>
      <c r="M639">
        <f t="shared" si="94"/>
        <v>481.68499090909091</v>
      </c>
      <c r="N639">
        <f t="shared" si="95"/>
        <v>88.256248866563553</v>
      </c>
      <c r="O639">
        <f t="shared" si="96"/>
        <v>569.94123977565448</v>
      </c>
      <c r="P639">
        <f t="shared" si="97"/>
        <v>0</v>
      </c>
      <c r="Q639">
        <f t="shared" si="98"/>
        <v>497.56098758193059</v>
      </c>
      <c r="R639">
        <f t="shared" si="99"/>
        <v>91.165112418069384</v>
      </c>
      <c r="S639">
        <f t="shared" si="100"/>
        <v>588.72609999999997</v>
      </c>
    </row>
  </sheetData>
  <autoFilter ref="A9:S9" xr:uid="{919B7CE4-068E-4220-B194-7E4D930DC5D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1월검증</vt:lpstr>
      <vt:lpstr>1월계산내역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2024-10-08T06:13:20Z</dcterms:created>
  <dcterms:modified xsi:type="dcterms:W3CDTF">2026-03-10T08:27:38Z</dcterms:modified>
</cp:coreProperties>
</file>